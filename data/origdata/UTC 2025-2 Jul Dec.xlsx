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Courts" sheetId="2" r:id="rId6"/>
    <sheet state="visible" name="Checkin" sheetId="3" r:id="rId7"/>
    <sheet state="visible" name="Data" sheetId="4" r:id="rId8"/>
    <sheet state="visible" name="Waitlist" sheetId="5" r:id="rId9"/>
    <sheet state="visible" name="121325" sheetId="6" r:id="rId10"/>
    <sheet state="visible" name="120625" sheetId="7" r:id="rId11"/>
    <sheet state="visible" name="112925" sheetId="8" r:id="rId12"/>
    <sheet state="visible" name="112225" sheetId="9" r:id="rId13"/>
    <sheet state="visible" name="111525" sheetId="10" r:id="rId14"/>
    <sheet state="visible" name="110825" sheetId="11" r:id="rId15"/>
    <sheet state="visible" name="110125" sheetId="12" r:id="rId16"/>
    <sheet state="visible" name="102525" sheetId="13" r:id="rId17"/>
    <sheet state="visible" name="101825" sheetId="14" r:id="rId18"/>
    <sheet state="visible" name="101125" sheetId="15" r:id="rId19"/>
    <sheet state="visible" name="100425" sheetId="16" r:id="rId20"/>
    <sheet state="visible" name="092725" sheetId="17" r:id="rId21"/>
    <sheet state="visible" name="092025" sheetId="18" r:id="rId22"/>
    <sheet state="visible" name="091325" sheetId="19" r:id="rId23"/>
    <sheet state="visible" name="090625" sheetId="20" r:id="rId24"/>
    <sheet state="visible" name="083025" sheetId="21" r:id="rId25"/>
    <sheet state="visible" name="082325" sheetId="22" r:id="rId26"/>
    <sheet state="visible" name="081625" sheetId="23" r:id="rId27"/>
    <sheet state="visible" name="080925" sheetId="24" r:id="rId28"/>
    <sheet state="visible" name="080225" sheetId="25" r:id="rId29"/>
    <sheet state="visible" name="072625" sheetId="26" r:id="rId30"/>
    <sheet state="visible" name="071925" sheetId="27" r:id="rId31"/>
    <sheet state="visible" name="071225" sheetId="28" r:id="rId32"/>
    <sheet state="visible" name="070525" sheetId="29" r:id="rId33"/>
  </sheets>
  <definedNames/>
  <calcPr/>
</workbook>
</file>

<file path=xl/sharedStrings.xml><?xml version="1.0" encoding="utf-8"?>
<sst xmlns="http://schemas.openxmlformats.org/spreadsheetml/2006/main" count="7089" uniqueCount="189">
  <si>
    <t>Name of the Player</t>
  </si>
  <si>
    <t xml:space="preserve">Court # </t>
  </si>
  <si>
    <t xml:space="preserve">Standings as of </t>
  </si>
  <si>
    <t xml:space="preserve">Check in </t>
  </si>
  <si>
    <t>Previous sitouts</t>
  </si>
  <si>
    <t>Games Won</t>
  </si>
  <si>
    <t>Sl.No</t>
  </si>
  <si>
    <t>Sets Won</t>
  </si>
  <si>
    <t>Playing(1)</t>
  </si>
  <si>
    <t>Out(3)</t>
  </si>
  <si>
    <t>Check In</t>
  </si>
  <si>
    <t>Out-Can Play(4)</t>
  </si>
  <si>
    <t>Set 1</t>
  </si>
  <si>
    <t>To Respond</t>
  </si>
  <si>
    <t>Set 2</t>
  </si>
  <si>
    <t>Sitouts(5)</t>
  </si>
  <si>
    <t>Set 3</t>
  </si>
  <si>
    <t>Playing-Can Sit(2)</t>
  </si>
  <si>
    <t>Total Games won</t>
  </si>
  <si>
    <t>Sit Outs Needed</t>
  </si>
  <si>
    <t xml:space="preserve">Scores Entered by </t>
  </si>
  <si>
    <t>Mark 'X', if the court needs to be played at WHS</t>
  </si>
  <si>
    <t>No</t>
  </si>
  <si>
    <t>Number of Weeks Played</t>
  </si>
  <si>
    <t>Sets Validations</t>
  </si>
  <si>
    <t>Name of Player</t>
  </si>
  <si>
    <t>Beginning of week</t>
  </si>
  <si>
    <t>Current Week Scores</t>
  </si>
  <si>
    <t>End of week</t>
  </si>
  <si>
    <t>Jul-Dec 2025</t>
  </si>
  <si>
    <t>Jan-Jun 2026</t>
  </si>
  <si>
    <t>Ranking</t>
  </si>
  <si>
    <t>Games Won / Match</t>
  </si>
  <si>
    <t>Check IN</t>
  </si>
  <si>
    <t>Court #</t>
  </si>
  <si>
    <t>Set 0</t>
  </si>
  <si>
    <t>Waiver</t>
  </si>
  <si>
    <t>Fee</t>
  </si>
  <si>
    <t>Games Played</t>
  </si>
  <si>
    <t>Sit outs</t>
  </si>
  <si>
    <t>No Shows</t>
  </si>
  <si>
    <t>Absent</t>
  </si>
  <si>
    <t>Positions Gained/Lost</t>
  </si>
  <si>
    <t>Perfect attendence</t>
  </si>
  <si>
    <t xml:space="preserve">Check </t>
  </si>
  <si>
    <t>Adrian Tay</t>
  </si>
  <si>
    <t>Last update</t>
  </si>
  <si>
    <t>Alejandro Mejia</t>
  </si>
  <si>
    <t>Whatsapp Message</t>
  </si>
  <si>
    <t>Jimmy Awolesi</t>
  </si>
  <si>
    <t>Chinna Ponnaganti</t>
  </si>
  <si>
    <t>Tony Wong</t>
  </si>
  <si>
    <t>Playing</t>
  </si>
  <si>
    <t>Playing-Can Sit</t>
  </si>
  <si>
    <t>Vinaya Kajla</t>
  </si>
  <si>
    <t>Out/Can Play</t>
  </si>
  <si>
    <t>Out</t>
  </si>
  <si>
    <t>Sitouts</t>
  </si>
  <si>
    <t>X</t>
  </si>
  <si>
    <t>TBD</t>
  </si>
  <si>
    <t>Alex Hou</t>
  </si>
  <si>
    <t>Total</t>
  </si>
  <si>
    <t>*Sent Reminders*</t>
  </si>
  <si>
    <t>Courts Full</t>
  </si>
  <si>
    <t>End of Season</t>
  </si>
  <si>
    <t>Suleman Alidina</t>
  </si>
  <si>
    <t>Allen Zhang</t>
  </si>
  <si>
    <t>Darren Wong</t>
  </si>
  <si>
    <t>Ash Nikravan</t>
  </si>
  <si>
    <t>Susanta Mishra</t>
  </si>
  <si>
    <t>Next UTC</t>
  </si>
  <si>
    <t>David Tam</t>
  </si>
  <si>
    <t>Andrew Wen</t>
  </si>
  <si>
    <t>Lam Bui</t>
  </si>
  <si>
    <t>Sitouts Needed</t>
  </si>
  <si>
    <t>Balaji Alahari</t>
  </si>
  <si>
    <t>Vacations</t>
  </si>
  <si>
    <t>Player</t>
  </si>
  <si>
    <t>Login</t>
  </si>
  <si>
    <t>From</t>
  </si>
  <si>
    <t>To</t>
  </si>
  <si>
    <t>Vacation Valid ?</t>
  </si>
  <si>
    <t>Checked-In ?</t>
  </si>
  <si>
    <t>Eric Pan</t>
  </si>
  <si>
    <t>Pulkit Mathur</t>
  </si>
  <si>
    <t>Kingsley Kuo</t>
  </si>
  <si>
    <t>Barathi Sundaram</t>
  </si>
  <si>
    <t>Scott Li</t>
  </si>
  <si>
    <t xml:space="preserve">Vamsi Lolla </t>
  </si>
  <si>
    <t>Basudev Thoppai Vidyasankar</t>
  </si>
  <si>
    <t>Sandeep Kamalon</t>
  </si>
  <si>
    <t>Rajasekar Ramasamy</t>
  </si>
  <si>
    <t>Anish Kumar</t>
  </si>
  <si>
    <t>Cid Macaraeg</t>
  </si>
  <si>
    <t>David Shin</t>
  </si>
  <si>
    <t>Manuel Rivera</t>
  </si>
  <si>
    <t>Coco Yan</t>
  </si>
  <si>
    <t>Ted Shen</t>
  </si>
  <si>
    <t>Ethan Gu</t>
  </si>
  <si>
    <t>Elayaraja Thangaraj</t>
  </si>
  <si>
    <t>Mauricio Palacios</t>
  </si>
  <si>
    <t>Joyce Zhu</t>
  </si>
  <si>
    <t>Admins</t>
  </si>
  <si>
    <t>Joe Luzzi</t>
  </si>
  <si>
    <t>Leigh-Anh Nguyen</t>
  </si>
  <si>
    <t>Robert Chang</t>
  </si>
  <si>
    <t>Sean Chang</t>
  </si>
  <si>
    <t>Tom Le</t>
  </si>
  <si>
    <t>Eric Tan</t>
  </si>
  <si>
    <t>Erik Hoeckmann</t>
  </si>
  <si>
    <t>Frank Moon</t>
  </si>
  <si>
    <t>Herman Au</t>
  </si>
  <si>
    <t>Diamond Bar High School Courts</t>
  </si>
  <si>
    <t>Pavan Akkimsetty</t>
  </si>
  <si>
    <t>Hongyuan Wen</t>
  </si>
  <si>
    <t>21400 Pathfinder Rd, Diamond Bar, CA 91765</t>
  </si>
  <si>
    <t xml:space="preserve">Count # </t>
  </si>
  <si>
    <t>WHS Admin Rotations</t>
  </si>
  <si>
    <t>Hubert J Sung</t>
  </si>
  <si>
    <t>Date</t>
  </si>
  <si>
    <t>Admin</t>
  </si>
  <si>
    <t>James Phan</t>
  </si>
  <si>
    <t>Jim Miao</t>
  </si>
  <si>
    <t xml:space="preserve">Here is the link to add new players to the waitlist. </t>
  </si>
  <si>
    <t>tinyurl.com/UTCWaitList</t>
  </si>
  <si>
    <t>Oscar Bonilla</t>
  </si>
  <si>
    <t>Walnut High School Courts</t>
  </si>
  <si>
    <t>400 Pierre Rd, Walnut, CA 91789</t>
  </si>
  <si>
    <t>Jonathan Phan</t>
  </si>
  <si>
    <t>Kumar Palakeel</t>
  </si>
  <si>
    <t>Lloyd Sagar</t>
  </si>
  <si>
    <t>Luis Hsu</t>
  </si>
  <si>
    <t>Manish Anand</t>
  </si>
  <si>
    <t>Tina Hanson</t>
  </si>
  <si>
    <t>Matthew Huang</t>
  </si>
  <si>
    <t>Naveen Raj</t>
  </si>
  <si>
    <t>Nicole Ni</t>
  </si>
  <si>
    <t>Rajesh Dorairaj</t>
  </si>
  <si>
    <t>Ramesh Bandaru</t>
  </si>
  <si>
    <t>Sandy Weyant</t>
  </si>
  <si>
    <t>Sanjaye Elayattu</t>
  </si>
  <si>
    <t>Santosh Sundaresan</t>
  </si>
  <si>
    <t>Saravanan Veerapandian</t>
  </si>
  <si>
    <t>Troy Wong</t>
  </si>
  <si>
    <t>Trish Newlin</t>
  </si>
  <si>
    <t>Wayne Liu</t>
  </si>
  <si>
    <t>Vishnu Amarnath</t>
  </si>
  <si>
    <t>Tyler Leong</t>
  </si>
  <si>
    <t>Vicki Martinet</t>
  </si>
  <si>
    <t>N</t>
  </si>
  <si>
    <t xml:space="preserve"> </t>
  </si>
  <si>
    <t>Membership Renewals</t>
  </si>
  <si>
    <t>Renewed</t>
  </si>
  <si>
    <t>For Publishing in the WhatsApp Group for the score updates on saturday</t>
  </si>
  <si>
    <t>Not Renewing</t>
  </si>
  <si>
    <t>To Renew</t>
  </si>
  <si>
    <t>Color Coding</t>
  </si>
  <si>
    <t>0-8</t>
  </si>
  <si>
    <t>9-17</t>
  </si>
  <si>
    <t>Games</t>
  </si>
  <si>
    <t>Sets</t>
  </si>
  <si>
    <t>18-20</t>
  </si>
  <si>
    <t>21</t>
  </si>
  <si>
    <t>Top play (KING) counts</t>
  </si>
  <si>
    <t>King</t>
  </si>
  <si>
    <t>Count</t>
  </si>
  <si>
    <t>Current</t>
  </si>
  <si>
    <t>Top 10 Movements (UP)</t>
  </si>
  <si>
    <t>Positions Moved</t>
  </si>
  <si>
    <t>Position Last week</t>
  </si>
  <si>
    <t>Position This week</t>
  </si>
  <si>
    <t>Points this week</t>
  </si>
  <si>
    <t>Court</t>
  </si>
  <si>
    <t xml:space="preserve">Cross Check </t>
  </si>
  <si>
    <t>King of Kings</t>
  </si>
  <si>
    <t>No. of Weeks</t>
  </si>
  <si>
    <t>Perfect Attendence</t>
  </si>
  <si>
    <t>Renewals</t>
  </si>
  <si>
    <t>Jan-Jun 2025</t>
  </si>
  <si>
    <t>Top Scores</t>
  </si>
  <si>
    <t>New Members</t>
  </si>
  <si>
    <t>Top 10 Movements (Down)</t>
  </si>
  <si>
    <t>Positions</t>
  </si>
  <si>
    <t>Renewals for Jan-Jun 2026</t>
  </si>
  <si>
    <t>Members Renewed</t>
  </si>
  <si>
    <t>Members to Renew</t>
  </si>
  <si>
    <t>Members Not Renewing</t>
  </si>
  <si>
    <t>New Members Joined/invited*</t>
  </si>
  <si>
    <t>Renewals for July-December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</si>
</sst>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&quot;/&quot;dd&quot;/&quot;yy"/>
    <numFmt numFmtId="165" formatCode="mm/dd/yy"/>
    <numFmt numFmtId="166" formatCode="0;-0;;@"/>
    <numFmt numFmtId="167" formatCode="m/d/yyyy h:mm:ss"/>
    <numFmt numFmtId="168" formatCode="ddd&quot;/&quot;dd&quot;/&quot;mmm&quot;/&quot;yy"/>
    <numFmt numFmtId="169" formatCode="m/d/yy"/>
    <numFmt numFmtId="170" formatCode="m/d/yyyy"/>
    <numFmt numFmtId="171" formatCode="yyyy-mm-dd"/>
    <numFmt numFmtId="172" formatCode="ddd&quot;, &quot;mmm&quot; &quot;d&quot;, &quot;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4.0"/>
      <color rgb="FF001D35"/>
      <name val="Monospace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/>
    <font>
      <sz val="14.0"/>
      <color theme="1"/>
      <name val="Arial"/>
    </font>
    <font>
      <color theme="1"/>
      <name val="Arial"/>
    </font>
    <font>
      <u/>
      <color rgb="FF0000FF"/>
    </font>
    <font>
      <sz val="9.0"/>
      <color theme="1"/>
      <name val="Arial"/>
      <scheme val="minor"/>
    </font>
    <font>
      <sz val="13.0"/>
      <color theme="1"/>
      <name val="Arial"/>
    </font>
    <font>
      <sz val="13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5EDFF"/>
        <bgColor rgb="FFE5ED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readingOrder="0" shrinkToFit="0" wrapText="1"/>
    </xf>
    <xf borderId="0" fillId="3" fontId="3" numFmtId="164" xfId="0" applyAlignment="1" applyFill="1" applyFont="1" applyNumberFormat="1">
      <alignment horizontal="center" readingOrder="0"/>
    </xf>
    <xf borderId="1" fillId="2" fontId="1" numFmtId="0" xfId="0" applyAlignment="1" applyBorder="1" applyFill="1" applyFont="1">
      <alignment readingOrder="0"/>
    </xf>
    <xf borderId="0" fillId="3" fontId="5" numFmtId="0" xfId="0" applyAlignment="1" applyFill="1" applyFont="1">
      <alignment horizontal="right" readingOrder="0"/>
    </xf>
    <xf borderId="0" fillId="4" fontId="6" numFmtId="14" xfId="0" applyAlignment="1" applyFill="1" applyFont="1" applyNumberFormat="1">
      <alignment readingOrder="0"/>
    </xf>
    <xf borderId="2" fillId="2" fontId="4" numFmtId="0" xfId="0" applyAlignment="1" applyBorder="1" applyFill="1" applyFont="1">
      <alignment readingOrder="0" shrinkToFit="0" wrapText="1"/>
    </xf>
    <xf borderId="0" fillId="3" fontId="7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3" fontId="7" numFmtId="0" xfId="0" applyAlignment="1" applyFill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1" fillId="5" fontId="8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5" fontId="8" numFmtId="165" xfId="0" applyAlignment="1" applyBorder="1" applyFill="1" applyFont="1" applyNumberFormat="1">
      <alignment readingOrder="0"/>
    </xf>
    <xf borderId="0" fillId="6" fontId="1" numFmtId="164" xfId="0" applyFill="1" applyFont="1" applyNumberFormat="1"/>
    <xf borderId="0" fillId="0" fontId="1" numFmtId="0" xfId="0" applyFont="1"/>
    <xf borderId="2" fillId="3" fontId="2" numFmtId="0" xfId="0" applyAlignment="1" applyBorder="1" applyFill="1" applyFont="1">
      <alignment horizontal="center" readingOrder="0" shrinkToFit="0" wrapText="1"/>
    </xf>
    <xf borderId="1" fillId="0" fontId="1" numFmtId="3" xfId="0" applyBorder="1" applyFont="1" applyNumberFormat="1"/>
    <xf borderId="3" fillId="0" fontId="9" numFmtId="0" xfId="0" applyBorder="1" applyFont="1"/>
    <xf borderId="4" fillId="0" fontId="9" numFmtId="0" xfId="0" applyBorder="1" applyFont="1"/>
    <xf borderId="1" fillId="0" fontId="1" numFmtId="166" xfId="0" applyBorder="1" applyFont="1" applyNumberFormat="1"/>
    <xf borderId="2" fillId="3" fontId="3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/>
    </xf>
    <xf borderId="1" fillId="7" fontId="8" numFmtId="0" xfId="0" applyAlignment="1" applyBorder="1" applyFill="1" applyFont="1">
      <alignment horizontal="center" readingOrder="0" shrinkToFit="0" wrapText="1"/>
    </xf>
    <xf borderId="1" fillId="5" fontId="8" numFmtId="0" xfId="0" applyAlignment="1" applyBorder="1" applyFill="1" applyFont="1">
      <alignment horizontal="center" readingOrder="0" shrinkToFit="0" wrapText="1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readingOrder="0" vertical="bottom"/>
    </xf>
    <xf borderId="1" fillId="7" fontId="8" numFmtId="3" xfId="0" applyAlignment="1" applyBorder="1" applyFill="1" applyFont="1" applyNumberFormat="1">
      <alignment horizontal="center" readingOrder="0"/>
    </xf>
    <xf borderId="1" fillId="7" fontId="8" numFmtId="4" xfId="0" applyAlignment="1" applyBorder="1" applyFill="1" applyFont="1" applyNumberFormat="1">
      <alignment horizontal="center" readingOrder="0"/>
    </xf>
    <xf borderId="1" fillId="5" fontId="10" numFmtId="166" xfId="0" applyAlignment="1" applyBorder="1" applyFill="1" applyFont="1" applyNumberFormat="1">
      <alignment vertical="bottom"/>
    </xf>
    <xf borderId="1" fillId="0" fontId="10" numFmtId="0" xfId="0" applyAlignment="1" applyBorder="1" applyFont="1">
      <alignment vertical="bottom"/>
    </xf>
    <xf borderId="1" fillId="8" fontId="10" numFmtId="166" xfId="0" applyAlignment="1" applyBorder="1" applyFill="1" applyFont="1" applyNumberFormat="1">
      <alignment vertical="bottom"/>
    </xf>
    <xf borderId="1" fillId="9" fontId="1" numFmtId="0" xfId="0" applyAlignment="1" applyBorder="1" applyFill="1" applyFont="1">
      <alignment readingOrder="0"/>
    </xf>
    <xf borderId="1" fillId="7" fontId="10" numFmtId="166" xfId="0" applyAlignment="1" applyBorder="1" applyFill="1" applyFont="1" applyNumberFormat="1">
      <alignment vertical="bottom"/>
    </xf>
    <xf borderId="1" fillId="9" fontId="1" numFmtId="167" xfId="0" applyBorder="1" applyFill="1" applyFont="1" applyNumberFormat="1"/>
    <xf borderId="0" fillId="6" fontId="1" numFmtId="0" xfId="0" applyAlignment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0" fontId="1" numFmtId="0" xfId="0" applyBorder="1" applyFill="1" applyFont="1"/>
    <xf borderId="1" fillId="10" fontId="1" numFmtId="3" xfId="0" applyBorder="1" applyFill="1" applyFont="1" applyNumberFormat="1"/>
    <xf borderId="1" fillId="10" fontId="1" numFmtId="166" xfId="0" applyBorder="1" applyFill="1" applyFont="1" applyNumberFormat="1"/>
    <xf borderId="0" fillId="10" fontId="1" numFmtId="0" xfId="0" applyAlignment="1" applyFill="1" applyFont="1">
      <alignment readingOrder="0"/>
    </xf>
    <xf borderId="1" fillId="3" fontId="10" numFmtId="166" xfId="0" applyAlignment="1" applyBorder="1" applyFill="1" applyFont="1" applyNumberFormat="1">
      <alignment vertical="bottom"/>
    </xf>
    <xf borderId="1" fillId="7" fontId="8" numFmtId="0" xfId="0" applyAlignment="1" applyBorder="1" applyFill="1" applyFont="1">
      <alignment horizontal="center" readingOrder="0"/>
    </xf>
    <xf borderId="1" fillId="11" fontId="8" numFmtId="3" xfId="0" applyAlignment="1" applyBorder="1" applyFill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11" fontId="8" numFmtId="166" xfId="0" applyAlignment="1" applyBorder="1" applyFill="1" applyFont="1" applyNumberForma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0" fontId="1" numFmtId="9" xfId="0" applyFont="1" applyNumberFormat="1"/>
    <xf borderId="1" fillId="0" fontId="1" numFmtId="168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 vertical="center"/>
    </xf>
    <xf borderId="1" fillId="0" fontId="1" numFmtId="168" xfId="0" applyAlignment="1" applyBorder="1" applyFont="1" applyNumberFormat="1">
      <alignment horizontal="center"/>
    </xf>
    <xf borderId="1" fillId="7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0" fontId="1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12" fontId="11" numFmtId="0" xfId="0" applyAlignment="1" applyBorder="1" applyFill="1" applyFont="1">
      <alignment horizontal="center" vertical="bottom"/>
    </xf>
    <xf borderId="1" fillId="12" fontId="1" numFmtId="0" xfId="0" applyAlignment="1" applyBorder="1" applyFill="1" applyFont="1">
      <alignment horizontal="center"/>
    </xf>
    <xf borderId="1" fillId="0" fontId="1" numFmtId="169" xfId="0" applyAlignment="1" applyBorder="1" applyFont="1" applyNumberFormat="1">
      <alignment horizontal="center" readingOrder="0"/>
    </xf>
    <xf borderId="0" fillId="0" fontId="1" numFmtId="0" xfId="0" applyFont="1"/>
    <xf borderId="0" fillId="0" fontId="11" numFmtId="0" xfId="0" applyAlignment="1" applyFont="1">
      <alignment horizontal="right" vertical="bottom"/>
    </xf>
    <xf borderId="0" fillId="0" fontId="1" numFmtId="170" xfId="0" applyAlignment="1" applyFont="1" applyNumberFormat="1">
      <alignment readingOrder="0"/>
    </xf>
    <xf borderId="0" fillId="0" fontId="1" numFmtId="171" xfId="0" applyFont="1" applyNumberFormat="1"/>
    <xf borderId="0" fillId="12" fontId="11" numFmtId="0" xfId="0" applyAlignment="1" applyFill="1" applyFont="1">
      <alignment horizontal="right" vertical="bottom"/>
    </xf>
    <xf borderId="0" fillId="12" fontId="1" numFmtId="0" xfId="0" applyFill="1" applyFont="1"/>
    <xf borderId="0" fillId="0" fontId="1" numFmtId="169" xfId="0" applyAlignment="1" applyFont="1" applyNumberFormat="1">
      <alignment readingOrder="0"/>
    </xf>
    <xf borderId="1" fillId="13" fontId="1" numFmtId="0" xfId="0" applyAlignment="1" applyBorder="1" applyFill="1" applyFont="1">
      <alignment readingOrder="0"/>
    </xf>
    <xf borderId="1" fillId="13" fontId="1" numFmtId="0" xfId="0" applyBorder="1" applyFill="1" applyFont="1"/>
    <xf borderId="2" fillId="10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2" fillId="2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0" fontId="1" numFmtId="172" xfId="0" applyAlignment="1" applyBorder="1" applyFont="1" applyNumberFormat="1">
      <alignment readingOrder="0"/>
    </xf>
    <xf borderId="1" fillId="0" fontId="1" numFmtId="172" xfId="0" applyBorder="1" applyFont="1" applyNumberFormat="1"/>
    <xf borderId="1" fillId="2" fontId="4" numFmtId="0" xfId="0" applyAlignment="1" applyBorder="1" applyFill="1" applyFont="1">
      <alignment readingOrder="0"/>
    </xf>
    <xf borderId="1" fillId="9" fontId="1" numFmtId="172" xfId="0" applyBorder="1" applyFill="1" applyFont="1" applyNumberFormat="1"/>
    <xf borderId="1" fillId="9" fontId="1" numFmtId="0" xfId="0" applyBorder="1" applyFill="1" applyFont="1"/>
    <xf borderId="0" fillId="9" fontId="1" numFmtId="0" xfId="0" applyAlignment="1" applyFill="1" applyFont="1">
      <alignment readingOrder="0"/>
    </xf>
    <xf borderId="1" fillId="6" fontId="1" numFmtId="172" xfId="0" applyBorder="1" applyFill="1" applyFont="1" applyNumberFormat="1"/>
    <xf borderId="1" fillId="6" fontId="1" numFmtId="0" xfId="0" applyBorder="1" applyFill="1" applyFont="1"/>
    <xf borderId="0" fillId="0" fontId="12" numFmtId="0" xfId="0" applyAlignment="1" applyFont="1">
      <alignment readingOrder="0"/>
    </xf>
    <xf borderId="0" fillId="10" fontId="1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5" fontId="10" numFmtId="166" xfId="0" applyAlignment="1" applyBorder="1" applyFill="1" applyFont="1" applyNumberFormat="1">
      <alignment readingOrder="0" vertical="bottom"/>
    </xf>
    <xf borderId="1" fillId="8" fontId="10" numFmtId="166" xfId="0" applyAlignment="1" applyBorder="1" applyFill="1" applyFont="1" applyNumberFormat="1">
      <alignment readingOrder="0" vertical="bottom"/>
    </xf>
    <xf borderId="1" fillId="7" fontId="10" numFmtId="166" xfId="0" applyAlignment="1" applyBorder="1" applyFill="1" applyFont="1" applyNumberFormat="1">
      <alignment readingOrder="0" vertical="bottom"/>
    </xf>
    <xf borderId="1" fillId="3" fontId="10" numFmtId="166" xfId="0" applyAlignment="1" applyBorder="1" applyFill="1" applyFont="1" applyNumberForma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2" fillId="10" fontId="14" numFmtId="0" xfId="0" applyAlignment="1" applyBorder="1" applyFill="1" applyFont="1">
      <alignment horizontal="center" readingOrder="0" vertical="bottom"/>
    </xf>
    <xf borderId="2" fillId="0" fontId="15" numFmtId="0" xfId="0" applyAlignment="1" applyBorder="1" applyFont="1">
      <alignment readingOrder="0"/>
    </xf>
    <xf borderId="1" fillId="0" fontId="15" numFmtId="0" xfId="0" applyBorder="1" applyFont="1"/>
    <xf borderId="0" fillId="0" fontId="15" numFmtId="9" xfId="0" applyFont="1" applyNumberFormat="1"/>
    <xf borderId="2" fillId="10" fontId="10" numFmtId="0" xfId="0" applyAlignment="1" applyBorder="1" applyFill="1" applyFont="1">
      <alignment readingOrder="0" vertical="bottom"/>
    </xf>
    <xf borderId="2" fillId="14" fontId="15" numFmtId="0" xfId="0" applyAlignment="1" applyBorder="1" applyFill="1" applyFont="1">
      <alignment readingOrder="0"/>
    </xf>
    <xf borderId="1" fillId="14" fontId="15" numFmtId="0" xfId="0" applyAlignment="1" applyBorder="1" applyFill="1" applyFont="1">
      <alignment readingOrder="0"/>
    </xf>
    <xf borderId="2" fillId="10" fontId="10" numFmtId="0" xfId="0" applyAlignment="1" applyBorder="1" applyFill="1" applyFont="1">
      <alignment horizontal="center" readingOrder="0" vertical="bottom"/>
    </xf>
    <xf quotePrefix="1" borderId="1" fillId="13" fontId="10" numFmtId="0" xfId="0" applyAlignment="1" applyBorder="1" applyFill="1" applyFon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quotePrefix="1" borderId="1" fillId="0" fontId="10" numFmtId="0" xfId="0" applyAlignment="1" applyBorder="1" applyFont="1">
      <alignment readingOrder="0" vertical="bottom"/>
    </xf>
    <xf borderId="1" fillId="3" fontId="10" numFmtId="0" xfId="0" applyAlignment="1" applyBorder="1" applyFill="1" applyFont="1">
      <alignment horizontal="center" readingOrder="0" vertical="bottom"/>
    </xf>
    <xf quotePrefix="1" borderId="1" fillId="9" fontId="10" numFmtId="0" xfId="0" applyAlignment="1" applyBorder="1" applyFill="1" applyFont="1">
      <alignment readingOrder="0" vertical="bottom"/>
    </xf>
    <xf borderId="1" fillId="14" fontId="15" numFmtId="0" xfId="0" applyBorder="1" applyFill="1" applyFont="1"/>
    <xf quotePrefix="1" borderId="1" fillId="15" fontId="10" numFmtId="0" xfId="0" applyAlignment="1" applyBorder="1" applyFill="1" applyFont="1">
      <alignment readingOrder="0" vertical="bottom"/>
    </xf>
    <xf borderId="0" fillId="0" fontId="1" numFmtId="165" xfId="0" applyAlignment="1" applyFont="1" applyNumberFormat="1">
      <alignment readingOrder="0"/>
    </xf>
    <xf borderId="1" fillId="0" fontId="10" numFmtId="166" xfId="0" applyAlignment="1" applyBorder="1" applyFont="1" applyNumberFormat="1">
      <alignment horizontal="center" readingOrder="0" vertical="bottom"/>
    </xf>
    <xf borderId="2" fillId="10" fontId="10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readingOrder="0" shrinkToFit="0" vertical="center" wrapText="1"/>
    </xf>
    <xf borderId="0" fillId="0" fontId="1" numFmtId="169" xfId="0" applyFont="1" applyNumberFormat="1"/>
    <xf borderId="2" fillId="10" fontId="8" numFmtId="0" xfId="0" applyAlignment="1" applyBorder="1" applyFill="1" applyFont="1">
      <alignment horizontal="center" readingOrder="0" shrinkToFit="0" vertical="center" wrapText="1"/>
    </xf>
    <xf borderId="1" fillId="0" fontId="10" numFmtId="3" xfId="0" applyAlignment="1" applyBorder="1" applyFont="1" applyNumberFormat="1">
      <alignment horizontal="center" readingOrder="0" vertical="bottom"/>
    </xf>
    <xf borderId="1" fillId="10" fontId="10" numFmtId="166" xfId="0" applyAlignment="1" applyBorder="1" applyFill="1" applyFont="1" applyNumberFormat="1">
      <alignment horizontal="center" readingOrder="0" vertical="bottom"/>
    </xf>
    <xf borderId="1" fillId="10" fontId="10" numFmtId="0" xfId="0" applyAlignment="1" applyBorder="1" applyFill="1" applyFont="1">
      <alignment readingOrder="0" vertical="bottom"/>
    </xf>
    <xf borderId="1" fillId="10" fontId="10" numFmtId="3" xfId="0" applyAlignment="1" applyBorder="1" applyFill="1" applyFont="1" applyNumberForma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0" fontId="8" numFmtId="0" xfId="0" applyBorder="1" applyFont="1"/>
    <xf borderId="2" fillId="0" fontId="8" numFmtId="0" xfId="0" applyAlignment="1" applyBorder="1" applyFont="1">
      <alignment horizontal="left"/>
    </xf>
    <xf borderId="2" fillId="0" fontId="1" numFmtId="0" xfId="0" applyAlignment="1" applyBorder="1" applyFont="1">
      <alignment readingOrder="0"/>
    </xf>
    <xf borderId="0" fillId="0" fontId="1" numFmtId="10" xfId="0" applyFont="1" applyNumberFormat="1"/>
    <xf borderId="1" fillId="3" fontId="10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right"/>
    </xf>
    <xf borderId="1" fillId="3" fontId="16" numFmtId="0" xfId="0" applyAlignment="1" applyBorder="1" applyFill="1" applyFont="1">
      <alignment readingOrder="0" shrinkToFit="0" vertical="bottom" wrapText="1"/>
    </xf>
    <xf borderId="1" fillId="3" fontId="17" numFmtId="0" xfId="0" applyAlignment="1" applyBorder="1" applyFill="1" applyFont="1">
      <alignment readingOrder="0" shrinkToFit="0" vertical="bottom" wrapText="1"/>
    </xf>
    <xf borderId="1" fillId="3" fontId="1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2" fillId="5" fontId="10" numFmtId="0" xfId="0" applyAlignment="1" applyBorder="1" applyFill="1" applyFont="1">
      <alignment horizontal="center" readingOrder="0" vertical="bottom"/>
    </xf>
    <xf borderId="2" fillId="3" fontId="10" numFmtId="0" xfId="0" applyAlignment="1" applyBorder="1" applyFill="1" applyFont="1">
      <alignment readingOrder="0" vertical="bottom"/>
    </xf>
    <xf borderId="2" fillId="3" fontId="10" numFmtId="0" xfId="0" applyAlignment="1" applyBorder="1" applyFill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readingOrder="0" vertical="bottom"/>
    </xf>
    <xf borderId="1" fillId="0" fontId="1" numFmtId="166" xfId="0" applyAlignment="1" applyBorder="1" applyFont="1" applyNumberFormat="1">
      <alignment horizontal="center"/>
    </xf>
    <xf borderId="1" fillId="10" fontId="1" numFmtId="166" xfId="0" applyAlignment="1" applyBorder="1" applyFill="1" applyFont="1" applyNumberFormat="1">
      <alignment horizontal="center"/>
    </xf>
    <xf borderId="1" fillId="9" fontId="10" numFmtId="0" xfId="0" applyAlignment="1" applyBorder="1" applyFill="1" applyFont="1">
      <alignment readingOrder="0" vertical="bottom"/>
    </xf>
    <xf borderId="0" fillId="0" fontId="1" numFmtId="166" xfId="0" applyFont="1" applyNumberFormat="1"/>
  </cellXfs>
  <cellStyles count="1">
    <cellStyle xfId="0" name="Normal" builtinId="0"/>
  </cellStyles>
  <dxfs count="8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UTCWaitLis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46004.0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24.0</v>
      </c>
      <c r="E2" s="1"/>
      <c r="F2" s="1"/>
      <c r="R2" s="17"/>
      <c r="AC2" s="21" t="str">
        <f>text(C1,"mm/dd/yy")</f>
        <v>12/13/25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326.0</v>
      </c>
      <c r="D5" s="34">
        <v>38.0</v>
      </c>
      <c r="E5" s="35">
        <f t="shared" ref="E5:E69" si="2">if(S5&gt;0,(C5-(V5*9)-(T5*13))/S5,0)</f>
        <v>15.47058824</v>
      </c>
      <c r="F5" s="36">
        <f>if(isna(VLOOKUP(B5,Checkin!A:B,2,false)),0,VLOOKUP(B5,Checkin!A:B,2,false))</f>
        <v>3</v>
      </c>
      <c r="G5" s="38">
        <f>if(OR($F5=1, $F5=2),VLOOKUP($B5,Courts!$B$2:$K$50,10,false),0)</f>
        <v>0</v>
      </c>
      <c r="H5" s="40">
        <f t="shared" ref="H5:H69" si="3">IF(OR(F5=3,F5=4),9,IF(F5=5,13,0))</f>
        <v>9</v>
      </c>
      <c r="I5" s="38">
        <f>if(OR($F5=1, $F5=2),VLOOKUP($B5,Courts!$B$2:$J$50,5,false),0)</f>
        <v>0</v>
      </c>
      <c r="J5" s="38">
        <f>if(OR($F5=1, $F5=2),VLOOKUP($B5,Courts!$B$2:$J$50,6,false),0)</f>
        <v>0</v>
      </c>
      <c r="K5" s="38">
        <f>if(OR($F5=1, $F5=2),VLOOKUP($B5,Courts!$B$2:$J$50,7,false),0)</f>
        <v>0</v>
      </c>
      <c r="L5" s="48">
        <f t="shared" ref="L5:L69" si="4">H5+I5+J5+K5</f>
        <v>9</v>
      </c>
      <c r="M5" s="38">
        <f>if(OR($F5=1, $F5=2),VLOOKUP($B5,Courts!$B$2:$J$50,9,false),0)</f>
        <v>0</v>
      </c>
      <c r="N5" s="34">
        <f t="shared" ref="N5:O5" si="1">C5+L5</f>
        <v>335</v>
      </c>
      <c r="O5" s="34">
        <f t="shared" si="1"/>
        <v>38</v>
      </c>
      <c r="P5" s="49" t="s">
        <v>58</v>
      </c>
      <c r="Q5" s="49" t="s">
        <v>58</v>
      </c>
      <c r="R5" s="49" t="s">
        <v>58</v>
      </c>
      <c r="S5" s="50">
        <f t="shared" ref="S5:S69" si="6">vlookup(B5,indirect("'" &amp; AC$2 &amp; "'!B5:W69"),18,false)++if(text(C$1,"mm/dd/yy")=$AC$2,0,if(H5&gt;0,0,1))</f>
        <v>17</v>
      </c>
      <c r="T5" s="52">
        <f t="shared" ref="T5:T69" si="7">if(H5=13,1,0)+vlookup(B5,indirect("'" &amp; AC$2 &amp; "'!B5:W69"),19,false)</f>
        <v>0</v>
      </c>
      <c r="U5" s="52"/>
      <c r="V5" s="50">
        <f t="shared" ref="V5:V69" si="8">vlookup(B5,indirect("'" &amp; AC$2 &amp; "'!B5:W69"),21,false)+if(text(C$1,"mm/dd/yy")=$AC$2,0,if(H5=9,1,0))</f>
        <v>7</v>
      </c>
      <c r="W5" s="52">
        <f t="shared" ref="W5:W69" si="9">vlookup(B5,indirect("'" &amp; AC$2 &amp; "'!B5:x69"),23,false)-X5</f>
        <v>0</v>
      </c>
      <c r="X5" s="32">
        <v>1.0</v>
      </c>
      <c r="Y5" s="32" t="str">
        <f t="shared" ref="Y5:Y69" si="10">if(S5=D$2,"Y","N")</f>
        <v>N</v>
      </c>
      <c r="Z5" s="16" t="str">
        <f t="shared" ref="Z5:Z69" si="11">if($D$2=sum(S5:V5),"","Error")</f>
        <v/>
      </c>
    </row>
    <row r="6">
      <c r="A6" s="32">
        <f t="shared" ref="A6:A69" si="12">A5+1</f>
        <v>2</v>
      </c>
      <c r="B6" s="33" t="s">
        <v>67</v>
      </c>
      <c r="C6" s="34">
        <v>323.0</v>
      </c>
      <c r="D6" s="34">
        <v>36.0</v>
      </c>
      <c r="E6" s="35">
        <f t="shared" si="2"/>
        <v>15.05882353</v>
      </c>
      <c r="F6" s="36">
        <f>if(isna(VLOOKUP(B6,Checkin!A:B,2,false)),0,VLOOKUP(B6,Checkin!A:B,2,false))</f>
        <v>3</v>
      </c>
      <c r="G6" s="38">
        <f>if(OR($F6=1, $F6=2),VLOOKUP($B6,Courts!$B$2:$K$50,10,false),0)</f>
        <v>0</v>
      </c>
      <c r="H6" s="40">
        <f t="shared" si="3"/>
        <v>9</v>
      </c>
      <c r="I6" s="38">
        <f>if(OR($F6=1, $F6=2),VLOOKUP($B6,Courts!$B$2:$J$50,5,false),0)</f>
        <v>0</v>
      </c>
      <c r="J6" s="38">
        <f>if(OR($F6=1, $F6=2),VLOOKUP($B6,Courts!$B$2:$J$50,6,false),0)</f>
        <v>0</v>
      </c>
      <c r="K6" s="38">
        <f>if(OR($F6=1, $F6=2),VLOOKUP($B6,Courts!$B$2:$J$50,7,false),0)</f>
        <v>0</v>
      </c>
      <c r="L6" s="48">
        <f t="shared" si="4"/>
        <v>9</v>
      </c>
      <c r="M6" s="38">
        <f>if(OR($F6=1, $F6=2),VLOOKUP($B6,Courts!$B$2:$J$50,9,false),0)</f>
        <v>0</v>
      </c>
      <c r="N6" s="34">
        <f t="shared" ref="N6:O6" si="5">C6+L6</f>
        <v>332</v>
      </c>
      <c r="O6" s="34">
        <f t="shared" si="5"/>
        <v>36</v>
      </c>
      <c r="P6" s="49" t="s">
        <v>58</v>
      </c>
      <c r="Q6" s="49" t="s">
        <v>58</v>
      </c>
      <c r="R6" s="49" t="s">
        <v>58</v>
      </c>
      <c r="S6" s="50">
        <f t="shared" si="6"/>
        <v>17</v>
      </c>
      <c r="T6" s="52">
        <f t="shared" si="7"/>
        <v>1</v>
      </c>
      <c r="U6" s="52"/>
      <c r="V6" s="50">
        <f t="shared" si="8"/>
        <v>6</v>
      </c>
      <c r="W6" s="52">
        <f t="shared" si="9"/>
        <v>0</v>
      </c>
      <c r="X6" s="32">
        <f t="shared" ref="X6:X69" si="14">X5+1</f>
        <v>2</v>
      </c>
      <c r="Y6" s="32" t="str">
        <f t="shared" si="10"/>
        <v>N</v>
      </c>
      <c r="Z6" s="16" t="str">
        <f t="shared" si="11"/>
        <v/>
      </c>
    </row>
    <row r="7">
      <c r="A7" s="32">
        <f t="shared" si="12"/>
        <v>3</v>
      </c>
      <c r="B7" s="33" t="s">
        <v>73</v>
      </c>
      <c r="C7" s="34">
        <v>322.0</v>
      </c>
      <c r="D7" s="34">
        <v>33.0</v>
      </c>
      <c r="E7" s="35">
        <f t="shared" si="2"/>
        <v>14.3</v>
      </c>
      <c r="F7" s="36">
        <f>if(isna(VLOOKUP(B7,Checkin!A:B,2,false)),0,VLOOKUP(B7,Checkin!A:B,2,false))</f>
        <v>3</v>
      </c>
      <c r="G7" s="38">
        <f>if(OR($F7=1, $F7=2),VLOOKUP($B7,Courts!$B$2:$K$50,10,false),0)</f>
        <v>0</v>
      </c>
      <c r="H7" s="40">
        <f t="shared" si="3"/>
        <v>9</v>
      </c>
      <c r="I7" s="38">
        <f>if(OR($F7=1, $F7=2),VLOOKUP($B7,Courts!$B$2:$J$50,5,false),0)</f>
        <v>0</v>
      </c>
      <c r="J7" s="38">
        <f>if(OR($F7=1, $F7=2),VLOOKUP($B7,Courts!$B$2:$J$50,6,false),0)</f>
        <v>0</v>
      </c>
      <c r="K7" s="38">
        <f>if(OR($F7=1, $F7=2),VLOOKUP($B7,Courts!$B$2:$J$50,7,false),0)</f>
        <v>0</v>
      </c>
      <c r="L7" s="48">
        <f t="shared" si="4"/>
        <v>9</v>
      </c>
      <c r="M7" s="38">
        <f>if(OR($F7=1, $F7=2),VLOOKUP($B7,Courts!$B$2:$J$50,9,false),0)</f>
        <v>0</v>
      </c>
      <c r="N7" s="34">
        <f t="shared" ref="N7:O7" si="13">C7+L7</f>
        <v>331</v>
      </c>
      <c r="O7" s="34">
        <f t="shared" si="13"/>
        <v>33</v>
      </c>
      <c r="P7" s="49" t="s">
        <v>58</v>
      </c>
      <c r="Q7" s="49" t="s">
        <v>58</v>
      </c>
      <c r="R7" s="49" t="s">
        <v>58</v>
      </c>
      <c r="S7" s="50">
        <f t="shared" si="6"/>
        <v>20</v>
      </c>
      <c r="T7" s="52">
        <f t="shared" si="7"/>
        <v>0</v>
      </c>
      <c r="U7" s="52"/>
      <c r="V7" s="50">
        <f t="shared" si="8"/>
        <v>4</v>
      </c>
      <c r="W7" s="52">
        <f t="shared" si="9"/>
        <v>0</v>
      </c>
      <c r="X7" s="32">
        <f t="shared" si="14"/>
        <v>3</v>
      </c>
      <c r="Y7" s="32" t="str">
        <f t="shared" si="10"/>
        <v>N</v>
      </c>
      <c r="Z7" s="16" t="str">
        <f t="shared" si="11"/>
        <v/>
      </c>
    </row>
    <row r="8">
      <c r="A8" s="32">
        <f t="shared" si="12"/>
        <v>4</v>
      </c>
      <c r="B8" s="33" t="s">
        <v>83</v>
      </c>
      <c r="C8" s="34">
        <v>315.0</v>
      </c>
      <c r="D8" s="34">
        <v>32.0</v>
      </c>
      <c r="E8" s="35">
        <f t="shared" si="2"/>
        <v>15.78571429</v>
      </c>
      <c r="F8" s="36">
        <f>if(isna(VLOOKUP(B8,Checkin!A:B,2,false)),0,VLOOKUP(B8,Checkin!A:B,2,false))</f>
        <v>3</v>
      </c>
      <c r="G8" s="38">
        <f>if(OR($F8=1, $F8=2),VLOOKUP($B8,Courts!$B$2:$K$50,10,false),0)</f>
        <v>0</v>
      </c>
      <c r="H8" s="40">
        <f t="shared" si="3"/>
        <v>9</v>
      </c>
      <c r="I8" s="38">
        <f>if(OR($F8=1, $F8=2),VLOOKUP($B8,Courts!$B$2:$J$50,5,false),0)</f>
        <v>0</v>
      </c>
      <c r="J8" s="38">
        <f>if(OR($F8=1, $F8=2),VLOOKUP($B8,Courts!$B$2:$J$50,6,false),0)</f>
        <v>0</v>
      </c>
      <c r="K8" s="38">
        <f>if(OR($F8=1, $F8=2),VLOOKUP($B8,Courts!$B$2:$J$50,7,false),0)</f>
        <v>0</v>
      </c>
      <c r="L8" s="48">
        <f t="shared" si="4"/>
        <v>9</v>
      </c>
      <c r="M8" s="38">
        <f>if(OR($F8=1, $F8=2),VLOOKUP($B8,Courts!$B$2:$J$50,9,false),0)</f>
        <v>0</v>
      </c>
      <c r="N8" s="34">
        <f t="shared" ref="N8:O8" si="15">C8+L8</f>
        <v>324</v>
      </c>
      <c r="O8" s="34">
        <f t="shared" si="15"/>
        <v>32</v>
      </c>
      <c r="P8" s="49" t="s">
        <v>58</v>
      </c>
      <c r="Q8" s="49" t="s">
        <v>58</v>
      </c>
      <c r="R8" s="49" t="s">
        <v>58</v>
      </c>
      <c r="S8" s="50">
        <f t="shared" si="6"/>
        <v>14</v>
      </c>
      <c r="T8" s="52">
        <f t="shared" si="7"/>
        <v>1</v>
      </c>
      <c r="U8" s="52"/>
      <c r="V8" s="50">
        <f t="shared" si="8"/>
        <v>9</v>
      </c>
      <c r="W8" s="52">
        <f t="shared" si="9"/>
        <v>2</v>
      </c>
      <c r="X8" s="32">
        <f t="shared" si="14"/>
        <v>4</v>
      </c>
      <c r="Y8" s="32" t="str">
        <f t="shared" si="10"/>
        <v>N</v>
      </c>
      <c r="Z8" s="16" t="str">
        <f t="shared" si="11"/>
        <v/>
      </c>
    </row>
    <row r="9">
      <c r="A9" s="32">
        <f t="shared" si="12"/>
        <v>5</v>
      </c>
      <c r="B9" s="33" t="s">
        <v>84</v>
      </c>
      <c r="C9" s="34">
        <v>311.0</v>
      </c>
      <c r="D9" s="34">
        <v>31.0</v>
      </c>
      <c r="E9" s="35">
        <f t="shared" si="2"/>
        <v>14.27777778</v>
      </c>
      <c r="F9" s="36">
        <f>if(isna(VLOOKUP(B9,Checkin!A:B,2,false)),0,VLOOKUP(B9,Checkin!A:B,2,false))</f>
        <v>1</v>
      </c>
      <c r="G9" s="38">
        <f>if(OR($F9=1, $F9=2),VLOOKUP($B9,Courts!$B$2:$K$50,10,false),0)</f>
        <v>1</v>
      </c>
      <c r="H9" s="40">
        <f t="shared" si="3"/>
        <v>0</v>
      </c>
      <c r="I9" s="38">
        <f>if(OR($F9=1, $F9=2),VLOOKUP($B9,Courts!$B$2:$J$50,5,false),0)</f>
        <v>6</v>
      </c>
      <c r="J9" s="38">
        <f>if(OR($F9=1, $F9=2),VLOOKUP($B9,Courts!$B$2:$J$50,6,false),0)</f>
        <v>6</v>
      </c>
      <c r="K9" s="38">
        <f>if(OR($F9=1, $F9=2),VLOOKUP($B9,Courts!$B$2:$J$50,7,false),0)</f>
        <v>5</v>
      </c>
      <c r="L9" s="48">
        <f t="shared" si="4"/>
        <v>17</v>
      </c>
      <c r="M9" s="38">
        <f>if(OR($F9=1, $F9=2),VLOOKUP($B9,Courts!$B$2:$J$50,9,false),0)</f>
        <v>1</v>
      </c>
      <c r="N9" s="34">
        <f t="shared" ref="N9:O9" si="16">C9+L9</f>
        <v>328</v>
      </c>
      <c r="O9" s="34">
        <f t="shared" si="16"/>
        <v>32</v>
      </c>
      <c r="P9" s="49" t="s">
        <v>58</v>
      </c>
      <c r="Q9" s="49" t="s">
        <v>58</v>
      </c>
      <c r="R9" s="49" t="s">
        <v>58</v>
      </c>
      <c r="S9" s="50">
        <f t="shared" si="6"/>
        <v>18</v>
      </c>
      <c r="T9" s="52">
        <f t="shared" si="7"/>
        <v>0</v>
      </c>
      <c r="U9" s="52"/>
      <c r="V9" s="50">
        <f t="shared" si="8"/>
        <v>6</v>
      </c>
      <c r="W9" s="52">
        <f t="shared" si="9"/>
        <v>0</v>
      </c>
      <c r="X9" s="32">
        <f t="shared" si="14"/>
        <v>5</v>
      </c>
      <c r="Y9" s="32" t="str">
        <f t="shared" si="10"/>
        <v>N</v>
      </c>
      <c r="Z9" s="16" t="str">
        <f t="shared" si="11"/>
        <v/>
      </c>
    </row>
    <row r="10">
      <c r="A10" s="32">
        <f t="shared" si="12"/>
        <v>6</v>
      </c>
      <c r="B10" s="33" t="s">
        <v>90</v>
      </c>
      <c r="C10" s="34">
        <v>310.0</v>
      </c>
      <c r="D10" s="34">
        <v>36.0</v>
      </c>
      <c r="E10" s="35">
        <f t="shared" si="2"/>
        <v>13.09090909</v>
      </c>
      <c r="F10" s="36">
        <f>if(isna(VLOOKUP(B10,Checkin!A:B,2,false)),0,VLOOKUP(B10,Checkin!A:B,2,false))</f>
        <v>3</v>
      </c>
      <c r="G10" s="38">
        <f>if(OR($F10=1, $F10=2),VLOOKUP($B10,Courts!$B$2:$K$50,10,false),0)</f>
        <v>0</v>
      </c>
      <c r="H10" s="40">
        <f t="shared" si="3"/>
        <v>9</v>
      </c>
      <c r="I10" s="38">
        <f>if(OR($F10=1, $F10=2),VLOOKUP($B10,Courts!$B$2:$J$50,5,false),0)</f>
        <v>0</v>
      </c>
      <c r="J10" s="38">
        <f>if(OR($F10=1, $F10=2),VLOOKUP($B10,Courts!$B$2:$J$50,6,false),0)</f>
        <v>0</v>
      </c>
      <c r="K10" s="38">
        <f>if(OR($F10=1, $F10=2),VLOOKUP($B10,Courts!$B$2:$J$50,7,false),0)</f>
        <v>0</v>
      </c>
      <c r="L10" s="48">
        <f t="shared" si="4"/>
        <v>9</v>
      </c>
      <c r="M10" s="38">
        <f>if(OR($F10=1, $F10=2),VLOOKUP($B10,Courts!$B$2:$J$50,9,false),0)</f>
        <v>0</v>
      </c>
      <c r="N10" s="34">
        <f t="shared" ref="N10:O10" si="17">C10+L10</f>
        <v>319</v>
      </c>
      <c r="O10" s="34">
        <f t="shared" si="17"/>
        <v>36</v>
      </c>
      <c r="P10" s="49" t="s">
        <v>58</v>
      </c>
      <c r="Q10" s="49" t="s">
        <v>58</v>
      </c>
      <c r="R10" s="49" t="s">
        <v>58</v>
      </c>
      <c r="S10" s="50">
        <f t="shared" si="6"/>
        <v>22</v>
      </c>
      <c r="T10" s="52">
        <f t="shared" si="7"/>
        <v>1</v>
      </c>
      <c r="U10" s="52"/>
      <c r="V10" s="50">
        <f t="shared" si="8"/>
        <v>1</v>
      </c>
      <c r="W10" s="52">
        <f t="shared" si="9"/>
        <v>-2</v>
      </c>
      <c r="X10" s="32">
        <f t="shared" si="14"/>
        <v>6</v>
      </c>
      <c r="Y10" s="32" t="str">
        <f t="shared" si="10"/>
        <v>N</v>
      </c>
      <c r="Z10" s="16" t="str">
        <f t="shared" si="11"/>
        <v/>
      </c>
    </row>
    <row r="11">
      <c r="A11" s="32">
        <f t="shared" si="12"/>
        <v>7</v>
      </c>
      <c r="B11" s="33" t="s">
        <v>94</v>
      </c>
      <c r="C11" s="34">
        <v>303.0</v>
      </c>
      <c r="D11" s="34">
        <v>27.0</v>
      </c>
      <c r="E11" s="35">
        <f t="shared" si="2"/>
        <v>13.14285714</v>
      </c>
      <c r="F11" s="36">
        <f>if(isna(VLOOKUP(B11,Checkin!A:B,2,false)),0,VLOOKUP(B11,Checkin!A:B,2,false))</f>
        <v>1</v>
      </c>
      <c r="G11" s="38">
        <f>if(OR($F11=1, $F11=2),VLOOKUP($B11,Courts!$B$2:$K$50,10,false),0)</f>
        <v>1</v>
      </c>
      <c r="H11" s="40">
        <f t="shared" si="3"/>
        <v>0</v>
      </c>
      <c r="I11" s="38">
        <f>if(OR($F11=1, $F11=2),VLOOKUP($B11,Courts!$B$2:$J$50,5,false),0)</f>
        <v>3</v>
      </c>
      <c r="J11" s="38">
        <f>if(OR($F11=1, $F11=2),VLOOKUP($B11,Courts!$B$2:$J$50,6,false),0)</f>
        <v>6</v>
      </c>
      <c r="K11" s="38">
        <f>if(OR($F11=1, $F11=2),VLOOKUP($B11,Courts!$B$2:$J$50,7,false),0)</f>
        <v>7</v>
      </c>
      <c r="L11" s="48">
        <f t="shared" si="4"/>
        <v>16</v>
      </c>
      <c r="M11" s="38">
        <f>if(OR($F11=1, $F11=2),VLOOKUP($B11,Courts!$B$2:$J$50,9,false),0)</f>
        <v>1</v>
      </c>
      <c r="N11" s="34">
        <f t="shared" ref="N11:O11" si="18">C11+L11</f>
        <v>319</v>
      </c>
      <c r="O11" s="34">
        <f t="shared" si="18"/>
        <v>28</v>
      </c>
      <c r="P11" s="49" t="s">
        <v>58</v>
      </c>
      <c r="Q11" s="49" t="s">
        <v>58</v>
      </c>
      <c r="R11" s="49" t="s">
        <v>58</v>
      </c>
      <c r="S11" s="50">
        <f t="shared" si="6"/>
        <v>21</v>
      </c>
      <c r="T11" s="52">
        <f t="shared" si="7"/>
        <v>0</v>
      </c>
      <c r="U11" s="52"/>
      <c r="V11" s="50">
        <f t="shared" si="8"/>
        <v>3</v>
      </c>
      <c r="W11" s="52">
        <f t="shared" si="9"/>
        <v>2</v>
      </c>
      <c r="X11" s="32">
        <f t="shared" si="14"/>
        <v>7</v>
      </c>
      <c r="Y11" s="32" t="str">
        <f t="shared" si="10"/>
        <v>N</v>
      </c>
      <c r="Z11" s="16" t="str">
        <f t="shared" si="11"/>
        <v/>
      </c>
    </row>
    <row r="12">
      <c r="A12" s="32">
        <f t="shared" si="12"/>
        <v>8</v>
      </c>
      <c r="B12" s="33" t="s">
        <v>98</v>
      </c>
      <c r="C12" s="34">
        <v>301.0</v>
      </c>
      <c r="D12" s="34">
        <v>31.0</v>
      </c>
      <c r="E12" s="35">
        <f t="shared" si="2"/>
        <v>13.04761905</v>
      </c>
      <c r="F12" s="36">
        <f>if(isna(VLOOKUP(B12,Checkin!A:B,2,false)),0,VLOOKUP(B12,Checkin!A:B,2,false))</f>
        <v>1</v>
      </c>
      <c r="G12" s="38">
        <f>if(OR($F12=1, $F12=2),VLOOKUP($B12,Courts!$B$2:$K$50,10,false),0)</f>
        <v>1</v>
      </c>
      <c r="H12" s="40">
        <f t="shared" si="3"/>
        <v>0</v>
      </c>
      <c r="I12" s="38">
        <f>if(OR($F12=1, $F12=2),VLOOKUP($B12,Courts!$B$2:$J$50,5,false),0)</f>
        <v>3</v>
      </c>
      <c r="J12" s="38">
        <f>if(OR($F12=1, $F12=2),VLOOKUP($B12,Courts!$B$2:$J$50,6,false),0)</f>
        <v>7</v>
      </c>
      <c r="K12" s="38">
        <f>if(OR($F12=1, $F12=2),VLOOKUP($B12,Courts!$B$2:$J$50,7,false),0)</f>
        <v>5</v>
      </c>
      <c r="L12" s="48">
        <f t="shared" si="4"/>
        <v>15</v>
      </c>
      <c r="M12" s="38">
        <f>if(OR($F12=1, $F12=2),VLOOKUP($B12,Courts!$B$2:$J$50,9,false),0)</f>
        <v>1</v>
      </c>
      <c r="N12" s="34">
        <f t="shared" ref="N12:O12" si="19">C12+L12</f>
        <v>316</v>
      </c>
      <c r="O12" s="34">
        <f t="shared" si="19"/>
        <v>32</v>
      </c>
      <c r="P12" s="49" t="s">
        <v>58</v>
      </c>
      <c r="Q12" s="49" t="s">
        <v>58</v>
      </c>
      <c r="R12" s="49" t="s">
        <v>58</v>
      </c>
      <c r="S12" s="50">
        <f t="shared" si="6"/>
        <v>21</v>
      </c>
      <c r="T12" s="52">
        <f t="shared" si="7"/>
        <v>0</v>
      </c>
      <c r="U12" s="52"/>
      <c r="V12" s="50">
        <f t="shared" si="8"/>
        <v>3</v>
      </c>
      <c r="W12" s="52">
        <f t="shared" si="9"/>
        <v>-1</v>
      </c>
      <c r="X12" s="32">
        <f t="shared" si="14"/>
        <v>8</v>
      </c>
      <c r="Y12" s="32" t="str">
        <f t="shared" si="10"/>
        <v>N</v>
      </c>
      <c r="Z12" s="16" t="str">
        <f t="shared" si="11"/>
        <v/>
      </c>
    </row>
    <row r="13">
      <c r="A13" s="32">
        <f t="shared" si="12"/>
        <v>9</v>
      </c>
      <c r="B13" s="33" t="s">
        <v>91</v>
      </c>
      <c r="C13" s="34">
        <v>301.0</v>
      </c>
      <c r="D13" s="34">
        <v>31.0</v>
      </c>
      <c r="E13" s="35">
        <f t="shared" si="2"/>
        <v>12.68181818</v>
      </c>
      <c r="F13" s="36">
        <f>if(isna(VLOOKUP(B13,Checkin!A:B,2,false)),0,VLOOKUP(B13,Checkin!A:B,2,false))</f>
        <v>3</v>
      </c>
      <c r="G13" s="38">
        <f>if(OR($F13=1, $F13=2),VLOOKUP($B13,Courts!$B$2:$K$50,10,false),0)</f>
        <v>0</v>
      </c>
      <c r="H13" s="40">
        <f t="shared" si="3"/>
        <v>9</v>
      </c>
      <c r="I13" s="38">
        <f>if(OR($F13=1, $F13=2),VLOOKUP($B13,Courts!$B$2:$J$50,5,false),0)</f>
        <v>0</v>
      </c>
      <c r="J13" s="38">
        <f>if(OR($F13=1, $F13=2),VLOOKUP($B13,Courts!$B$2:$J$50,6,false),0)</f>
        <v>0</v>
      </c>
      <c r="K13" s="38">
        <f>if(OR($F13=1, $F13=2),VLOOKUP($B13,Courts!$B$2:$J$50,7,false),0)</f>
        <v>0</v>
      </c>
      <c r="L13" s="48">
        <f t="shared" si="4"/>
        <v>9</v>
      </c>
      <c r="M13" s="38">
        <f>if(OR($F13=1, $F13=2),VLOOKUP($B13,Courts!$B$2:$J$50,9,false),0)</f>
        <v>0</v>
      </c>
      <c r="N13" s="34">
        <f t="shared" ref="N13:O13" si="20">C13+L13</f>
        <v>310</v>
      </c>
      <c r="O13" s="34">
        <f t="shared" si="20"/>
        <v>31</v>
      </c>
      <c r="P13" s="49" t="s">
        <v>58</v>
      </c>
      <c r="Q13" s="49" t="s">
        <v>58</v>
      </c>
      <c r="R13" s="49" t="s">
        <v>58</v>
      </c>
      <c r="S13" s="50">
        <f t="shared" si="6"/>
        <v>22</v>
      </c>
      <c r="T13" s="52">
        <f t="shared" si="7"/>
        <v>1</v>
      </c>
      <c r="U13" s="52"/>
      <c r="V13" s="50">
        <f t="shared" si="8"/>
        <v>1</v>
      </c>
      <c r="W13" s="52">
        <f t="shared" si="9"/>
        <v>1</v>
      </c>
      <c r="X13" s="32">
        <f t="shared" si="14"/>
        <v>9</v>
      </c>
      <c r="Y13" s="32" t="str">
        <f t="shared" si="10"/>
        <v>N</v>
      </c>
      <c r="Z13" s="16" t="str">
        <f t="shared" si="11"/>
        <v/>
      </c>
    </row>
    <row r="14">
      <c r="A14" s="32">
        <f t="shared" si="12"/>
        <v>10</v>
      </c>
      <c r="B14" s="33" t="s">
        <v>113</v>
      </c>
      <c r="C14" s="34">
        <v>301.0</v>
      </c>
      <c r="D14" s="34">
        <v>25.0</v>
      </c>
      <c r="E14" s="35">
        <f t="shared" si="2"/>
        <v>14</v>
      </c>
      <c r="F14" s="36">
        <f>if(isna(VLOOKUP(B14,Checkin!A:B,2,false)),0,VLOOKUP(B14,Checkin!A:B,2,false))</f>
        <v>3</v>
      </c>
      <c r="G14" s="38">
        <f>if(OR($F14=1, $F14=2),VLOOKUP($B14,Courts!$B$2:$K$50,10,false),0)</f>
        <v>0</v>
      </c>
      <c r="H14" s="40">
        <f t="shared" si="3"/>
        <v>9</v>
      </c>
      <c r="I14" s="38">
        <f>if(OR($F14=1, $F14=2),VLOOKUP($B14,Courts!$B$2:$J$50,5,false),0)</f>
        <v>0</v>
      </c>
      <c r="J14" s="38">
        <f>if(OR($F14=1, $F14=2),VLOOKUP($B14,Courts!$B$2:$J$50,6,false),0)</f>
        <v>0</v>
      </c>
      <c r="K14" s="38">
        <f>if(OR($F14=1, $F14=2),VLOOKUP($B14,Courts!$B$2:$J$50,7,false),0)</f>
        <v>0</v>
      </c>
      <c r="L14" s="48">
        <f t="shared" si="4"/>
        <v>9</v>
      </c>
      <c r="M14" s="38">
        <f>if(OR($F14=1, $F14=2),VLOOKUP($B14,Courts!$B$2:$J$50,9,false),0)</f>
        <v>0</v>
      </c>
      <c r="N14" s="34">
        <f t="shared" ref="N14:O14" si="21">C14+L14</f>
        <v>310</v>
      </c>
      <c r="O14" s="34">
        <f t="shared" si="21"/>
        <v>25</v>
      </c>
      <c r="P14" s="49" t="s">
        <v>58</v>
      </c>
      <c r="Q14" s="49" t="s">
        <v>58</v>
      </c>
      <c r="R14" s="49" t="s">
        <v>58</v>
      </c>
      <c r="S14" s="50">
        <f t="shared" si="6"/>
        <v>17</v>
      </c>
      <c r="T14" s="52">
        <f t="shared" si="7"/>
        <v>0</v>
      </c>
      <c r="U14" s="52"/>
      <c r="V14" s="50">
        <f t="shared" si="8"/>
        <v>7</v>
      </c>
      <c r="W14" s="52">
        <f t="shared" si="9"/>
        <v>-2</v>
      </c>
      <c r="X14" s="32">
        <f t="shared" si="14"/>
        <v>10</v>
      </c>
      <c r="Y14" s="32" t="str">
        <f t="shared" si="10"/>
        <v>N</v>
      </c>
      <c r="Z14" s="16" t="str">
        <f t="shared" si="11"/>
        <v/>
      </c>
    </row>
    <row r="15">
      <c r="A15" s="32">
        <f t="shared" si="12"/>
        <v>11</v>
      </c>
      <c r="B15" s="33" t="s">
        <v>125</v>
      </c>
      <c r="C15" s="34">
        <v>300.0</v>
      </c>
      <c r="D15" s="34">
        <v>26.0</v>
      </c>
      <c r="E15" s="35">
        <f t="shared" si="2"/>
        <v>13.66666667</v>
      </c>
      <c r="F15" s="36">
        <f>if(isna(VLOOKUP(B15,Checkin!A:B,2,false)),0,VLOOKUP(B15,Checkin!A:B,2,false))</f>
        <v>3</v>
      </c>
      <c r="G15" s="38">
        <f>if(OR($F15=1, $F15=2),VLOOKUP($B15,Courts!$B$2:$K$50,10,false),0)</f>
        <v>0</v>
      </c>
      <c r="H15" s="40">
        <f t="shared" si="3"/>
        <v>9</v>
      </c>
      <c r="I15" s="38">
        <f>if(OR($F15=1, $F15=2),VLOOKUP($B15,Courts!$B$2:$J$50,5,false),0)</f>
        <v>0</v>
      </c>
      <c r="J15" s="38">
        <f>if(OR($F15=1, $F15=2),VLOOKUP($B15,Courts!$B$2:$J$50,6,false),0)</f>
        <v>0</v>
      </c>
      <c r="K15" s="38">
        <f>if(OR($F15=1, $F15=2),VLOOKUP($B15,Courts!$B$2:$J$50,7,false),0)</f>
        <v>0</v>
      </c>
      <c r="L15" s="48">
        <f t="shared" si="4"/>
        <v>9</v>
      </c>
      <c r="M15" s="38">
        <f>if(OR($F15=1, $F15=2),VLOOKUP($B15,Courts!$B$2:$J$50,9,false),0)</f>
        <v>0</v>
      </c>
      <c r="N15" s="34">
        <f t="shared" ref="N15:O15" si="22">C15+L15</f>
        <v>309</v>
      </c>
      <c r="O15" s="34">
        <f t="shared" si="22"/>
        <v>26</v>
      </c>
      <c r="P15" s="49" t="s">
        <v>58</v>
      </c>
      <c r="Q15" s="49" t="s">
        <v>58</v>
      </c>
      <c r="R15" s="49" t="s">
        <v>58</v>
      </c>
      <c r="S15" s="50">
        <f t="shared" si="6"/>
        <v>18</v>
      </c>
      <c r="T15" s="52">
        <f t="shared" si="7"/>
        <v>0</v>
      </c>
      <c r="U15" s="52"/>
      <c r="V15" s="50">
        <f t="shared" si="8"/>
        <v>6</v>
      </c>
      <c r="W15" s="52">
        <f t="shared" si="9"/>
        <v>0</v>
      </c>
      <c r="X15" s="32">
        <f t="shared" si="14"/>
        <v>11</v>
      </c>
      <c r="Y15" s="32" t="str">
        <f t="shared" si="10"/>
        <v>N</v>
      </c>
      <c r="Z15" s="16" t="str">
        <f t="shared" si="11"/>
        <v/>
      </c>
    </row>
    <row r="16">
      <c r="A16" s="32">
        <f t="shared" si="12"/>
        <v>12</v>
      </c>
      <c r="B16" s="33" t="s">
        <v>103</v>
      </c>
      <c r="C16" s="34">
        <v>300.0</v>
      </c>
      <c r="D16" s="34">
        <v>21.0</v>
      </c>
      <c r="E16" s="35">
        <f t="shared" si="2"/>
        <v>13.44444444</v>
      </c>
      <c r="F16" s="36">
        <f>if(isna(VLOOKUP(B16,Checkin!A:B,2,false)),0,VLOOKUP(B16,Checkin!A:B,2,false))</f>
        <v>1</v>
      </c>
      <c r="G16" s="38">
        <f>if(OR($F16=1, $F16=2),VLOOKUP($B16,Courts!$B$2:$K$50,10,false),0)</f>
        <v>1</v>
      </c>
      <c r="H16" s="40">
        <f t="shared" si="3"/>
        <v>0</v>
      </c>
      <c r="I16" s="38">
        <f>if(OR($F16=1, $F16=2),VLOOKUP($B16,Courts!$B$2:$J$50,5,false),0)</f>
        <v>6</v>
      </c>
      <c r="J16" s="38">
        <f>if(OR($F16=1, $F16=2),VLOOKUP($B16,Courts!$B$2:$J$50,6,false),0)</f>
        <v>7</v>
      </c>
      <c r="K16" s="38">
        <f>if(OR($F16=1, $F16=2),VLOOKUP($B16,Courts!$B$2:$J$50,7,false),0)</f>
        <v>7</v>
      </c>
      <c r="L16" s="48">
        <f t="shared" si="4"/>
        <v>20</v>
      </c>
      <c r="M16" s="38">
        <f>if(OR($F16=1, $F16=2),VLOOKUP($B16,Courts!$B$2:$J$50,9,false),0)</f>
        <v>3</v>
      </c>
      <c r="N16" s="34">
        <f t="shared" ref="N16:O16" si="23">C16+L16</f>
        <v>320</v>
      </c>
      <c r="O16" s="34">
        <f t="shared" si="23"/>
        <v>24</v>
      </c>
      <c r="P16" s="49" t="s">
        <v>58</v>
      </c>
      <c r="Q16" s="49" t="s">
        <v>58</v>
      </c>
      <c r="R16" s="49" t="s">
        <v>58</v>
      </c>
      <c r="S16" s="50">
        <f t="shared" si="6"/>
        <v>18</v>
      </c>
      <c r="T16" s="52">
        <f t="shared" si="7"/>
        <v>1</v>
      </c>
      <c r="U16" s="52"/>
      <c r="V16" s="50">
        <f t="shared" si="8"/>
        <v>5</v>
      </c>
      <c r="W16" s="52">
        <f t="shared" si="9"/>
        <v>0</v>
      </c>
      <c r="X16" s="32">
        <f t="shared" si="14"/>
        <v>12</v>
      </c>
      <c r="Y16" s="32" t="str">
        <f t="shared" si="10"/>
        <v>N</v>
      </c>
      <c r="Z16" s="16" t="str">
        <f t="shared" si="11"/>
        <v/>
      </c>
    </row>
    <row r="17">
      <c r="A17" s="32">
        <f t="shared" si="12"/>
        <v>13</v>
      </c>
      <c r="B17" s="33" t="s">
        <v>111</v>
      </c>
      <c r="C17" s="34">
        <v>298.0</v>
      </c>
      <c r="D17" s="34">
        <v>28.0</v>
      </c>
      <c r="E17" s="35">
        <f t="shared" si="2"/>
        <v>12.42105263</v>
      </c>
      <c r="F17" s="36">
        <f>if(isna(VLOOKUP(B17,Checkin!A:B,2,false)),0,VLOOKUP(B17,Checkin!A:B,2,false))</f>
        <v>5</v>
      </c>
      <c r="G17" s="38">
        <f>if(OR($F17=1, $F17=2),VLOOKUP($B17,Courts!$B$2:$K$50,10,false),0)</f>
        <v>0</v>
      </c>
      <c r="H17" s="40">
        <f t="shared" si="3"/>
        <v>13</v>
      </c>
      <c r="I17" s="38">
        <f>if(OR($F17=1, $F17=2),VLOOKUP($B17,Courts!$B$2:$J$50,5,false),0)</f>
        <v>0</v>
      </c>
      <c r="J17" s="38">
        <f>if(OR($F17=1, $F17=2),VLOOKUP($B17,Courts!$B$2:$J$50,6,false),0)</f>
        <v>0</v>
      </c>
      <c r="K17" s="38">
        <f>if(OR($F17=1, $F17=2),VLOOKUP($B17,Courts!$B$2:$J$50,7,false),0)</f>
        <v>0</v>
      </c>
      <c r="L17" s="48">
        <f t="shared" si="4"/>
        <v>13</v>
      </c>
      <c r="M17" s="38">
        <f>if(OR($F17=1, $F17=2),VLOOKUP($B17,Courts!$B$2:$J$50,9,false),0)</f>
        <v>0</v>
      </c>
      <c r="N17" s="34">
        <f t="shared" ref="N17:O17" si="24">C17+L17</f>
        <v>311</v>
      </c>
      <c r="O17" s="34">
        <f t="shared" si="24"/>
        <v>28</v>
      </c>
      <c r="P17" s="49" t="s">
        <v>58</v>
      </c>
      <c r="Q17" s="49" t="s">
        <v>58</v>
      </c>
      <c r="R17" s="49" t="s">
        <v>58</v>
      </c>
      <c r="S17" s="50">
        <f t="shared" si="6"/>
        <v>19</v>
      </c>
      <c r="T17" s="52">
        <f t="shared" si="7"/>
        <v>2</v>
      </c>
      <c r="U17" s="52"/>
      <c r="V17" s="50">
        <f t="shared" si="8"/>
        <v>4</v>
      </c>
      <c r="W17" s="52">
        <f t="shared" si="9"/>
        <v>3</v>
      </c>
      <c r="X17" s="32">
        <f t="shared" si="14"/>
        <v>13</v>
      </c>
      <c r="Y17" s="32" t="str">
        <f t="shared" si="10"/>
        <v>N</v>
      </c>
      <c r="Z17" s="16" t="str">
        <f t="shared" si="11"/>
        <v>Error</v>
      </c>
    </row>
    <row r="18">
      <c r="A18" s="32">
        <f t="shared" si="12"/>
        <v>14</v>
      </c>
      <c r="B18" s="33" t="s">
        <v>65</v>
      </c>
      <c r="C18" s="34">
        <v>293.0</v>
      </c>
      <c r="D18" s="34">
        <v>29.0</v>
      </c>
      <c r="E18" s="35">
        <f t="shared" si="2"/>
        <v>14.13333333</v>
      </c>
      <c r="F18" s="36">
        <f>if(isna(VLOOKUP(B18,Checkin!A:B,2,false)),0,VLOOKUP(B18,Checkin!A:B,2,false))</f>
        <v>2</v>
      </c>
      <c r="G18" s="38">
        <f>if(OR($F18=1, $F18=2),VLOOKUP($B18,Courts!$B$2:$K$50,10,false),0)</f>
        <v>2</v>
      </c>
      <c r="H18" s="40">
        <f t="shared" si="3"/>
        <v>0</v>
      </c>
      <c r="I18" s="38" t="str">
        <f>if(OR($F18=1, $F18=2),VLOOKUP($B18,Courts!$B$2:$J$50,5,false),0)</f>
        <v/>
      </c>
      <c r="J18" s="38" t="str">
        <f>if(OR($F18=1, $F18=2),VLOOKUP($B18,Courts!$B$2:$J$50,6,false),0)</f>
        <v/>
      </c>
      <c r="K18" s="38" t="str">
        <f>if(OR($F18=1, $F18=2),VLOOKUP($B18,Courts!$B$2:$J$50,7,false),0)</f>
        <v/>
      </c>
      <c r="L18" s="48">
        <f t="shared" si="4"/>
        <v>0</v>
      </c>
      <c r="M18" s="38" t="str">
        <f>if(OR($F18=1, $F18=2),VLOOKUP($B18,Courts!$B$2:$J$50,9,false),0)</f>
        <v/>
      </c>
      <c r="N18" s="34">
        <f t="shared" ref="N18:O18" si="25">C18+L18</f>
        <v>293</v>
      </c>
      <c r="O18" s="34">
        <f t="shared" si="25"/>
        <v>29</v>
      </c>
      <c r="P18" s="49" t="s">
        <v>58</v>
      </c>
      <c r="Q18" s="49" t="s">
        <v>58</v>
      </c>
      <c r="R18" s="49" t="s">
        <v>58</v>
      </c>
      <c r="S18" s="50">
        <f t="shared" si="6"/>
        <v>15</v>
      </c>
      <c r="T18" s="52">
        <f t="shared" si="7"/>
        <v>0</v>
      </c>
      <c r="U18" s="52"/>
      <c r="V18" s="50">
        <f t="shared" si="8"/>
        <v>9</v>
      </c>
      <c r="W18" s="52">
        <f t="shared" si="9"/>
        <v>3</v>
      </c>
      <c r="X18" s="32">
        <f t="shared" si="14"/>
        <v>14</v>
      </c>
      <c r="Y18" s="32" t="str">
        <f t="shared" si="10"/>
        <v>N</v>
      </c>
      <c r="Z18" s="16" t="str">
        <f t="shared" si="11"/>
        <v/>
      </c>
    </row>
    <row r="19">
      <c r="A19" s="32">
        <f t="shared" si="12"/>
        <v>15</v>
      </c>
      <c r="B19" s="33" t="s">
        <v>110</v>
      </c>
      <c r="C19" s="34">
        <v>292.0</v>
      </c>
      <c r="D19" s="34">
        <v>30.0</v>
      </c>
      <c r="E19" s="35">
        <f t="shared" si="2"/>
        <v>12.45454545</v>
      </c>
      <c r="F19" s="36">
        <f>if(isna(VLOOKUP(B19,Checkin!A:B,2,false)),0,VLOOKUP(B19,Checkin!A:B,2,false))</f>
        <v>3</v>
      </c>
      <c r="G19" s="38">
        <f>if(OR($F19=1, $F19=2),VLOOKUP($B19,Courts!$B$2:$K$50,10,false),0)</f>
        <v>0</v>
      </c>
      <c r="H19" s="40">
        <f t="shared" si="3"/>
        <v>9</v>
      </c>
      <c r="I19" s="38">
        <f>if(OR($F19=1, $F19=2),VLOOKUP($B19,Courts!$B$2:$J$50,5,false),0)</f>
        <v>0</v>
      </c>
      <c r="J19" s="38">
        <f>if(OR($F19=1, $F19=2),VLOOKUP($B19,Courts!$B$2:$J$50,6,false),0)</f>
        <v>0</v>
      </c>
      <c r="K19" s="38">
        <f>if(OR($F19=1, $F19=2),VLOOKUP($B19,Courts!$B$2:$J$50,7,false),0)</f>
        <v>0</v>
      </c>
      <c r="L19" s="48">
        <f t="shared" si="4"/>
        <v>9</v>
      </c>
      <c r="M19" s="38">
        <f>if(OR($F19=1, $F19=2),VLOOKUP($B19,Courts!$B$2:$J$50,9,false),0)</f>
        <v>0</v>
      </c>
      <c r="N19" s="34">
        <f t="shared" ref="N19:O19" si="26">C19+L19</f>
        <v>301</v>
      </c>
      <c r="O19" s="34">
        <f t="shared" si="26"/>
        <v>30</v>
      </c>
      <c r="P19" s="49" t="s">
        <v>58</v>
      </c>
      <c r="Q19" s="49" t="s">
        <v>58</v>
      </c>
      <c r="R19" s="49" t="s">
        <v>58</v>
      </c>
      <c r="S19" s="50">
        <f t="shared" si="6"/>
        <v>22</v>
      </c>
      <c r="T19" s="52">
        <f t="shared" si="7"/>
        <v>0</v>
      </c>
      <c r="U19" s="52"/>
      <c r="V19" s="50">
        <f t="shared" si="8"/>
        <v>2</v>
      </c>
      <c r="W19" s="52">
        <f t="shared" si="9"/>
        <v>3</v>
      </c>
      <c r="X19" s="32">
        <f t="shared" si="14"/>
        <v>15</v>
      </c>
      <c r="Y19" s="32" t="str">
        <f t="shared" si="10"/>
        <v>N</v>
      </c>
      <c r="Z19" s="16" t="str">
        <f t="shared" si="11"/>
        <v/>
      </c>
    </row>
    <row r="20">
      <c r="A20" s="32">
        <f t="shared" si="12"/>
        <v>16</v>
      </c>
      <c r="B20" s="33" t="s">
        <v>133</v>
      </c>
      <c r="C20" s="34">
        <v>292.0</v>
      </c>
      <c r="D20" s="34">
        <v>29.0</v>
      </c>
      <c r="E20" s="35">
        <f t="shared" si="2"/>
        <v>13</v>
      </c>
      <c r="F20" s="36">
        <f>if(isna(VLOOKUP(B20,Checkin!A:B,2,false)),0,VLOOKUP(B20,Checkin!A:B,2,false))</f>
        <v>1</v>
      </c>
      <c r="G20" s="38">
        <f>if(OR($F20=1, $F20=2),VLOOKUP($B20,Courts!$B$2:$K$50,10,false),0)</f>
        <v>2</v>
      </c>
      <c r="H20" s="40">
        <f t="shared" si="3"/>
        <v>0</v>
      </c>
      <c r="I20" s="38" t="str">
        <f>if(OR($F20=1, $F20=2),VLOOKUP($B20,Courts!$B$2:$J$50,5,false),0)</f>
        <v/>
      </c>
      <c r="J20" s="38" t="str">
        <f>if(OR($F20=1, $F20=2),VLOOKUP($B20,Courts!$B$2:$J$50,6,false),0)</f>
        <v/>
      </c>
      <c r="K20" s="38" t="str">
        <f>if(OR($F20=1, $F20=2),VLOOKUP($B20,Courts!$B$2:$J$50,7,false),0)</f>
        <v/>
      </c>
      <c r="L20" s="48">
        <f t="shared" si="4"/>
        <v>0</v>
      </c>
      <c r="M20" s="38" t="str">
        <f>if(OR($F20=1, $F20=2),VLOOKUP($B20,Courts!$B$2:$J$50,9,false),0)</f>
        <v/>
      </c>
      <c r="N20" s="34">
        <f t="shared" ref="N20:O20" si="27">C20+L20</f>
        <v>292</v>
      </c>
      <c r="O20" s="34">
        <f t="shared" si="27"/>
        <v>29</v>
      </c>
      <c r="P20" s="49" t="s">
        <v>58</v>
      </c>
      <c r="Q20" s="49" t="s">
        <v>58</v>
      </c>
      <c r="R20" s="49" t="s">
        <v>58</v>
      </c>
      <c r="S20" s="50">
        <f t="shared" si="6"/>
        <v>19</v>
      </c>
      <c r="T20" s="52">
        <f t="shared" si="7"/>
        <v>0</v>
      </c>
      <c r="U20" s="52"/>
      <c r="V20" s="50">
        <f t="shared" si="8"/>
        <v>5</v>
      </c>
      <c r="W20" s="52">
        <f t="shared" si="9"/>
        <v>-2</v>
      </c>
      <c r="X20" s="32">
        <f t="shared" si="14"/>
        <v>16</v>
      </c>
      <c r="Y20" s="32" t="str">
        <f t="shared" si="10"/>
        <v>N</v>
      </c>
      <c r="Z20" s="16" t="str">
        <f t="shared" si="11"/>
        <v/>
      </c>
    </row>
    <row r="21">
      <c r="A21" s="32">
        <f t="shared" si="12"/>
        <v>17</v>
      </c>
      <c r="B21" s="33" t="s">
        <v>134</v>
      </c>
      <c r="C21" s="34">
        <v>292.0</v>
      </c>
      <c r="D21" s="34">
        <v>27.0</v>
      </c>
      <c r="E21" s="35">
        <f t="shared" si="2"/>
        <v>14.84615385</v>
      </c>
      <c r="F21" s="36">
        <f>if(isna(VLOOKUP(B21,Checkin!A:B,2,false)),0,VLOOKUP(B21,Checkin!A:B,2,false))</f>
        <v>3</v>
      </c>
      <c r="G21" s="38">
        <f>if(OR($F21=1, $F21=2),VLOOKUP($B21,Courts!$B$2:$K$50,10,false),0)</f>
        <v>0</v>
      </c>
      <c r="H21" s="40">
        <f t="shared" si="3"/>
        <v>9</v>
      </c>
      <c r="I21" s="38">
        <f>if(OR($F21=1, $F21=2),VLOOKUP($B21,Courts!$B$2:$J$50,5,false),0)</f>
        <v>0</v>
      </c>
      <c r="J21" s="38">
        <f>if(OR($F21=1, $F21=2),VLOOKUP($B21,Courts!$B$2:$J$50,6,false),0)</f>
        <v>0</v>
      </c>
      <c r="K21" s="38">
        <f>if(OR($F21=1, $F21=2),VLOOKUP($B21,Courts!$B$2:$J$50,7,false),0)</f>
        <v>0</v>
      </c>
      <c r="L21" s="48">
        <f t="shared" si="4"/>
        <v>9</v>
      </c>
      <c r="M21" s="38">
        <f>if(OR($F21=1, $F21=2),VLOOKUP($B21,Courts!$B$2:$J$50,9,false),0)</f>
        <v>0</v>
      </c>
      <c r="N21" s="34">
        <f t="shared" ref="N21:O21" si="28">C21+L21</f>
        <v>301</v>
      </c>
      <c r="O21" s="34">
        <f t="shared" si="28"/>
        <v>27</v>
      </c>
      <c r="P21" s="49" t="s">
        <v>58</v>
      </c>
      <c r="Q21" s="49" t="s">
        <v>58</v>
      </c>
      <c r="R21" s="49" t="s">
        <v>58</v>
      </c>
      <c r="S21" s="50">
        <f t="shared" si="6"/>
        <v>13</v>
      </c>
      <c r="T21" s="52">
        <f t="shared" si="7"/>
        <v>0</v>
      </c>
      <c r="U21" s="52"/>
      <c r="V21" s="50">
        <f t="shared" si="8"/>
        <v>11</v>
      </c>
      <c r="W21" s="52">
        <f t="shared" si="9"/>
        <v>-4</v>
      </c>
      <c r="X21" s="32">
        <f t="shared" si="14"/>
        <v>17</v>
      </c>
      <c r="Y21" s="32" t="str">
        <f t="shared" si="10"/>
        <v>N</v>
      </c>
      <c r="Z21" s="16" t="str">
        <f t="shared" si="11"/>
        <v/>
      </c>
    </row>
    <row r="22">
      <c r="A22" s="32">
        <f t="shared" si="12"/>
        <v>18</v>
      </c>
      <c r="B22" s="33" t="s">
        <v>87</v>
      </c>
      <c r="C22" s="34">
        <v>289.0</v>
      </c>
      <c r="D22" s="34">
        <v>27.0</v>
      </c>
      <c r="E22" s="35">
        <f t="shared" si="2"/>
        <v>11.94736842</v>
      </c>
      <c r="F22" s="36">
        <f>if(isna(VLOOKUP(B22,Checkin!A:B,2,false)),0,VLOOKUP(B22,Checkin!A:B,2,false))</f>
        <v>5</v>
      </c>
      <c r="G22" s="38">
        <f>if(OR($F22=1, $F22=2),VLOOKUP($B22,Courts!$B$2:$K$50,10,false),0)</f>
        <v>0</v>
      </c>
      <c r="H22" s="40">
        <f t="shared" si="3"/>
        <v>13</v>
      </c>
      <c r="I22" s="38">
        <f>if(OR($F22=1, $F22=2),VLOOKUP($B22,Courts!$B$2:$J$50,5,false),0)</f>
        <v>0</v>
      </c>
      <c r="J22" s="38">
        <f>if(OR($F22=1, $F22=2),VLOOKUP($B22,Courts!$B$2:$J$50,6,false),0)</f>
        <v>0</v>
      </c>
      <c r="K22" s="38">
        <f>if(OR($F22=1, $F22=2),VLOOKUP($B22,Courts!$B$2:$J$50,7,false),0)</f>
        <v>0</v>
      </c>
      <c r="L22" s="48">
        <f t="shared" si="4"/>
        <v>13</v>
      </c>
      <c r="M22" s="38">
        <f>if(OR($F22=1, $F22=2),VLOOKUP($B22,Courts!$B$2:$J$50,9,false),0)</f>
        <v>0</v>
      </c>
      <c r="N22" s="34">
        <f t="shared" ref="N22:O22" si="29">C22+L22</f>
        <v>302</v>
      </c>
      <c r="O22" s="34">
        <f t="shared" si="29"/>
        <v>27</v>
      </c>
      <c r="P22" s="49" t="s">
        <v>58</v>
      </c>
      <c r="Q22" s="49" t="s">
        <v>58</v>
      </c>
      <c r="R22" s="49" t="s">
        <v>58</v>
      </c>
      <c r="S22" s="50">
        <f t="shared" si="6"/>
        <v>19</v>
      </c>
      <c r="T22" s="52">
        <f t="shared" si="7"/>
        <v>2</v>
      </c>
      <c r="U22" s="52"/>
      <c r="V22" s="50">
        <f t="shared" si="8"/>
        <v>4</v>
      </c>
      <c r="W22" s="52">
        <f t="shared" si="9"/>
        <v>-3</v>
      </c>
      <c r="X22" s="32">
        <f t="shared" si="14"/>
        <v>18</v>
      </c>
      <c r="Y22" s="32" t="str">
        <f t="shared" si="10"/>
        <v>N</v>
      </c>
      <c r="Z22" s="16" t="str">
        <f t="shared" si="11"/>
        <v>Error</v>
      </c>
    </row>
    <row r="23">
      <c r="A23" s="32">
        <f t="shared" si="12"/>
        <v>19</v>
      </c>
      <c r="B23" s="33" t="s">
        <v>135</v>
      </c>
      <c r="C23" s="34">
        <v>288.0</v>
      </c>
      <c r="D23" s="34">
        <v>29.0</v>
      </c>
      <c r="E23" s="35">
        <f t="shared" si="2"/>
        <v>13.23529412</v>
      </c>
      <c r="F23" s="36">
        <f>if(isna(VLOOKUP(B23,Checkin!A:B,2,false)),0,VLOOKUP(B23,Checkin!A:B,2,false))</f>
        <v>1</v>
      </c>
      <c r="G23" s="38">
        <f>if(OR($F23=1, $F23=2),VLOOKUP($B23,Courts!$B$2:$K$50,10,false),0)</f>
        <v>2</v>
      </c>
      <c r="H23" s="40">
        <f t="shared" si="3"/>
        <v>0</v>
      </c>
      <c r="I23" s="38" t="str">
        <f>if(OR($F23=1, $F23=2),VLOOKUP($B23,Courts!$B$2:$J$50,5,false),0)</f>
        <v/>
      </c>
      <c r="J23" s="38" t="str">
        <f>if(OR($F23=1, $F23=2),VLOOKUP($B23,Courts!$B$2:$J$50,6,false),0)</f>
        <v/>
      </c>
      <c r="K23" s="38" t="str">
        <f>if(OR($F23=1, $F23=2),VLOOKUP($B23,Courts!$B$2:$J$50,7,false),0)</f>
        <v/>
      </c>
      <c r="L23" s="48">
        <f t="shared" si="4"/>
        <v>0</v>
      </c>
      <c r="M23" s="38" t="str">
        <f>if(OR($F23=1, $F23=2),VLOOKUP($B23,Courts!$B$2:$J$50,9,false),0)</f>
        <v/>
      </c>
      <c r="N23" s="34">
        <f t="shared" ref="N23:O23" si="30">C23+L23</f>
        <v>288</v>
      </c>
      <c r="O23" s="34">
        <f t="shared" si="30"/>
        <v>29</v>
      </c>
      <c r="P23" s="49" t="s">
        <v>58</v>
      </c>
      <c r="Q23" s="49" t="s">
        <v>58</v>
      </c>
      <c r="R23" s="49" t="s">
        <v>58</v>
      </c>
      <c r="S23" s="50">
        <f t="shared" si="6"/>
        <v>17</v>
      </c>
      <c r="T23" s="52">
        <f t="shared" si="7"/>
        <v>0</v>
      </c>
      <c r="U23" s="52"/>
      <c r="V23" s="50">
        <f t="shared" si="8"/>
        <v>7</v>
      </c>
      <c r="W23" s="52">
        <f t="shared" si="9"/>
        <v>8</v>
      </c>
      <c r="X23" s="32">
        <f t="shared" si="14"/>
        <v>19</v>
      </c>
      <c r="Y23" s="32" t="str">
        <f t="shared" si="10"/>
        <v>N</v>
      </c>
      <c r="Z23" s="16" t="str">
        <f t="shared" si="11"/>
        <v/>
      </c>
    </row>
    <row r="24">
      <c r="A24" s="32">
        <f t="shared" si="12"/>
        <v>20</v>
      </c>
      <c r="B24" s="33" t="s">
        <v>97</v>
      </c>
      <c r="C24" s="34">
        <v>286.0</v>
      </c>
      <c r="D24" s="34">
        <v>27.0</v>
      </c>
      <c r="E24" s="35">
        <f t="shared" si="2"/>
        <v>13.375</v>
      </c>
      <c r="F24" s="36">
        <f>if(isna(VLOOKUP(B24,Checkin!A:B,2,false)),0,VLOOKUP(B24,Checkin!A:B,2,false))</f>
        <v>1</v>
      </c>
      <c r="G24" s="38">
        <f>if(OR($F24=1, $F24=2),VLOOKUP($B24,Courts!$B$2:$K$50,10,false),0)</f>
        <v>2</v>
      </c>
      <c r="H24" s="40">
        <f t="shared" si="3"/>
        <v>0</v>
      </c>
      <c r="I24" s="38" t="str">
        <f>if(OR($F24=1, $F24=2),VLOOKUP($B24,Courts!$B$2:$J$50,5,false),0)</f>
        <v/>
      </c>
      <c r="J24" s="38" t="str">
        <f>if(OR($F24=1, $F24=2),VLOOKUP($B24,Courts!$B$2:$J$50,6,false),0)</f>
        <v/>
      </c>
      <c r="K24" s="38" t="str">
        <f>if(OR($F24=1, $F24=2),VLOOKUP($B24,Courts!$B$2:$J$50,7,false),0)</f>
        <v/>
      </c>
      <c r="L24" s="48">
        <f t="shared" si="4"/>
        <v>0</v>
      </c>
      <c r="M24" s="38" t="str">
        <f>if(OR($F24=1, $F24=2),VLOOKUP($B24,Courts!$B$2:$J$50,9,false),0)</f>
        <v/>
      </c>
      <c r="N24" s="34">
        <f t="shared" ref="N24:O24" si="31">C24+L24</f>
        <v>286</v>
      </c>
      <c r="O24" s="34">
        <f t="shared" si="31"/>
        <v>27</v>
      </c>
      <c r="P24" s="49" t="s">
        <v>58</v>
      </c>
      <c r="Q24" s="49" t="s">
        <v>58</v>
      </c>
      <c r="R24" s="49" t="s">
        <v>58</v>
      </c>
      <c r="S24" s="50">
        <f t="shared" si="6"/>
        <v>16</v>
      </c>
      <c r="T24" s="52">
        <f t="shared" si="7"/>
        <v>0</v>
      </c>
      <c r="U24" s="52"/>
      <c r="V24" s="50">
        <f t="shared" si="8"/>
        <v>8</v>
      </c>
      <c r="W24" s="52">
        <f t="shared" si="9"/>
        <v>4</v>
      </c>
      <c r="X24" s="32">
        <f t="shared" si="14"/>
        <v>20</v>
      </c>
      <c r="Y24" s="32" t="str">
        <f t="shared" si="10"/>
        <v>N</v>
      </c>
      <c r="Z24" s="16" t="str">
        <f t="shared" si="11"/>
        <v/>
      </c>
    </row>
    <row r="25">
      <c r="A25" s="32">
        <f t="shared" si="12"/>
        <v>21</v>
      </c>
      <c r="B25" s="33" t="s">
        <v>100</v>
      </c>
      <c r="C25" s="34">
        <v>286.0</v>
      </c>
      <c r="D25" s="34">
        <v>22.0</v>
      </c>
      <c r="E25" s="35">
        <f t="shared" si="2"/>
        <v>13.66666667</v>
      </c>
      <c r="F25" s="36">
        <f>if(isna(VLOOKUP(B25,Checkin!A:B,2,false)),0,VLOOKUP(B25,Checkin!A:B,2,false))</f>
        <v>1</v>
      </c>
      <c r="G25" s="38">
        <f>if(OR($F25=1, $F25=2),VLOOKUP($B25,Courts!$B$2:$K$50,10,false),0)</f>
        <v>3</v>
      </c>
      <c r="H25" s="40">
        <f t="shared" si="3"/>
        <v>0</v>
      </c>
      <c r="I25" s="38" t="str">
        <f>if(OR($F25=1, $F25=2),VLOOKUP($B25,Courts!$B$2:$J$50,5,false),0)</f>
        <v/>
      </c>
      <c r="J25" s="38" t="str">
        <f>if(OR($F25=1, $F25=2),VLOOKUP($B25,Courts!$B$2:$J$50,6,false),0)</f>
        <v/>
      </c>
      <c r="K25" s="38" t="str">
        <f>if(OR($F25=1, $F25=2),VLOOKUP($B25,Courts!$B$2:$J$50,7,false),0)</f>
        <v/>
      </c>
      <c r="L25" s="48">
        <f t="shared" si="4"/>
        <v>0</v>
      </c>
      <c r="M25" s="38" t="str">
        <f>if(OR($F25=1, $F25=2),VLOOKUP($B25,Courts!$B$2:$J$50,9,false),0)</f>
        <v/>
      </c>
      <c r="N25" s="34">
        <f t="shared" ref="N25:O25" si="32">C25+L25</f>
        <v>286</v>
      </c>
      <c r="O25" s="34">
        <f t="shared" si="32"/>
        <v>22</v>
      </c>
      <c r="P25" s="49" t="s">
        <v>58</v>
      </c>
      <c r="Q25" s="49" t="s">
        <v>58</v>
      </c>
      <c r="R25" s="49" t="s">
        <v>58</v>
      </c>
      <c r="S25" s="50">
        <f t="shared" si="6"/>
        <v>15</v>
      </c>
      <c r="T25" s="52">
        <f t="shared" si="7"/>
        <v>0</v>
      </c>
      <c r="U25" s="52"/>
      <c r="V25" s="50">
        <f t="shared" si="8"/>
        <v>9</v>
      </c>
      <c r="W25" s="52">
        <f t="shared" si="9"/>
        <v>4</v>
      </c>
      <c r="X25" s="32">
        <f t="shared" si="14"/>
        <v>21</v>
      </c>
      <c r="Y25" s="32" t="str">
        <f t="shared" si="10"/>
        <v>N</v>
      </c>
      <c r="Z25" s="16" t="str">
        <f t="shared" si="11"/>
        <v/>
      </c>
    </row>
    <row r="26">
      <c r="A26" s="32">
        <f t="shared" si="12"/>
        <v>22</v>
      </c>
      <c r="B26" s="33" t="s">
        <v>99</v>
      </c>
      <c r="C26" s="34">
        <v>286.0</v>
      </c>
      <c r="D26" s="34">
        <v>21.0</v>
      </c>
      <c r="E26" s="35">
        <f t="shared" si="2"/>
        <v>13.4</v>
      </c>
      <c r="F26" s="36">
        <f>if(isna(VLOOKUP(B26,Checkin!A:B,2,false)),0,VLOOKUP(B26,Checkin!A:B,2,false))</f>
        <v>1</v>
      </c>
      <c r="G26" s="38">
        <f>if(OR($F26=1, $F26=2),VLOOKUP($B26,Courts!$B$2:$K$50,10,false),0)</f>
        <v>3</v>
      </c>
      <c r="H26" s="40">
        <f t="shared" si="3"/>
        <v>0</v>
      </c>
      <c r="I26" s="38" t="str">
        <f>if(OR($F26=1, $F26=2),VLOOKUP($B26,Courts!$B$2:$J$50,5,false),0)</f>
        <v/>
      </c>
      <c r="J26" s="38" t="str">
        <f>if(OR($F26=1, $F26=2),VLOOKUP($B26,Courts!$B$2:$J$50,6,false),0)</f>
        <v/>
      </c>
      <c r="K26" s="38" t="str">
        <f>if(OR($F26=1, $F26=2),VLOOKUP($B26,Courts!$B$2:$J$50,7,false),0)</f>
        <v/>
      </c>
      <c r="L26" s="48">
        <f t="shared" si="4"/>
        <v>0</v>
      </c>
      <c r="M26" s="38" t="str">
        <f>if(OR($F26=1, $F26=2),VLOOKUP($B26,Courts!$B$2:$J$50,9,false),0)</f>
        <v/>
      </c>
      <c r="N26" s="34">
        <f t="shared" ref="N26:O26" si="33">C26+L26</f>
        <v>286</v>
      </c>
      <c r="O26" s="34">
        <f t="shared" si="33"/>
        <v>21</v>
      </c>
      <c r="P26" s="49" t="s">
        <v>58</v>
      </c>
      <c r="Q26" s="49" t="s">
        <v>58</v>
      </c>
      <c r="R26" s="49" t="s">
        <v>58</v>
      </c>
      <c r="S26" s="50">
        <f t="shared" si="6"/>
        <v>15</v>
      </c>
      <c r="T26" s="52">
        <f t="shared" si="7"/>
        <v>1</v>
      </c>
      <c r="U26" s="52"/>
      <c r="V26" s="50">
        <f t="shared" si="8"/>
        <v>8</v>
      </c>
      <c r="W26" s="52">
        <f t="shared" si="9"/>
        <v>-3</v>
      </c>
      <c r="X26" s="32">
        <f t="shared" si="14"/>
        <v>22</v>
      </c>
      <c r="Y26" s="32" t="str">
        <f t="shared" si="10"/>
        <v>N</v>
      </c>
      <c r="Z26" s="16" t="str">
        <f t="shared" si="11"/>
        <v/>
      </c>
    </row>
    <row r="27">
      <c r="A27" s="32">
        <f t="shared" si="12"/>
        <v>23</v>
      </c>
      <c r="B27" s="33" t="s">
        <v>96</v>
      </c>
      <c r="C27" s="34">
        <v>285.0</v>
      </c>
      <c r="D27" s="34">
        <v>22.0</v>
      </c>
      <c r="E27" s="35">
        <f t="shared" si="2"/>
        <v>12.28571429</v>
      </c>
      <c r="F27" s="36">
        <f>if(isna(VLOOKUP(B27,Checkin!A:B,2,false)),0,VLOOKUP(B27,Checkin!A:B,2,false))</f>
        <v>1</v>
      </c>
      <c r="G27" s="38">
        <f>if(OR($F27=1, $F27=2),VLOOKUP($B27,Courts!$B$2:$K$50,10,false),0)</f>
        <v>3</v>
      </c>
      <c r="H27" s="40">
        <f t="shared" si="3"/>
        <v>0</v>
      </c>
      <c r="I27" s="38" t="str">
        <f>if(OR($F27=1, $F27=2),VLOOKUP($B27,Courts!$B$2:$J$50,5,false),0)</f>
        <v/>
      </c>
      <c r="J27" s="38" t="str">
        <f>if(OR($F27=1, $F27=2),VLOOKUP($B27,Courts!$B$2:$J$50,6,false),0)</f>
        <v/>
      </c>
      <c r="K27" s="38" t="str">
        <f>if(OR($F27=1, $F27=2),VLOOKUP($B27,Courts!$B$2:$J$50,7,false),0)</f>
        <v/>
      </c>
      <c r="L27" s="48">
        <f t="shared" si="4"/>
        <v>0</v>
      </c>
      <c r="M27" s="38" t="str">
        <f>if(OR($F27=1, $F27=2),VLOOKUP($B27,Courts!$B$2:$J$50,9,false),0)</f>
        <v/>
      </c>
      <c r="N27" s="34">
        <f t="shared" ref="N27:O27" si="34">C27+L27</f>
        <v>285</v>
      </c>
      <c r="O27" s="34">
        <f t="shared" si="34"/>
        <v>22</v>
      </c>
      <c r="P27" s="49" t="s">
        <v>58</v>
      </c>
      <c r="Q27" s="49" t="s">
        <v>58</v>
      </c>
      <c r="R27" s="49" t="s">
        <v>58</v>
      </c>
      <c r="S27" s="50">
        <f t="shared" si="6"/>
        <v>21</v>
      </c>
      <c r="T27" s="52">
        <f t="shared" si="7"/>
        <v>0</v>
      </c>
      <c r="U27" s="52"/>
      <c r="V27" s="50">
        <f t="shared" si="8"/>
        <v>3</v>
      </c>
      <c r="W27" s="52">
        <f t="shared" si="9"/>
        <v>3</v>
      </c>
      <c r="X27" s="32">
        <f t="shared" si="14"/>
        <v>23</v>
      </c>
      <c r="Y27" s="32" t="str">
        <f t="shared" si="10"/>
        <v>N</v>
      </c>
      <c r="Z27" s="16" t="str">
        <f t="shared" si="11"/>
        <v/>
      </c>
    </row>
    <row r="28">
      <c r="A28" s="32">
        <f t="shared" si="12"/>
        <v>24</v>
      </c>
      <c r="B28" s="33" t="s">
        <v>66</v>
      </c>
      <c r="C28" s="34">
        <v>284.0</v>
      </c>
      <c r="D28" s="34">
        <v>24.0</v>
      </c>
      <c r="E28" s="35">
        <f t="shared" si="2"/>
        <v>12.09090909</v>
      </c>
      <c r="F28" s="36">
        <f>if(isna(VLOOKUP(B28,Checkin!A:B,2,false)),0,VLOOKUP(B28,Checkin!A:B,2,false))</f>
        <v>1</v>
      </c>
      <c r="G28" s="38">
        <f>if(OR($F28=1, $F28=2),VLOOKUP($B28,Courts!$B$2:$K$50,10,false),0)</f>
        <v>3</v>
      </c>
      <c r="H28" s="40">
        <f t="shared" si="3"/>
        <v>0</v>
      </c>
      <c r="I28" s="38" t="str">
        <f>if(OR($F28=1, $F28=2),VLOOKUP($B28,Courts!$B$2:$J$50,5,false),0)</f>
        <v/>
      </c>
      <c r="J28" s="38" t="str">
        <f>if(OR($F28=1, $F28=2),VLOOKUP($B28,Courts!$B$2:$J$50,6,false),0)</f>
        <v/>
      </c>
      <c r="K28" s="38" t="str">
        <f>if(OR($F28=1, $F28=2),VLOOKUP($B28,Courts!$B$2:$J$50,7,false),0)</f>
        <v/>
      </c>
      <c r="L28" s="48">
        <f t="shared" si="4"/>
        <v>0</v>
      </c>
      <c r="M28" s="38" t="str">
        <f>if(OR($F28=1, $F28=2),VLOOKUP($B28,Courts!$B$2:$J$50,9,false),0)</f>
        <v/>
      </c>
      <c r="N28" s="34">
        <f t="shared" ref="N28:O28" si="35">C28+L28</f>
        <v>284</v>
      </c>
      <c r="O28" s="34">
        <f t="shared" si="35"/>
        <v>24</v>
      </c>
      <c r="P28" s="49" t="s">
        <v>58</v>
      </c>
      <c r="Q28" s="49" t="s">
        <v>58</v>
      </c>
      <c r="R28" s="49" t="s">
        <v>58</v>
      </c>
      <c r="S28" s="50">
        <f t="shared" si="6"/>
        <v>22</v>
      </c>
      <c r="T28" s="52">
        <f t="shared" si="7"/>
        <v>0</v>
      </c>
      <c r="U28" s="52"/>
      <c r="V28" s="50">
        <f t="shared" si="8"/>
        <v>2</v>
      </c>
      <c r="W28" s="52">
        <f t="shared" si="9"/>
        <v>-4</v>
      </c>
      <c r="X28" s="32">
        <f t="shared" si="14"/>
        <v>24</v>
      </c>
      <c r="Y28" s="32" t="str">
        <f t="shared" si="10"/>
        <v>N</v>
      </c>
      <c r="Z28" s="16" t="str">
        <f t="shared" si="11"/>
        <v/>
      </c>
    </row>
    <row r="29">
      <c r="A29" s="32">
        <f t="shared" si="12"/>
        <v>25</v>
      </c>
      <c r="B29" s="33" t="s">
        <v>107</v>
      </c>
      <c r="C29" s="34">
        <v>284.0</v>
      </c>
      <c r="D29" s="34">
        <v>23.0</v>
      </c>
      <c r="E29" s="35">
        <f t="shared" si="2"/>
        <v>13.92307692</v>
      </c>
      <c r="F29" s="36">
        <f>if(isna(VLOOKUP(B29,Checkin!A:B,2,false)),0,VLOOKUP(B29,Checkin!A:B,2,false))</f>
        <v>3</v>
      </c>
      <c r="G29" s="38">
        <f>if(OR($F29=1, $F29=2),VLOOKUP($B29,Courts!$B$2:$K$50,10,false),0)</f>
        <v>0</v>
      </c>
      <c r="H29" s="40">
        <f t="shared" si="3"/>
        <v>9</v>
      </c>
      <c r="I29" s="38">
        <f>if(OR($F29=1, $F29=2),VLOOKUP($B29,Courts!$B$2:$J$50,5,false),0)</f>
        <v>0</v>
      </c>
      <c r="J29" s="38">
        <f>if(OR($F29=1, $F29=2),VLOOKUP($B29,Courts!$B$2:$J$50,6,false),0)</f>
        <v>0</v>
      </c>
      <c r="K29" s="38">
        <f>if(OR($F29=1, $F29=2),VLOOKUP($B29,Courts!$B$2:$J$50,7,false),0)</f>
        <v>0</v>
      </c>
      <c r="L29" s="48">
        <f t="shared" si="4"/>
        <v>9</v>
      </c>
      <c r="M29" s="38">
        <f>if(OR($F29=1, $F29=2),VLOOKUP($B29,Courts!$B$2:$J$50,9,false),0)</f>
        <v>0</v>
      </c>
      <c r="N29" s="34">
        <f t="shared" ref="N29:O29" si="36">C29+L29</f>
        <v>293</v>
      </c>
      <c r="O29" s="34">
        <f t="shared" si="36"/>
        <v>23</v>
      </c>
      <c r="P29" s="49" t="s">
        <v>58</v>
      </c>
      <c r="Q29" s="49" t="s">
        <v>58</v>
      </c>
      <c r="R29" s="49" t="s">
        <v>58</v>
      </c>
      <c r="S29" s="50">
        <f t="shared" si="6"/>
        <v>13</v>
      </c>
      <c r="T29" s="52">
        <f t="shared" si="7"/>
        <v>1</v>
      </c>
      <c r="U29" s="52"/>
      <c r="V29" s="50">
        <f t="shared" si="8"/>
        <v>10</v>
      </c>
      <c r="W29" s="52">
        <f t="shared" si="9"/>
        <v>-4</v>
      </c>
      <c r="X29" s="32">
        <f t="shared" si="14"/>
        <v>25</v>
      </c>
      <c r="Y29" s="32" t="str">
        <f t="shared" si="10"/>
        <v>N</v>
      </c>
      <c r="Z29" s="16" t="str">
        <f t="shared" si="11"/>
        <v/>
      </c>
    </row>
    <row r="30">
      <c r="A30" s="32">
        <f t="shared" si="12"/>
        <v>26</v>
      </c>
      <c r="B30" s="33" t="s">
        <v>49</v>
      </c>
      <c r="C30" s="34">
        <v>283.0</v>
      </c>
      <c r="D30" s="34">
        <v>25.0</v>
      </c>
      <c r="E30" s="35">
        <f t="shared" si="2"/>
        <v>12.19047619</v>
      </c>
      <c r="F30" s="36">
        <f>if(isna(VLOOKUP(B30,Checkin!A:B,2,false)),0,VLOOKUP(B30,Checkin!A:B,2,false))</f>
        <v>1</v>
      </c>
      <c r="G30" s="38">
        <f>if(OR($F30=1, $F30=2),VLOOKUP($B30,Courts!$B$2:$K$50,10,false),0)</f>
        <v>4</v>
      </c>
      <c r="H30" s="40">
        <f t="shared" si="3"/>
        <v>0</v>
      </c>
      <c r="I30" s="38" t="str">
        <f>if(OR($F30=1, $F30=2),VLOOKUP($B30,Courts!$B$2:$J$50,5,false),0)</f>
        <v/>
      </c>
      <c r="J30" s="38" t="str">
        <f>if(OR($F30=1, $F30=2),VLOOKUP($B30,Courts!$B$2:$J$50,6,false),0)</f>
        <v/>
      </c>
      <c r="K30" s="38" t="str">
        <f>if(OR($F30=1, $F30=2),VLOOKUP($B30,Courts!$B$2:$J$50,7,false),0)</f>
        <v/>
      </c>
      <c r="L30" s="48">
        <f t="shared" si="4"/>
        <v>0</v>
      </c>
      <c r="M30" s="38" t="str">
        <f>if(OR($F30=1, $F30=2),VLOOKUP($B30,Courts!$B$2:$J$50,9,false),0)</f>
        <v/>
      </c>
      <c r="N30" s="34">
        <f t="shared" ref="N30:O30" si="37">C30+L30</f>
        <v>283</v>
      </c>
      <c r="O30" s="34">
        <f t="shared" si="37"/>
        <v>25</v>
      </c>
      <c r="P30" s="49" t="s">
        <v>58</v>
      </c>
      <c r="Q30" s="49" t="s">
        <v>58</v>
      </c>
      <c r="R30" s="49" t="s">
        <v>58</v>
      </c>
      <c r="S30" s="50">
        <f t="shared" si="6"/>
        <v>21</v>
      </c>
      <c r="T30" s="52">
        <f t="shared" si="7"/>
        <v>0</v>
      </c>
      <c r="U30" s="52"/>
      <c r="V30" s="50">
        <f t="shared" si="8"/>
        <v>3</v>
      </c>
      <c r="W30" s="52">
        <f t="shared" si="9"/>
        <v>7</v>
      </c>
      <c r="X30" s="32">
        <f t="shared" si="14"/>
        <v>26</v>
      </c>
      <c r="Y30" s="32" t="str">
        <f t="shared" si="10"/>
        <v>N</v>
      </c>
      <c r="Z30" s="16" t="str">
        <f t="shared" si="11"/>
        <v/>
      </c>
    </row>
    <row r="31">
      <c r="A31" s="32">
        <f t="shared" si="12"/>
        <v>27</v>
      </c>
      <c r="B31" s="33" t="s">
        <v>136</v>
      </c>
      <c r="C31" s="34">
        <v>283.0</v>
      </c>
      <c r="D31" s="34">
        <v>23.0</v>
      </c>
      <c r="E31" s="35">
        <f t="shared" si="2"/>
        <v>11.73913043</v>
      </c>
      <c r="F31" s="36">
        <f>if(isna(VLOOKUP(B31,Checkin!A:B,2,false)),0,VLOOKUP(B31,Checkin!A:B,2,false))</f>
        <v>1</v>
      </c>
      <c r="G31" s="38">
        <f>if(OR($F31=1, $F31=2),VLOOKUP($B31,Courts!$B$2:$K$50,10,false),0)</f>
        <v>4</v>
      </c>
      <c r="H31" s="40">
        <f t="shared" si="3"/>
        <v>0</v>
      </c>
      <c r="I31" s="38" t="str">
        <f>if(OR($F31=1, $F31=2),VLOOKUP($B31,Courts!$B$2:$J$50,5,false),0)</f>
        <v/>
      </c>
      <c r="J31" s="38" t="str">
        <f>if(OR($F31=1, $F31=2),VLOOKUP($B31,Courts!$B$2:$J$50,6,false),0)</f>
        <v/>
      </c>
      <c r="K31" s="38" t="str">
        <f>if(OR($F31=1, $F31=2),VLOOKUP($B31,Courts!$B$2:$J$50,7,false),0)</f>
        <v/>
      </c>
      <c r="L31" s="48">
        <f t="shared" si="4"/>
        <v>0</v>
      </c>
      <c r="M31" s="38" t="str">
        <f>if(OR($F31=1, $F31=2),VLOOKUP($B31,Courts!$B$2:$J$50,9,false),0)</f>
        <v/>
      </c>
      <c r="N31" s="34">
        <f t="shared" ref="N31:O31" si="38">C31+L31</f>
        <v>283</v>
      </c>
      <c r="O31" s="34">
        <f t="shared" si="38"/>
        <v>23</v>
      </c>
      <c r="P31" s="49" t="s">
        <v>58</v>
      </c>
      <c r="Q31" s="49" t="s">
        <v>58</v>
      </c>
      <c r="R31" s="49" t="s">
        <v>58</v>
      </c>
      <c r="S31" s="50">
        <f t="shared" si="6"/>
        <v>23</v>
      </c>
      <c r="T31" s="52">
        <f t="shared" si="7"/>
        <v>1</v>
      </c>
      <c r="U31" s="52"/>
      <c r="V31" s="50">
        <f t="shared" si="8"/>
        <v>0</v>
      </c>
      <c r="W31" s="52">
        <f t="shared" si="9"/>
        <v>3</v>
      </c>
      <c r="X31" s="32">
        <f t="shared" si="14"/>
        <v>27</v>
      </c>
      <c r="Y31" s="32" t="str">
        <f t="shared" si="10"/>
        <v>N</v>
      </c>
      <c r="Z31" s="16" t="str">
        <f t="shared" si="11"/>
        <v/>
      </c>
    </row>
    <row r="32">
      <c r="A32" s="32">
        <f t="shared" si="12"/>
        <v>28</v>
      </c>
      <c r="B32" s="33" t="s">
        <v>128</v>
      </c>
      <c r="C32" s="34">
        <v>283.0</v>
      </c>
      <c r="D32" s="34">
        <v>22.0</v>
      </c>
      <c r="E32" s="35">
        <f t="shared" si="2"/>
        <v>13.1875</v>
      </c>
      <c r="F32" s="36">
        <f>if(isna(VLOOKUP(B32,Checkin!A:B,2,false)),0,VLOOKUP(B32,Checkin!A:B,2,false))</f>
        <v>3</v>
      </c>
      <c r="G32" s="38">
        <f>if(OR($F32=1, $F32=2),VLOOKUP($B32,Courts!$B$2:$K$50,10,false),0)</f>
        <v>0</v>
      </c>
      <c r="H32" s="40">
        <f t="shared" si="3"/>
        <v>9</v>
      </c>
      <c r="I32" s="38">
        <f>if(OR($F32=1, $F32=2),VLOOKUP($B32,Courts!$B$2:$J$50,5,false),0)</f>
        <v>0</v>
      </c>
      <c r="J32" s="38">
        <f>if(OR($F32=1, $F32=2),VLOOKUP($B32,Courts!$B$2:$J$50,6,false),0)</f>
        <v>0</v>
      </c>
      <c r="K32" s="38">
        <f>if(OR($F32=1, $F32=2),VLOOKUP($B32,Courts!$B$2:$J$50,7,false),0)</f>
        <v>0</v>
      </c>
      <c r="L32" s="48">
        <f t="shared" si="4"/>
        <v>9</v>
      </c>
      <c r="M32" s="38">
        <f>if(OR($F32=1, $F32=2),VLOOKUP($B32,Courts!$B$2:$J$50,9,false),0)</f>
        <v>0</v>
      </c>
      <c r="N32" s="34">
        <f t="shared" ref="N32:O32" si="39">C32+L32</f>
        <v>292</v>
      </c>
      <c r="O32" s="34">
        <f t="shared" si="39"/>
        <v>22</v>
      </c>
      <c r="P32" s="49" t="s">
        <v>58</v>
      </c>
      <c r="Q32" s="49" t="s">
        <v>58</v>
      </c>
      <c r="R32" s="49" t="s">
        <v>58</v>
      </c>
      <c r="S32" s="50">
        <f t="shared" si="6"/>
        <v>16</v>
      </c>
      <c r="T32" s="52">
        <f t="shared" si="7"/>
        <v>0</v>
      </c>
      <c r="U32" s="52"/>
      <c r="V32" s="50">
        <f t="shared" si="8"/>
        <v>8</v>
      </c>
      <c r="W32" s="52">
        <f t="shared" si="9"/>
        <v>-6</v>
      </c>
      <c r="X32" s="32">
        <f t="shared" si="14"/>
        <v>28</v>
      </c>
      <c r="Y32" s="32" t="str">
        <f t="shared" si="10"/>
        <v>N</v>
      </c>
      <c r="Z32" s="16" t="str">
        <f t="shared" si="11"/>
        <v/>
      </c>
    </row>
    <row r="33">
      <c r="A33" s="32">
        <f t="shared" si="12"/>
        <v>29</v>
      </c>
      <c r="B33" s="33" t="s">
        <v>60</v>
      </c>
      <c r="C33" s="34">
        <v>281.0</v>
      </c>
      <c r="D33" s="34">
        <v>29.0</v>
      </c>
      <c r="E33" s="35">
        <f t="shared" si="2"/>
        <v>12.0952381</v>
      </c>
      <c r="F33" s="36">
        <f>if(isna(VLOOKUP(B33,Checkin!A:B,2,false)),0,VLOOKUP(B33,Checkin!A:B,2,false))</f>
        <v>3</v>
      </c>
      <c r="G33" s="38">
        <f>if(OR($F33=1, $F33=2),VLOOKUP($B33,Courts!$B$2:$K$50,10,false),0)</f>
        <v>0</v>
      </c>
      <c r="H33" s="40">
        <f t="shared" si="3"/>
        <v>9</v>
      </c>
      <c r="I33" s="38">
        <f>if(OR($F33=1, $F33=2),VLOOKUP($B33,Courts!$B$2:$J$50,5,false),0)</f>
        <v>0</v>
      </c>
      <c r="J33" s="38">
        <f>if(OR($F33=1, $F33=2),VLOOKUP($B33,Courts!$B$2:$J$50,6,false),0)</f>
        <v>0</v>
      </c>
      <c r="K33" s="38">
        <f>if(OR($F33=1, $F33=2),VLOOKUP($B33,Courts!$B$2:$J$50,7,false),0)</f>
        <v>0</v>
      </c>
      <c r="L33" s="48">
        <f t="shared" si="4"/>
        <v>9</v>
      </c>
      <c r="M33" s="38">
        <f>if(OR($F33=1, $F33=2),VLOOKUP($B33,Courts!$B$2:$J$50,9,false),0)</f>
        <v>0</v>
      </c>
      <c r="N33" s="34">
        <f t="shared" ref="N33:O33" si="40">C33+L33</f>
        <v>290</v>
      </c>
      <c r="O33" s="34">
        <f t="shared" si="40"/>
        <v>29</v>
      </c>
      <c r="P33" s="49" t="s">
        <v>58</v>
      </c>
      <c r="Q33" s="49" t="s">
        <v>58</v>
      </c>
      <c r="R33" s="49" t="s">
        <v>58</v>
      </c>
      <c r="S33" s="50">
        <f t="shared" si="6"/>
        <v>21</v>
      </c>
      <c r="T33" s="52">
        <f t="shared" si="7"/>
        <v>0</v>
      </c>
      <c r="U33" s="52"/>
      <c r="V33" s="50">
        <f t="shared" si="8"/>
        <v>3</v>
      </c>
      <c r="W33" s="52">
        <f t="shared" si="9"/>
        <v>3</v>
      </c>
      <c r="X33" s="32">
        <f t="shared" si="14"/>
        <v>29</v>
      </c>
      <c r="Y33" s="32" t="str">
        <f t="shared" si="10"/>
        <v>N</v>
      </c>
      <c r="Z33" s="16" t="str">
        <f t="shared" si="11"/>
        <v/>
      </c>
    </row>
    <row r="34">
      <c r="A34" s="32">
        <f t="shared" si="12"/>
        <v>30</v>
      </c>
      <c r="B34" s="33" t="s">
        <v>93</v>
      </c>
      <c r="C34" s="34">
        <v>281.0</v>
      </c>
      <c r="D34" s="34">
        <v>24.0</v>
      </c>
      <c r="E34" s="35">
        <f t="shared" si="2"/>
        <v>14</v>
      </c>
      <c r="F34" s="36">
        <f>if(isna(VLOOKUP(B34,Checkin!A:B,2,false)),0,VLOOKUP(B34,Checkin!A:B,2,false))</f>
        <v>3</v>
      </c>
      <c r="G34" s="38">
        <f>if(OR($F34=1, $F34=2),VLOOKUP($B34,Courts!$B$2:$K$50,10,false),0)</f>
        <v>0</v>
      </c>
      <c r="H34" s="40">
        <f t="shared" si="3"/>
        <v>9</v>
      </c>
      <c r="I34" s="38">
        <f>if(OR($F34=1, $F34=2),VLOOKUP($B34,Courts!$B$2:$J$50,5,false),0)</f>
        <v>0</v>
      </c>
      <c r="J34" s="38">
        <f>if(OR($F34=1, $F34=2),VLOOKUP($B34,Courts!$B$2:$J$50,6,false),0)</f>
        <v>0</v>
      </c>
      <c r="K34" s="38">
        <f>if(OR($F34=1, $F34=2),VLOOKUP($B34,Courts!$B$2:$J$50,7,false),0)</f>
        <v>0</v>
      </c>
      <c r="L34" s="48">
        <f t="shared" si="4"/>
        <v>9</v>
      </c>
      <c r="M34" s="38">
        <f>if(OR($F34=1, $F34=2),VLOOKUP($B34,Courts!$B$2:$J$50,9,false),0)</f>
        <v>0</v>
      </c>
      <c r="N34" s="34">
        <f t="shared" ref="N34:O34" si="41">C34+L34</f>
        <v>290</v>
      </c>
      <c r="O34" s="34">
        <f t="shared" si="41"/>
        <v>24</v>
      </c>
      <c r="P34" s="49" t="s">
        <v>58</v>
      </c>
      <c r="Q34" s="49" t="s">
        <v>58</v>
      </c>
      <c r="R34" s="49" t="s">
        <v>58</v>
      </c>
      <c r="S34" s="50">
        <f t="shared" si="6"/>
        <v>13</v>
      </c>
      <c r="T34" s="52">
        <f t="shared" si="7"/>
        <v>0</v>
      </c>
      <c r="U34" s="52"/>
      <c r="V34" s="50">
        <f t="shared" si="8"/>
        <v>11</v>
      </c>
      <c r="W34" s="52">
        <f t="shared" si="9"/>
        <v>-7</v>
      </c>
      <c r="X34" s="32">
        <f t="shared" si="14"/>
        <v>30</v>
      </c>
      <c r="Y34" s="32" t="str">
        <f t="shared" si="10"/>
        <v>N</v>
      </c>
      <c r="Z34" s="16" t="str">
        <f t="shared" si="11"/>
        <v/>
      </c>
    </row>
    <row r="35">
      <c r="A35" s="32">
        <f t="shared" si="12"/>
        <v>31</v>
      </c>
      <c r="B35" s="33" t="s">
        <v>109</v>
      </c>
      <c r="C35" s="34">
        <v>281.0</v>
      </c>
      <c r="D35" s="34">
        <v>22.0</v>
      </c>
      <c r="E35" s="35">
        <f t="shared" si="2"/>
        <v>12.58823529</v>
      </c>
      <c r="F35" s="36">
        <f>if(isna(VLOOKUP(B35,Checkin!A:B,2,false)),0,VLOOKUP(B35,Checkin!A:B,2,false))</f>
        <v>1</v>
      </c>
      <c r="G35" s="38">
        <f>if(OR($F35=1, $F35=2),VLOOKUP($B35,Courts!$B$2:$K$50,10,false),0)</f>
        <v>4</v>
      </c>
      <c r="H35" s="40">
        <f t="shared" si="3"/>
        <v>0</v>
      </c>
      <c r="I35" s="38" t="str">
        <f>if(OR($F35=1, $F35=2),VLOOKUP($B35,Courts!$B$2:$J$50,5,false),0)</f>
        <v/>
      </c>
      <c r="J35" s="38" t="str">
        <f>if(OR($F35=1, $F35=2),VLOOKUP($B35,Courts!$B$2:$J$50,6,false),0)</f>
        <v/>
      </c>
      <c r="K35" s="38" t="str">
        <f>if(OR($F35=1, $F35=2),VLOOKUP($B35,Courts!$B$2:$J$50,7,false),0)</f>
        <v/>
      </c>
      <c r="L35" s="48">
        <f t="shared" si="4"/>
        <v>0</v>
      </c>
      <c r="M35" s="38" t="str">
        <f>if(OR($F35=1, $F35=2),VLOOKUP($B35,Courts!$B$2:$J$50,9,false),0)</f>
        <v/>
      </c>
      <c r="N35" s="34">
        <f t="shared" ref="N35:O35" si="42">C35+L35</f>
        <v>281</v>
      </c>
      <c r="O35" s="34">
        <f t="shared" si="42"/>
        <v>22</v>
      </c>
      <c r="P35" s="49" t="s">
        <v>58</v>
      </c>
      <c r="Q35" s="49" t="s">
        <v>58</v>
      </c>
      <c r="R35" s="49" t="s">
        <v>58</v>
      </c>
      <c r="S35" s="50">
        <f t="shared" si="6"/>
        <v>17</v>
      </c>
      <c r="T35" s="52">
        <f t="shared" si="7"/>
        <v>1</v>
      </c>
      <c r="U35" s="52"/>
      <c r="V35" s="50">
        <f t="shared" si="8"/>
        <v>6</v>
      </c>
      <c r="W35" s="52">
        <f t="shared" si="9"/>
        <v>-2</v>
      </c>
      <c r="X35" s="32">
        <f t="shared" si="14"/>
        <v>31</v>
      </c>
      <c r="Y35" s="32" t="str">
        <f t="shared" si="10"/>
        <v>N</v>
      </c>
      <c r="Z35" s="16" t="str">
        <f t="shared" si="11"/>
        <v/>
      </c>
    </row>
    <row r="36">
      <c r="A36" s="32">
        <f t="shared" si="12"/>
        <v>32</v>
      </c>
      <c r="B36" s="33" t="s">
        <v>114</v>
      </c>
      <c r="C36" s="34">
        <v>278.0</v>
      </c>
      <c r="D36" s="34">
        <v>19.0</v>
      </c>
      <c r="E36" s="35">
        <f t="shared" si="2"/>
        <v>12.05263158</v>
      </c>
      <c r="F36" s="36">
        <f>if(isna(VLOOKUP(B36,Checkin!A:B,2,false)),0,VLOOKUP(B36,Checkin!A:B,2,false))</f>
        <v>1</v>
      </c>
      <c r="G36" s="38">
        <f>if(OR($F36=1, $F36=2),VLOOKUP($B36,Courts!$B$2:$K$50,10,false),0)</f>
        <v>4</v>
      </c>
      <c r="H36" s="40">
        <f t="shared" si="3"/>
        <v>0</v>
      </c>
      <c r="I36" s="38" t="str">
        <f>if(OR($F36=1, $F36=2),VLOOKUP($B36,Courts!$B$2:$J$50,5,false),0)</f>
        <v/>
      </c>
      <c r="J36" s="38" t="str">
        <f>if(OR($F36=1, $F36=2),VLOOKUP($B36,Courts!$B$2:$J$50,6,false),0)</f>
        <v/>
      </c>
      <c r="K36" s="38" t="str">
        <f>if(OR($F36=1, $F36=2),VLOOKUP($B36,Courts!$B$2:$J$50,7,false),0)</f>
        <v/>
      </c>
      <c r="L36" s="48">
        <f t="shared" si="4"/>
        <v>0</v>
      </c>
      <c r="M36" s="38" t="str">
        <f>if(OR($F36=1, $F36=2),VLOOKUP($B36,Courts!$B$2:$J$50,9,false),0)</f>
        <v/>
      </c>
      <c r="N36" s="34">
        <f t="shared" ref="N36:O36" si="43">C36+L36</f>
        <v>278</v>
      </c>
      <c r="O36" s="34">
        <f t="shared" si="43"/>
        <v>19</v>
      </c>
      <c r="P36" s="49" t="s">
        <v>58</v>
      </c>
      <c r="Q36" s="49" t="s">
        <v>58</v>
      </c>
      <c r="R36" s="49" t="s">
        <v>58</v>
      </c>
      <c r="S36" s="50">
        <f t="shared" si="6"/>
        <v>19</v>
      </c>
      <c r="T36" s="52">
        <f t="shared" si="7"/>
        <v>1</v>
      </c>
      <c r="U36" s="52"/>
      <c r="V36" s="50">
        <f t="shared" si="8"/>
        <v>4</v>
      </c>
      <c r="W36" s="52">
        <f t="shared" si="9"/>
        <v>-1</v>
      </c>
      <c r="X36" s="32">
        <f t="shared" si="14"/>
        <v>32</v>
      </c>
      <c r="Y36" s="32" t="str">
        <f t="shared" si="10"/>
        <v>N</v>
      </c>
      <c r="Z36" s="16" t="str">
        <f t="shared" si="11"/>
        <v/>
      </c>
    </row>
    <row r="37">
      <c r="A37" s="32">
        <f t="shared" si="12"/>
        <v>33</v>
      </c>
      <c r="B37" s="33" t="s">
        <v>50</v>
      </c>
      <c r="C37" s="34">
        <v>277.0</v>
      </c>
      <c r="D37" s="34">
        <v>23.0</v>
      </c>
      <c r="E37" s="35">
        <f t="shared" si="2"/>
        <v>12.05</v>
      </c>
      <c r="F37" s="36">
        <f>if(isna(VLOOKUP(B37,Checkin!A:B,2,false)),0,VLOOKUP(B37,Checkin!A:B,2,false))</f>
        <v>3</v>
      </c>
      <c r="G37" s="38">
        <f>if(OR($F37=1, $F37=2),VLOOKUP($B37,Courts!$B$2:$K$50,10,false),0)</f>
        <v>0</v>
      </c>
      <c r="H37" s="40">
        <f t="shared" si="3"/>
        <v>9</v>
      </c>
      <c r="I37" s="38">
        <f>if(OR($F37=1, $F37=2),VLOOKUP($B37,Courts!$B$2:$J$50,5,false),0)</f>
        <v>0</v>
      </c>
      <c r="J37" s="38">
        <f>if(OR($F37=1, $F37=2),VLOOKUP($B37,Courts!$B$2:$J$50,6,false),0)</f>
        <v>0</v>
      </c>
      <c r="K37" s="38">
        <f>if(OR($F37=1, $F37=2),VLOOKUP($B37,Courts!$B$2:$J$50,7,false),0)</f>
        <v>0</v>
      </c>
      <c r="L37" s="48">
        <f t="shared" si="4"/>
        <v>9</v>
      </c>
      <c r="M37" s="38">
        <f>if(OR($F37=1, $F37=2),VLOOKUP($B37,Courts!$B$2:$J$50,9,false),0)</f>
        <v>0</v>
      </c>
      <c r="N37" s="34">
        <f t="shared" ref="N37:O37" si="44">C37+L37</f>
        <v>286</v>
      </c>
      <c r="O37" s="34">
        <f t="shared" si="44"/>
        <v>23</v>
      </c>
      <c r="P37" s="49" t="s">
        <v>58</v>
      </c>
      <c r="Q37" s="49" t="s">
        <v>58</v>
      </c>
      <c r="R37" s="49" t="s">
        <v>58</v>
      </c>
      <c r="S37" s="50">
        <f t="shared" si="6"/>
        <v>20</v>
      </c>
      <c r="T37" s="52">
        <f t="shared" si="7"/>
        <v>0</v>
      </c>
      <c r="U37" s="52"/>
      <c r="V37" s="50">
        <f t="shared" si="8"/>
        <v>4</v>
      </c>
      <c r="W37" s="52">
        <f t="shared" si="9"/>
        <v>-5</v>
      </c>
      <c r="X37" s="32">
        <f t="shared" si="14"/>
        <v>33</v>
      </c>
      <c r="Y37" s="32" t="str">
        <f t="shared" si="10"/>
        <v>N</v>
      </c>
      <c r="Z37" s="16" t="str">
        <f t="shared" si="11"/>
        <v/>
      </c>
    </row>
    <row r="38">
      <c r="A38" s="32">
        <f t="shared" si="12"/>
        <v>34</v>
      </c>
      <c r="B38" s="33" t="s">
        <v>122</v>
      </c>
      <c r="C38" s="34">
        <v>275.0</v>
      </c>
      <c r="D38" s="34">
        <v>22.0</v>
      </c>
      <c r="E38" s="35">
        <f t="shared" si="2"/>
        <v>13.53846154</v>
      </c>
      <c r="F38" s="36">
        <f>if(isna(VLOOKUP(B38,Checkin!A:B,2,false)),0,VLOOKUP(B38,Checkin!A:B,2,false))</f>
        <v>1</v>
      </c>
      <c r="G38" s="38">
        <f>if(OR($F38=1, $F38=2),VLOOKUP($B38,Courts!$B$2:$K$50,10,false),0)</f>
        <v>5</v>
      </c>
      <c r="H38" s="40">
        <f t="shared" si="3"/>
        <v>0</v>
      </c>
      <c r="I38" s="38" t="str">
        <f>if(OR($F38=1, $F38=2),VLOOKUP($B38,Courts!$B$2:$J$50,5,false),0)</f>
        <v/>
      </c>
      <c r="J38" s="38" t="str">
        <f>if(OR($F38=1, $F38=2),VLOOKUP($B38,Courts!$B$2:$J$50,6,false),0)</f>
        <v/>
      </c>
      <c r="K38" s="38" t="str">
        <f>if(OR($F38=1, $F38=2),VLOOKUP($B38,Courts!$B$2:$J$50,7,false),0)</f>
        <v/>
      </c>
      <c r="L38" s="48">
        <f t="shared" si="4"/>
        <v>0</v>
      </c>
      <c r="M38" s="38" t="str">
        <f>if(OR($F38=1, $F38=2),VLOOKUP($B38,Courts!$B$2:$J$50,9,false),0)</f>
        <v/>
      </c>
      <c r="N38" s="34">
        <f t="shared" ref="N38:O38" si="45">C38+L38</f>
        <v>275</v>
      </c>
      <c r="O38" s="34">
        <f t="shared" si="45"/>
        <v>22</v>
      </c>
      <c r="P38" s="49" t="s">
        <v>58</v>
      </c>
      <c r="Q38" s="49" t="s">
        <v>58</v>
      </c>
      <c r="R38" s="49" t="s">
        <v>58</v>
      </c>
      <c r="S38" s="50">
        <f t="shared" si="6"/>
        <v>13</v>
      </c>
      <c r="T38" s="52">
        <f t="shared" si="7"/>
        <v>0</v>
      </c>
      <c r="U38" s="52"/>
      <c r="V38" s="50">
        <f t="shared" si="8"/>
        <v>11</v>
      </c>
      <c r="W38" s="52">
        <f t="shared" si="9"/>
        <v>2</v>
      </c>
      <c r="X38" s="32">
        <f t="shared" si="14"/>
        <v>34</v>
      </c>
      <c r="Y38" s="32" t="str">
        <f t="shared" si="10"/>
        <v>N</v>
      </c>
      <c r="Z38" s="16" t="str">
        <f t="shared" si="11"/>
        <v/>
      </c>
    </row>
    <row r="39">
      <c r="A39" s="32">
        <f t="shared" si="12"/>
        <v>35</v>
      </c>
      <c r="B39" s="33" t="s">
        <v>106</v>
      </c>
      <c r="C39" s="34">
        <v>271.0</v>
      </c>
      <c r="D39" s="34">
        <v>22.0</v>
      </c>
      <c r="E39" s="35">
        <f t="shared" si="2"/>
        <v>12.1875</v>
      </c>
      <c r="F39" s="36">
        <f>if(isna(VLOOKUP(B39,Checkin!A:B,2,false)),0,VLOOKUP(B39,Checkin!A:B,2,false))</f>
        <v>1</v>
      </c>
      <c r="G39" s="38">
        <f>if(OR($F39=1, $F39=2),VLOOKUP($B39,Courts!$B$2:$K$50,10,false),0)</f>
        <v>5</v>
      </c>
      <c r="H39" s="40">
        <f t="shared" si="3"/>
        <v>0</v>
      </c>
      <c r="I39" s="38" t="str">
        <f>if(OR($F39=1, $F39=2),VLOOKUP($B39,Courts!$B$2:$J$50,5,false),0)</f>
        <v/>
      </c>
      <c r="J39" s="38" t="str">
        <f>if(OR($F39=1, $F39=2),VLOOKUP($B39,Courts!$B$2:$J$50,6,false),0)</f>
        <v/>
      </c>
      <c r="K39" s="38" t="str">
        <f>if(OR($F39=1, $F39=2),VLOOKUP($B39,Courts!$B$2:$J$50,7,false),0)</f>
        <v/>
      </c>
      <c r="L39" s="48">
        <f t="shared" si="4"/>
        <v>0</v>
      </c>
      <c r="M39" s="38" t="str">
        <f>if(OR($F39=1, $F39=2),VLOOKUP($B39,Courts!$B$2:$J$50,9,false),0)</f>
        <v/>
      </c>
      <c r="N39" s="34">
        <f t="shared" ref="N39:O39" si="46">C39+L39</f>
        <v>271</v>
      </c>
      <c r="O39" s="34">
        <f t="shared" si="46"/>
        <v>22</v>
      </c>
      <c r="P39" s="49" t="s">
        <v>58</v>
      </c>
      <c r="Q39" s="49" t="s">
        <v>58</v>
      </c>
      <c r="R39" s="49" t="s">
        <v>58</v>
      </c>
      <c r="S39" s="50">
        <f t="shared" si="6"/>
        <v>16</v>
      </c>
      <c r="T39" s="52">
        <f t="shared" si="7"/>
        <v>1</v>
      </c>
      <c r="U39" s="52"/>
      <c r="V39" s="50">
        <f t="shared" si="8"/>
        <v>7</v>
      </c>
      <c r="W39" s="52">
        <f t="shared" si="9"/>
        <v>0</v>
      </c>
      <c r="X39" s="32">
        <f t="shared" si="14"/>
        <v>35</v>
      </c>
      <c r="Y39" s="32" t="str">
        <f t="shared" si="10"/>
        <v>N</v>
      </c>
      <c r="Z39" s="16" t="str">
        <f t="shared" si="11"/>
        <v/>
      </c>
    </row>
    <row r="40">
      <c r="A40" s="32">
        <f t="shared" si="12"/>
        <v>36</v>
      </c>
      <c r="B40" s="33" t="s">
        <v>89</v>
      </c>
      <c r="C40" s="34">
        <v>271.0</v>
      </c>
      <c r="D40" s="34">
        <v>21.0</v>
      </c>
      <c r="E40" s="35">
        <f t="shared" si="2"/>
        <v>13.58333333</v>
      </c>
      <c r="F40" s="36">
        <f>if(isna(VLOOKUP(B40,Checkin!A:B,2,false)),0,VLOOKUP(B40,Checkin!A:B,2,false))</f>
        <v>3</v>
      </c>
      <c r="G40" s="38">
        <f>if(OR($F40=1, $F40=2),VLOOKUP($B40,Courts!$B$2:$K$50,10,false),0)</f>
        <v>0</v>
      </c>
      <c r="H40" s="40">
        <f t="shared" si="3"/>
        <v>9</v>
      </c>
      <c r="I40" s="38">
        <f>if(OR($F40=1, $F40=2),VLOOKUP($B40,Courts!$B$2:$J$50,5,false),0)</f>
        <v>0</v>
      </c>
      <c r="J40" s="38">
        <f>if(OR($F40=1, $F40=2),VLOOKUP($B40,Courts!$B$2:$J$50,6,false),0)</f>
        <v>0</v>
      </c>
      <c r="K40" s="38">
        <f>if(OR($F40=1, $F40=2),VLOOKUP($B40,Courts!$B$2:$J$50,7,false),0)</f>
        <v>0</v>
      </c>
      <c r="L40" s="48">
        <f t="shared" si="4"/>
        <v>9</v>
      </c>
      <c r="M40" s="38">
        <f>if(OR($F40=1, $F40=2),VLOOKUP($B40,Courts!$B$2:$J$50,9,false),0)</f>
        <v>0</v>
      </c>
      <c r="N40" s="34">
        <f t="shared" ref="N40:O40" si="47">C40+L40</f>
        <v>280</v>
      </c>
      <c r="O40" s="34">
        <f t="shared" si="47"/>
        <v>21</v>
      </c>
      <c r="P40" s="49" t="s">
        <v>58</v>
      </c>
      <c r="Q40" s="49" t="s">
        <v>58</v>
      </c>
      <c r="R40" s="49" t="s">
        <v>58</v>
      </c>
      <c r="S40" s="50">
        <f t="shared" si="6"/>
        <v>12</v>
      </c>
      <c r="T40" s="52">
        <f t="shared" si="7"/>
        <v>0</v>
      </c>
      <c r="U40" s="52"/>
      <c r="V40" s="50">
        <f t="shared" si="8"/>
        <v>12</v>
      </c>
      <c r="W40" s="52">
        <f t="shared" si="9"/>
        <v>-2</v>
      </c>
      <c r="X40" s="32">
        <f t="shared" si="14"/>
        <v>36</v>
      </c>
      <c r="Y40" s="32" t="str">
        <f t="shared" si="10"/>
        <v>N</v>
      </c>
      <c r="Z40" s="16" t="str">
        <f t="shared" si="11"/>
        <v/>
      </c>
    </row>
    <row r="41">
      <c r="A41" s="32">
        <f t="shared" si="12"/>
        <v>37</v>
      </c>
      <c r="B41" s="33" t="s">
        <v>138</v>
      </c>
      <c r="C41" s="34">
        <v>263.0</v>
      </c>
      <c r="D41" s="34">
        <v>17.0</v>
      </c>
      <c r="E41" s="35">
        <f t="shared" si="2"/>
        <v>12.61538462</v>
      </c>
      <c r="F41" s="36">
        <f>if(isna(VLOOKUP(B41,Checkin!A:B,2,false)),0,VLOOKUP(B41,Checkin!A:B,2,false))</f>
        <v>3</v>
      </c>
      <c r="G41" s="38">
        <f>if(OR($F41=1, $F41=2),VLOOKUP($B41,Courts!$B$2:$K$50,10,false),0)</f>
        <v>0</v>
      </c>
      <c r="H41" s="40">
        <f t="shared" si="3"/>
        <v>9</v>
      </c>
      <c r="I41" s="38">
        <f>if(OR($F41=1, $F41=2),VLOOKUP($B41,Courts!$B$2:$J$50,5,false),0)</f>
        <v>0</v>
      </c>
      <c r="J41" s="38">
        <f>if(OR($F41=1, $F41=2),VLOOKUP($B41,Courts!$B$2:$J$50,6,false),0)</f>
        <v>0</v>
      </c>
      <c r="K41" s="38">
        <f>if(OR($F41=1, $F41=2),VLOOKUP($B41,Courts!$B$2:$J$50,7,false),0)</f>
        <v>0</v>
      </c>
      <c r="L41" s="48">
        <f t="shared" si="4"/>
        <v>9</v>
      </c>
      <c r="M41" s="38">
        <f>if(OR($F41=1, $F41=2),VLOOKUP($B41,Courts!$B$2:$J$50,9,false),0)</f>
        <v>0</v>
      </c>
      <c r="N41" s="34">
        <f t="shared" ref="N41:O41" si="48">C41+L41</f>
        <v>272</v>
      </c>
      <c r="O41" s="34">
        <f t="shared" si="48"/>
        <v>17</v>
      </c>
      <c r="P41" s="49" t="s">
        <v>58</v>
      </c>
      <c r="Q41" s="49" t="s">
        <v>58</v>
      </c>
      <c r="R41" s="49" t="s">
        <v>58</v>
      </c>
      <c r="S41" s="50">
        <f t="shared" si="6"/>
        <v>13</v>
      </c>
      <c r="T41" s="52">
        <f t="shared" si="7"/>
        <v>0</v>
      </c>
      <c r="U41" s="52"/>
      <c r="V41" s="50">
        <f t="shared" si="8"/>
        <v>11</v>
      </c>
      <c r="W41" s="52">
        <f t="shared" si="9"/>
        <v>0</v>
      </c>
      <c r="X41" s="32">
        <f t="shared" si="14"/>
        <v>37</v>
      </c>
      <c r="Y41" s="32" t="str">
        <f t="shared" si="10"/>
        <v>N</v>
      </c>
      <c r="Z41" s="16" t="str">
        <f t="shared" si="11"/>
        <v/>
      </c>
    </row>
    <row r="42">
      <c r="A42" s="32">
        <f t="shared" si="12"/>
        <v>38</v>
      </c>
      <c r="B42" s="33" t="s">
        <v>129</v>
      </c>
      <c r="C42" s="34">
        <v>261.0</v>
      </c>
      <c r="D42" s="34">
        <v>24.0</v>
      </c>
      <c r="E42" s="35">
        <f t="shared" si="2"/>
        <v>11.14285714</v>
      </c>
      <c r="F42" s="36">
        <f>if(isna(VLOOKUP(B42,Checkin!A:B,2,false)),0,VLOOKUP(B42,Checkin!A:B,2,false))</f>
        <v>3</v>
      </c>
      <c r="G42" s="38">
        <f>if(OR($F42=1, $F42=2),VLOOKUP($B42,Courts!$B$2:$K$50,10,false),0)</f>
        <v>0</v>
      </c>
      <c r="H42" s="40">
        <f t="shared" si="3"/>
        <v>9</v>
      </c>
      <c r="I42" s="38">
        <f>if(OR($F42=1, $F42=2),VLOOKUP($B42,Courts!$B$2:$J$50,5,false),0)</f>
        <v>0</v>
      </c>
      <c r="J42" s="38">
        <f>if(OR($F42=1, $F42=2),VLOOKUP($B42,Courts!$B$2:$J$50,6,false),0)</f>
        <v>0</v>
      </c>
      <c r="K42" s="38">
        <f>if(OR($F42=1, $F42=2),VLOOKUP($B42,Courts!$B$2:$J$50,7,false),0)</f>
        <v>0</v>
      </c>
      <c r="L42" s="48">
        <f t="shared" si="4"/>
        <v>9</v>
      </c>
      <c r="M42" s="38">
        <f>if(OR($F42=1, $F42=2),VLOOKUP($B42,Courts!$B$2:$J$50,9,false),0)</f>
        <v>0</v>
      </c>
      <c r="N42" s="34">
        <f t="shared" ref="N42:O42" si="49">C42+L42</f>
        <v>270</v>
      </c>
      <c r="O42" s="34">
        <f t="shared" si="49"/>
        <v>24</v>
      </c>
      <c r="P42" s="49" t="s">
        <v>58</v>
      </c>
      <c r="Q42" s="49" t="s">
        <v>58</v>
      </c>
      <c r="R42" s="49" t="s">
        <v>58</v>
      </c>
      <c r="S42" s="50">
        <f t="shared" si="6"/>
        <v>21</v>
      </c>
      <c r="T42" s="52">
        <f t="shared" si="7"/>
        <v>0</v>
      </c>
      <c r="U42" s="52"/>
      <c r="V42" s="50">
        <f t="shared" si="8"/>
        <v>3</v>
      </c>
      <c r="W42" s="52">
        <f t="shared" si="9"/>
        <v>0</v>
      </c>
      <c r="X42" s="32">
        <f t="shared" si="14"/>
        <v>38</v>
      </c>
      <c r="Y42" s="32" t="str">
        <f t="shared" si="10"/>
        <v>N</v>
      </c>
      <c r="Z42" s="16" t="str">
        <f t="shared" si="11"/>
        <v/>
      </c>
    </row>
    <row r="43">
      <c r="A43" s="32">
        <f t="shared" si="12"/>
        <v>39</v>
      </c>
      <c r="B43" s="33" t="s">
        <v>121</v>
      </c>
      <c r="C43" s="34">
        <v>256.0</v>
      </c>
      <c r="D43" s="34">
        <v>16.0</v>
      </c>
      <c r="E43" s="35">
        <f t="shared" si="2"/>
        <v>14.14285714</v>
      </c>
      <c r="F43" s="36">
        <f>if(isna(VLOOKUP(B43,Checkin!A:B,2,false)),0,VLOOKUP(B43,Checkin!A:B,2,false))</f>
        <v>0</v>
      </c>
      <c r="G43" s="38">
        <f>if(OR($F43=1, $F43=2),VLOOKUP($B43,Courts!$B$2:$K$50,10,false),0)</f>
        <v>0</v>
      </c>
      <c r="H43" s="40">
        <f t="shared" si="3"/>
        <v>0</v>
      </c>
      <c r="I43" s="38">
        <f>if(OR($F43=1, $F43=2),VLOOKUP($B43,Courts!$B$2:$J$50,5,false),0)</f>
        <v>0</v>
      </c>
      <c r="J43" s="38">
        <f>if(OR($F43=1, $F43=2),VLOOKUP($B43,Courts!$B$2:$J$50,6,false),0)</f>
        <v>0</v>
      </c>
      <c r="K43" s="38">
        <f>if(OR($F43=1, $F43=2),VLOOKUP($B43,Courts!$B$2:$J$50,7,false),0)</f>
        <v>0</v>
      </c>
      <c r="L43" s="48">
        <f t="shared" si="4"/>
        <v>0</v>
      </c>
      <c r="M43" s="38">
        <f>if(OR($F43=1, $F43=2),VLOOKUP($B43,Courts!$B$2:$J$50,9,false),0)</f>
        <v>0</v>
      </c>
      <c r="N43" s="34">
        <f t="shared" ref="N43:O43" si="50">C43+L43</f>
        <v>256</v>
      </c>
      <c r="O43" s="34">
        <f t="shared" si="50"/>
        <v>16</v>
      </c>
      <c r="P43" s="49" t="s">
        <v>58</v>
      </c>
      <c r="Q43" s="49" t="s">
        <v>58</v>
      </c>
      <c r="R43" s="49" t="s">
        <v>58</v>
      </c>
      <c r="S43" s="50">
        <f t="shared" si="6"/>
        <v>7</v>
      </c>
      <c r="T43" s="52">
        <f t="shared" si="7"/>
        <v>1</v>
      </c>
      <c r="U43" s="52"/>
      <c r="V43" s="50">
        <f t="shared" si="8"/>
        <v>16</v>
      </c>
      <c r="W43" s="52">
        <f t="shared" si="9"/>
        <v>0</v>
      </c>
      <c r="X43" s="32">
        <f t="shared" si="14"/>
        <v>39</v>
      </c>
      <c r="Y43" s="32" t="str">
        <f t="shared" si="10"/>
        <v>N</v>
      </c>
      <c r="Z43" s="16" t="str">
        <f t="shared" si="11"/>
        <v/>
      </c>
    </row>
    <row r="44">
      <c r="A44" s="32">
        <f t="shared" si="12"/>
        <v>40</v>
      </c>
      <c r="B44" s="33" t="s">
        <v>137</v>
      </c>
      <c r="C44" s="34">
        <v>254.0</v>
      </c>
      <c r="D44" s="34">
        <v>18.0</v>
      </c>
      <c r="E44" s="35">
        <f t="shared" si="2"/>
        <v>11.53333333</v>
      </c>
      <c r="F44" s="36">
        <f>if(isna(VLOOKUP(B44,Checkin!A:B,2,false)),0,VLOOKUP(B44,Checkin!A:B,2,false))</f>
        <v>3</v>
      </c>
      <c r="G44" s="38">
        <f>if(OR($F44=1, $F44=2),VLOOKUP($B44,Courts!$B$2:$K$50,10,false),0)</f>
        <v>0</v>
      </c>
      <c r="H44" s="40">
        <f t="shared" si="3"/>
        <v>9</v>
      </c>
      <c r="I44" s="38">
        <f>if(OR($F44=1, $F44=2),VLOOKUP($B44,Courts!$B$2:$J$50,5,false),0)</f>
        <v>0</v>
      </c>
      <c r="J44" s="38">
        <f>if(OR($F44=1, $F44=2),VLOOKUP($B44,Courts!$B$2:$J$50,6,false),0)</f>
        <v>0</v>
      </c>
      <c r="K44" s="38">
        <f>if(OR($F44=1, $F44=2),VLOOKUP($B44,Courts!$B$2:$J$50,7,false),0)</f>
        <v>0</v>
      </c>
      <c r="L44" s="48">
        <f t="shared" si="4"/>
        <v>9</v>
      </c>
      <c r="M44" s="38">
        <f>if(OR($F44=1, $F44=2),VLOOKUP($B44,Courts!$B$2:$J$50,9,false),0)</f>
        <v>0</v>
      </c>
      <c r="N44" s="34">
        <f t="shared" ref="N44:O44" si="51">C44+L44</f>
        <v>263</v>
      </c>
      <c r="O44" s="34">
        <f t="shared" si="51"/>
        <v>18</v>
      </c>
      <c r="P44" s="49" t="s">
        <v>58</v>
      </c>
      <c r="Q44" s="49" t="s">
        <v>58</v>
      </c>
      <c r="R44" s="49" t="s">
        <v>58</v>
      </c>
      <c r="S44" s="50">
        <f t="shared" si="6"/>
        <v>15</v>
      </c>
      <c r="T44" s="52">
        <f t="shared" si="7"/>
        <v>0</v>
      </c>
      <c r="U44" s="52"/>
      <c r="V44" s="50">
        <f t="shared" si="8"/>
        <v>9</v>
      </c>
      <c r="W44" s="52">
        <f t="shared" si="9"/>
        <v>0</v>
      </c>
      <c r="X44" s="32">
        <f t="shared" si="14"/>
        <v>40</v>
      </c>
      <c r="Y44" s="32" t="str">
        <f t="shared" si="10"/>
        <v>N</v>
      </c>
      <c r="Z44" s="16" t="str">
        <f t="shared" si="11"/>
        <v/>
      </c>
    </row>
    <row r="45">
      <c r="A45" s="32">
        <f t="shared" si="12"/>
        <v>41</v>
      </c>
      <c r="B45" s="33" t="s">
        <v>75</v>
      </c>
      <c r="C45" s="34">
        <v>254.0</v>
      </c>
      <c r="D45" s="34">
        <v>12.0</v>
      </c>
      <c r="E45" s="35">
        <f t="shared" si="2"/>
        <v>13.22222222</v>
      </c>
      <c r="F45" s="36">
        <f>if(isna(VLOOKUP(B45,Checkin!A:B,2,false)),0,VLOOKUP(B45,Checkin!A:B,2,false))</f>
        <v>0</v>
      </c>
      <c r="G45" s="38">
        <f>if(OR($F45=1, $F45=2),VLOOKUP($B45,Courts!$B$2:$K$50,10,false),0)</f>
        <v>0</v>
      </c>
      <c r="H45" s="40">
        <f t="shared" si="3"/>
        <v>0</v>
      </c>
      <c r="I45" s="38">
        <f>if(OR($F45=1, $F45=2),VLOOKUP($B45,Courts!$B$2:$J$50,5,false),0)</f>
        <v>0</v>
      </c>
      <c r="J45" s="38">
        <f>if(OR($F45=1, $F45=2),VLOOKUP($B45,Courts!$B$2:$J$50,6,false),0)</f>
        <v>0</v>
      </c>
      <c r="K45" s="38">
        <f>if(OR($F45=1, $F45=2),VLOOKUP($B45,Courts!$B$2:$J$50,7,false),0)</f>
        <v>0</v>
      </c>
      <c r="L45" s="48">
        <f t="shared" si="4"/>
        <v>0</v>
      </c>
      <c r="M45" s="38">
        <f>if(OR($F45=1, $F45=2),VLOOKUP($B45,Courts!$B$2:$J$50,9,false),0)</f>
        <v>0</v>
      </c>
      <c r="N45" s="34">
        <f t="shared" ref="N45:O45" si="52">C45+L45</f>
        <v>254</v>
      </c>
      <c r="O45" s="34">
        <f t="shared" si="52"/>
        <v>12</v>
      </c>
      <c r="P45" s="49" t="s">
        <v>58</v>
      </c>
      <c r="Q45" s="49" t="s">
        <v>58</v>
      </c>
      <c r="R45" s="49" t="s">
        <v>58</v>
      </c>
      <c r="S45" s="50">
        <f t="shared" si="6"/>
        <v>9</v>
      </c>
      <c r="T45" s="52">
        <f t="shared" si="7"/>
        <v>0</v>
      </c>
      <c r="U45" s="52"/>
      <c r="V45" s="50">
        <f t="shared" si="8"/>
        <v>15</v>
      </c>
      <c r="W45" s="52">
        <f t="shared" si="9"/>
        <v>1</v>
      </c>
      <c r="X45" s="32">
        <f t="shared" si="14"/>
        <v>41</v>
      </c>
      <c r="Y45" s="32" t="str">
        <f t="shared" si="10"/>
        <v>N</v>
      </c>
      <c r="Z45" s="16" t="str">
        <f t="shared" si="11"/>
        <v/>
      </c>
    </row>
    <row r="46">
      <c r="A46" s="32">
        <f t="shared" si="12"/>
        <v>42</v>
      </c>
      <c r="B46" s="33" t="s">
        <v>72</v>
      </c>
      <c r="C46" s="34">
        <v>249.0</v>
      </c>
      <c r="D46" s="34">
        <v>12.0</v>
      </c>
      <c r="E46" s="35">
        <f t="shared" si="2"/>
        <v>11.63636364</v>
      </c>
      <c r="F46" s="36">
        <f>if(isna(VLOOKUP(B46,Checkin!A:B,2,false)),0,VLOOKUP(B46,Checkin!A:B,2,false))</f>
        <v>3</v>
      </c>
      <c r="G46" s="38">
        <f>if(OR($F46=1, $F46=2),VLOOKUP($B46,Courts!$B$2:$K$50,10,false),0)</f>
        <v>0</v>
      </c>
      <c r="H46" s="40">
        <f t="shared" si="3"/>
        <v>9</v>
      </c>
      <c r="I46" s="38">
        <f>if(OR($F46=1, $F46=2),VLOOKUP($B46,Courts!$B$2:$J$50,5,false),0)</f>
        <v>0</v>
      </c>
      <c r="J46" s="38">
        <f>if(OR($F46=1, $F46=2),VLOOKUP($B46,Courts!$B$2:$J$50,6,false),0)</f>
        <v>0</v>
      </c>
      <c r="K46" s="38">
        <f>if(OR($F46=1, $F46=2),VLOOKUP($B46,Courts!$B$2:$J$50,7,false),0)</f>
        <v>0</v>
      </c>
      <c r="L46" s="48">
        <f t="shared" si="4"/>
        <v>9</v>
      </c>
      <c r="M46" s="38">
        <f>if(OR($F46=1, $F46=2),VLOOKUP($B46,Courts!$B$2:$J$50,9,false),0)</f>
        <v>0</v>
      </c>
      <c r="N46" s="34">
        <f t="shared" ref="N46:O46" si="53">C46+L46</f>
        <v>258</v>
      </c>
      <c r="O46" s="34">
        <f t="shared" si="53"/>
        <v>12</v>
      </c>
      <c r="P46" s="49" t="s">
        <v>58</v>
      </c>
      <c r="Q46" s="49" t="s">
        <v>58</v>
      </c>
      <c r="R46" s="49" t="s">
        <v>58</v>
      </c>
      <c r="S46" s="50">
        <f t="shared" si="6"/>
        <v>11</v>
      </c>
      <c r="T46" s="52">
        <f t="shared" si="7"/>
        <v>1</v>
      </c>
      <c r="U46" s="52"/>
      <c r="V46" s="50">
        <f t="shared" si="8"/>
        <v>12</v>
      </c>
      <c r="W46" s="52">
        <f t="shared" si="9"/>
        <v>-1</v>
      </c>
      <c r="X46" s="32">
        <f t="shared" si="14"/>
        <v>42</v>
      </c>
      <c r="Y46" s="32" t="str">
        <f t="shared" si="10"/>
        <v>N</v>
      </c>
      <c r="Z46" s="16" t="str">
        <f t="shared" si="11"/>
        <v/>
      </c>
    </row>
    <row r="47">
      <c r="A47" s="32">
        <f t="shared" si="12"/>
        <v>43</v>
      </c>
      <c r="B47" s="33" t="s">
        <v>132</v>
      </c>
      <c r="C47" s="34">
        <v>247.0</v>
      </c>
      <c r="D47" s="34">
        <v>12.0</v>
      </c>
      <c r="E47" s="35">
        <f t="shared" si="2"/>
        <v>12.875</v>
      </c>
      <c r="F47" s="36">
        <f>if(isna(VLOOKUP(B47,Checkin!A:B,2,false)),0,VLOOKUP(B47,Checkin!A:B,2,false))</f>
        <v>1</v>
      </c>
      <c r="G47" s="38">
        <f>if(OR($F47=1, $F47=2),VLOOKUP($B47,Courts!$B$2:$K$50,10,false),0)</f>
        <v>5</v>
      </c>
      <c r="H47" s="40">
        <f t="shared" si="3"/>
        <v>0</v>
      </c>
      <c r="I47" s="38" t="str">
        <f>if(OR($F47=1, $F47=2),VLOOKUP($B47,Courts!$B$2:$J$50,5,false),0)</f>
        <v/>
      </c>
      <c r="J47" s="38" t="str">
        <f>if(OR($F47=1, $F47=2),VLOOKUP($B47,Courts!$B$2:$J$50,6,false),0)</f>
        <v/>
      </c>
      <c r="K47" s="38" t="str">
        <f>if(OR($F47=1, $F47=2),VLOOKUP($B47,Courts!$B$2:$J$50,7,false),0)</f>
        <v/>
      </c>
      <c r="L47" s="48">
        <f t="shared" si="4"/>
        <v>0</v>
      </c>
      <c r="M47" s="38" t="str">
        <f>if(OR($F47=1, $F47=2),VLOOKUP($B47,Courts!$B$2:$J$50,9,false),0)</f>
        <v/>
      </c>
      <c r="N47" s="34">
        <f t="shared" ref="N47:O47" si="54">C47+L47</f>
        <v>247</v>
      </c>
      <c r="O47" s="34">
        <f t="shared" si="54"/>
        <v>12</v>
      </c>
      <c r="P47" s="49" t="s">
        <v>58</v>
      </c>
      <c r="Q47" s="49" t="s">
        <v>58</v>
      </c>
      <c r="R47" s="49" t="s">
        <v>58</v>
      </c>
      <c r="S47" s="50">
        <f t="shared" si="6"/>
        <v>8</v>
      </c>
      <c r="T47" s="52">
        <f t="shared" si="7"/>
        <v>0</v>
      </c>
      <c r="U47" s="52"/>
      <c r="V47" s="50">
        <f t="shared" si="8"/>
        <v>16</v>
      </c>
      <c r="W47" s="52">
        <f t="shared" si="9"/>
        <v>0</v>
      </c>
      <c r="X47" s="32">
        <f t="shared" si="14"/>
        <v>43</v>
      </c>
      <c r="Y47" s="32" t="str">
        <f t="shared" si="10"/>
        <v>N</v>
      </c>
      <c r="Z47" s="16" t="str">
        <f t="shared" si="11"/>
        <v/>
      </c>
    </row>
    <row r="48">
      <c r="A48" s="32">
        <f t="shared" si="12"/>
        <v>44</v>
      </c>
      <c r="B48" s="33" t="s">
        <v>139</v>
      </c>
      <c r="C48" s="34">
        <v>246.0</v>
      </c>
      <c r="D48" s="34">
        <v>18.0</v>
      </c>
      <c r="E48" s="35">
        <f t="shared" si="2"/>
        <v>10.875</v>
      </c>
      <c r="F48" s="36">
        <f>if(isna(VLOOKUP(B48,Checkin!A:B,2,false)),0,VLOOKUP(B48,Checkin!A:B,2,false))</f>
        <v>0</v>
      </c>
      <c r="G48" s="38">
        <f>if(OR($F48=1, $F48=2),VLOOKUP($B48,Courts!$B$2:$K$50,10,false),0)</f>
        <v>0</v>
      </c>
      <c r="H48" s="40">
        <f t="shared" si="3"/>
        <v>0</v>
      </c>
      <c r="I48" s="38">
        <f>if(OR($F48=1, $F48=2),VLOOKUP($B48,Courts!$B$2:$J$50,5,false),0)</f>
        <v>0</v>
      </c>
      <c r="J48" s="38">
        <f>if(OR($F48=1, $F48=2),VLOOKUP($B48,Courts!$B$2:$J$50,6,false),0)</f>
        <v>0</v>
      </c>
      <c r="K48" s="38">
        <f>if(OR($F48=1, $F48=2),VLOOKUP($B48,Courts!$B$2:$J$50,7,false),0)</f>
        <v>0</v>
      </c>
      <c r="L48" s="48">
        <f t="shared" si="4"/>
        <v>0</v>
      </c>
      <c r="M48" s="38">
        <f>if(OR($F48=1, $F48=2),VLOOKUP($B48,Courts!$B$2:$J$50,9,false),0)</f>
        <v>0</v>
      </c>
      <c r="N48" s="34">
        <f t="shared" ref="N48:O48" si="55">C48+L48</f>
        <v>246</v>
      </c>
      <c r="O48" s="34">
        <f t="shared" si="55"/>
        <v>18</v>
      </c>
      <c r="P48" s="49" t="s">
        <v>58</v>
      </c>
      <c r="Q48" s="49" t="s">
        <v>58</v>
      </c>
      <c r="R48" s="49" t="s">
        <v>58</v>
      </c>
      <c r="S48" s="50">
        <f t="shared" si="6"/>
        <v>16</v>
      </c>
      <c r="T48" s="52">
        <f t="shared" si="7"/>
        <v>0</v>
      </c>
      <c r="U48" s="52"/>
      <c r="V48" s="50">
        <f t="shared" si="8"/>
        <v>8</v>
      </c>
      <c r="W48" s="52">
        <f t="shared" si="9"/>
        <v>0</v>
      </c>
      <c r="X48" s="32">
        <f t="shared" si="14"/>
        <v>44</v>
      </c>
      <c r="Y48" s="32" t="str">
        <f t="shared" si="10"/>
        <v>N</v>
      </c>
      <c r="Z48" s="16" t="str">
        <f t="shared" si="11"/>
        <v/>
      </c>
    </row>
    <row r="49">
      <c r="A49" s="32">
        <f t="shared" si="12"/>
        <v>45</v>
      </c>
      <c r="B49" s="33" t="s">
        <v>108</v>
      </c>
      <c r="C49" s="34">
        <v>240.0</v>
      </c>
      <c r="D49" s="34">
        <v>11.0</v>
      </c>
      <c r="E49" s="35">
        <f t="shared" si="2"/>
        <v>10.5</v>
      </c>
      <c r="F49" s="36">
        <f>if(isna(VLOOKUP(B49,Checkin!A:B,2,false)),0,VLOOKUP(B49,Checkin!A:B,2,false))</f>
        <v>3</v>
      </c>
      <c r="G49" s="38">
        <f>if(OR($F49=1, $F49=2),VLOOKUP($B49,Courts!$B$2:$K$50,10,false),0)</f>
        <v>0</v>
      </c>
      <c r="H49" s="40">
        <f t="shared" si="3"/>
        <v>9</v>
      </c>
      <c r="I49" s="38">
        <f>if(OR($F49=1, $F49=2),VLOOKUP($B49,Courts!$B$2:$J$50,5,false),0)</f>
        <v>0</v>
      </c>
      <c r="J49" s="38">
        <f>if(OR($F49=1, $F49=2),VLOOKUP($B49,Courts!$B$2:$J$50,6,false),0)</f>
        <v>0</v>
      </c>
      <c r="K49" s="38">
        <f>if(OR($F49=1, $F49=2),VLOOKUP($B49,Courts!$B$2:$J$50,7,false),0)</f>
        <v>0</v>
      </c>
      <c r="L49" s="48">
        <f t="shared" si="4"/>
        <v>9</v>
      </c>
      <c r="M49" s="38">
        <f>if(OR($F49=1, $F49=2),VLOOKUP($B49,Courts!$B$2:$J$50,9,false),0)</f>
        <v>0</v>
      </c>
      <c r="N49" s="34">
        <f t="shared" ref="N49:O49" si="56">C49+L49</f>
        <v>249</v>
      </c>
      <c r="O49" s="34">
        <f t="shared" si="56"/>
        <v>11</v>
      </c>
      <c r="P49" s="49" t="s">
        <v>58</v>
      </c>
      <c r="Q49" s="49" t="s">
        <v>58</v>
      </c>
      <c r="R49" s="49" t="s">
        <v>58</v>
      </c>
      <c r="S49" s="50">
        <f t="shared" si="6"/>
        <v>16</v>
      </c>
      <c r="T49" s="52">
        <f t="shared" si="7"/>
        <v>0</v>
      </c>
      <c r="U49" s="52"/>
      <c r="V49" s="50">
        <f t="shared" si="8"/>
        <v>8</v>
      </c>
      <c r="W49" s="52">
        <f t="shared" si="9"/>
        <v>1</v>
      </c>
      <c r="X49" s="32">
        <f t="shared" si="14"/>
        <v>45</v>
      </c>
      <c r="Y49" s="32" t="str">
        <f t="shared" si="10"/>
        <v>N</v>
      </c>
      <c r="Z49" s="16" t="str">
        <f t="shared" si="11"/>
        <v/>
      </c>
    </row>
    <row r="50">
      <c r="A50" s="32">
        <f t="shared" si="12"/>
        <v>46</v>
      </c>
      <c r="B50" s="33" t="s">
        <v>146</v>
      </c>
      <c r="C50" s="34">
        <v>239.0</v>
      </c>
      <c r="D50" s="34">
        <v>14.0</v>
      </c>
      <c r="E50" s="35">
        <f t="shared" si="2"/>
        <v>11.11111111</v>
      </c>
      <c r="F50" s="36">
        <f>if(isna(VLOOKUP(B50,Checkin!A:B,2,false)),0,VLOOKUP(B50,Checkin!A:B,2,false))</f>
        <v>3</v>
      </c>
      <c r="G50" s="38">
        <f>if(OR($F50=1, $F50=2),VLOOKUP($B50,Courts!$B$2:$K$50,10,false),0)</f>
        <v>0</v>
      </c>
      <c r="H50" s="40">
        <f t="shared" si="3"/>
        <v>9</v>
      </c>
      <c r="I50" s="38">
        <f>if(OR($F50=1, $F50=2),VLOOKUP($B50,Courts!$B$2:$J$50,5,false),0)</f>
        <v>0</v>
      </c>
      <c r="J50" s="38">
        <f>if(OR($F50=1, $F50=2),VLOOKUP($B50,Courts!$B$2:$J$50,6,false),0)</f>
        <v>0</v>
      </c>
      <c r="K50" s="38">
        <f>if(OR($F50=1, $F50=2),VLOOKUP($B50,Courts!$B$2:$J$50,7,false),0)</f>
        <v>0</v>
      </c>
      <c r="L50" s="48">
        <f t="shared" si="4"/>
        <v>9</v>
      </c>
      <c r="M50" s="38">
        <f>if(OR($F50=1, $F50=2),VLOOKUP($B50,Courts!$B$2:$J$50,9,false),0)</f>
        <v>0</v>
      </c>
      <c r="N50" s="34">
        <f t="shared" ref="N50:O50" si="57">C50+L50</f>
        <v>248</v>
      </c>
      <c r="O50" s="34">
        <f t="shared" si="57"/>
        <v>14</v>
      </c>
      <c r="P50" s="49" t="s">
        <v>58</v>
      </c>
      <c r="Q50" s="49" t="s">
        <v>58</v>
      </c>
      <c r="R50" s="49" t="s">
        <v>58</v>
      </c>
      <c r="S50" s="50">
        <f t="shared" si="6"/>
        <v>9</v>
      </c>
      <c r="T50" s="52">
        <f t="shared" si="7"/>
        <v>1</v>
      </c>
      <c r="U50" s="52"/>
      <c r="V50" s="50">
        <f t="shared" si="8"/>
        <v>14</v>
      </c>
      <c r="W50" s="52">
        <f t="shared" si="9"/>
        <v>4</v>
      </c>
      <c r="X50" s="32">
        <f t="shared" si="14"/>
        <v>46</v>
      </c>
      <c r="Y50" s="32" t="str">
        <f t="shared" si="10"/>
        <v>N</v>
      </c>
      <c r="Z50" s="16" t="str">
        <f t="shared" si="11"/>
        <v/>
      </c>
    </row>
    <row r="51">
      <c r="A51" s="32">
        <f t="shared" si="12"/>
        <v>47</v>
      </c>
      <c r="B51" s="33" t="s">
        <v>54</v>
      </c>
      <c r="C51" s="34">
        <v>238.0</v>
      </c>
      <c r="D51" s="34">
        <v>19.0</v>
      </c>
      <c r="E51" s="35">
        <f t="shared" si="2"/>
        <v>10.22222222</v>
      </c>
      <c r="F51" s="36">
        <f>if(isna(VLOOKUP(B51,Checkin!A:B,2,false)),0,VLOOKUP(B51,Checkin!A:B,2,false))</f>
        <v>3</v>
      </c>
      <c r="G51" s="38">
        <f>if(OR($F51=1, $F51=2),VLOOKUP($B51,Courts!$B$2:$K$50,10,false),0)</f>
        <v>0</v>
      </c>
      <c r="H51" s="40">
        <f t="shared" si="3"/>
        <v>9</v>
      </c>
      <c r="I51" s="38">
        <f>if(OR($F51=1, $F51=2),VLOOKUP($B51,Courts!$B$2:$J$50,5,false),0)</f>
        <v>0</v>
      </c>
      <c r="J51" s="38">
        <f>if(OR($F51=1, $F51=2),VLOOKUP($B51,Courts!$B$2:$J$50,6,false),0)</f>
        <v>0</v>
      </c>
      <c r="K51" s="38">
        <f>if(OR($F51=1, $F51=2),VLOOKUP($B51,Courts!$B$2:$J$50,7,false),0)</f>
        <v>0</v>
      </c>
      <c r="L51" s="48">
        <f t="shared" si="4"/>
        <v>9</v>
      </c>
      <c r="M51" s="38">
        <f>if(OR($F51=1, $F51=2),VLOOKUP($B51,Courts!$B$2:$J$50,9,false),0)</f>
        <v>0</v>
      </c>
      <c r="N51" s="34">
        <f t="shared" ref="N51:O51" si="58">C51+L51</f>
        <v>247</v>
      </c>
      <c r="O51" s="34">
        <f t="shared" si="58"/>
        <v>19</v>
      </c>
      <c r="P51" s="49" t="s">
        <v>58</v>
      </c>
      <c r="Q51" s="49" t="s">
        <v>58</v>
      </c>
      <c r="R51" s="49" t="s">
        <v>58</v>
      </c>
      <c r="S51" s="50">
        <f t="shared" si="6"/>
        <v>18</v>
      </c>
      <c r="T51" s="52">
        <f t="shared" si="7"/>
        <v>0</v>
      </c>
      <c r="U51" s="52"/>
      <c r="V51" s="50">
        <f t="shared" si="8"/>
        <v>6</v>
      </c>
      <c r="W51" s="52">
        <f t="shared" si="9"/>
        <v>-2</v>
      </c>
      <c r="X51" s="32">
        <f t="shared" si="14"/>
        <v>47</v>
      </c>
      <c r="Y51" s="32" t="str">
        <f t="shared" si="10"/>
        <v>N</v>
      </c>
      <c r="Z51" s="16" t="str">
        <f t="shared" si="11"/>
        <v/>
      </c>
    </row>
    <row r="52">
      <c r="A52" s="32">
        <f t="shared" si="12"/>
        <v>48</v>
      </c>
      <c r="B52" s="33" t="s">
        <v>140</v>
      </c>
      <c r="C52" s="34">
        <v>236.0</v>
      </c>
      <c r="D52" s="34">
        <v>10.0</v>
      </c>
      <c r="E52" s="35">
        <f t="shared" si="2"/>
        <v>12.33333333</v>
      </c>
      <c r="F52" s="36">
        <f>if(isna(VLOOKUP(B52,Checkin!A:B,2,false)),0,VLOOKUP(B52,Checkin!A:B,2,false))</f>
        <v>3</v>
      </c>
      <c r="G52" s="38">
        <f>if(OR($F52=1, $F52=2),VLOOKUP($B52,Courts!$B$2:$K$50,10,false),0)</f>
        <v>0</v>
      </c>
      <c r="H52" s="40">
        <f t="shared" si="3"/>
        <v>9</v>
      </c>
      <c r="I52" s="38">
        <f>if(OR($F52=1, $F52=2),VLOOKUP($B52,Courts!$B$2:$J$50,5,false),0)</f>
        <v>0</v>
      </c>
      <c r="J52" s="38">
        <f>if(OR($F52=1, $F52=2),VLOOKUP($B52,Courts!$B$2:$J$50,6,false),0)</f>
        <v>0</v>
      </c>
      <c r="K52" s="38">
        <f>if(OR($F52=1, $F52=2),VLOOKUP($B52,Courts!$B$2:$J$50,7,false),0)</f>
        <v>0</v>
      </c>
      <c r="L52" s="48">
        <f t="shared" si="4"/>
        <v>9</v>
      </c>
      <c r="M52" s="38">
        <f>if(OR($F52=1, $F52=2),VLOOKUP($B52,Courts!$B$2:$J$50,9,false),0)</f>
        <v>0</v>
      </c>
      <c r="N52" s="34">
        <f t="shared" ref="N52:O52" si="59">C52+L52</f>
        <v>245</v>
      </c>
      <c r="O52" s="34">
        <f t="shared" si="59"/>
        <v>10</v>
      </c>
      <c r="P52" s="49" t="s">
        <v>58</v>
      </c>
      <c r="Q52" s="49" t="s">
        <v>58</v>
      </c>
      <c r="R52" s="49" t="s">
        <v>58</v>
      </c>
      <c r="S52" s="50">
        <f t="shared" si="6"/>
        <v>6</v>
      </c>
      <c r="T52" s="52">
        <f t="shared" si="7"/>
        <v>0</v>
      </c>
      <c r="U52" s="52"/>
      <c r="V52" s="50">
        <f t="shared" si="8"/>
        <v>18</v>
      </c>
      <c r="W52" s="52">
        <f t="shared" si="9"/>
        <v>-1</v>
      </c>
      <c r="X52" s="32">
        <f t="shared" si="14"/>
        <v>48</v>
      </c>
      <c r="Y52" s="32" t="str">
        <f t="shared" si="10"/>
        <v>N</v>
      </c>
      <c r="Z52" s="16" t="str">
        <f t="shared" si="11"/>
        <v/>
      </c>
    </row>
    <row r="53">
      <c r="A53" s="32">
        <f t="shared" si="12"/>
        <v>49</v>
      </c>
      <c r="B53" s="33" t="s">
        <v>95</v>
      </c>
      <c r="C53" s="34">
        <v>236.0</v>
      </c>
      <c r="D53" s="34">
        <v>9.0</v>
      </c>
      <c r="E53" s="35">
        <f t="shared" si="2"/>
        <v>11.66666667</v>
      </c>
      <c r="F53" s="36">
        <f>if(isna(VLOOKUP(B53,Checkin!A:B,2,false)),0,VLOOKUP(B53,Checkin!A:B,2,false))</f>
        <v>3</v>
      </c>
      <c r="G53" s="38">
        <f>if(OR($F53=1, $F53=2),VLOOKUP($B53,Courts!$B$2:$K$50,10,false),0)</f>
        <v>0</v>
      </c>
      <c r="H53" s="40">
        <f t="shared" si="3"/>
        <v>9</v>
      </c>
      <c r="I53" s="38">
        <f>if(OR($F53=1, $F53=2),VLOOKUP($B53,Courts!$B$2:$J$50,5,false),0)</f>
        <v>0</v>
      </c>
      <c r="J53" s="38">
        <f>if(OR($F53=1, $F53=2),VLOOKUP($B53,Courts!$B$2:$J$50,6,false),0)</f>
        <v>0</v>
      </c>
      <c r="K53" s="38">
        <f>if(OR($F53=1, $F53=2),VLOOKUP($B53,Courts!$B$2:$J$50,7,false),0)</f>
        <v>0</v>
      </c>
      <c r="L53" s="48">
        <f t="shared" si="4"/>
        <v>9</v>
      </c>
      <c r="M53" s="38">
        <f>if(OR($F53=1, $F53=2),VLOOKUP($B53,Courts!$B$2:$J$50,9,false),0)</f>
        <v>0</v>
      </c>
      <c r="N53" s="34">
        <f t="shared" ref="N53:O53" si="60">C53+L53</f>
        <v>245</v>
      </c>
      <c r="O53" s="34">
        <f t="shared" si="60"/>
        <v>9</v>
      </c>
      <c r="P53" s="49" t="s">
        <v>58</v>
      </c>
      <c r="Q53" s="49" t="s">
        <v>58</v>
      </c>
      <c r="R53" s="49" t="s">
        <v>58</v>
      </c>
      <c r="S53" s="50">
        <f t="shared" si="6"/>
        <v>6</v>
      </c>
      <c r="T53" s="52">
        <f t="shared" si="7"/>
        <v>1</v>
      </c>
      <c r="U53" s="52"/>
      <c r="V53" s="50">
        <f t="shared" si="8"/>
        <v>17</v>
      </c>
      <c r="W53" s="52">
        <f t="shared" si="9"/>
        <v>4</v>
      </c>
      <c r="X53" s="32">
        <f t="shared" si="14"/>
        <v>49</v>
      </c>
      <c r="Y53" s="32" t="str">
        <f t="shared" si="10"/>
        <v>N</v>
      </c>
      <c r="Z53" s="16" t="str">
        <f t="shared" si="11"/>
        <v/>
      </c>
    </row>
    <row r="54">
      <c r="A54" s="32">
        <f t="shared" si="12"/>
        <v>50</v>
      </c>
      <c r="B54" s="33" t="s">
        <v>145</v>
      </c>
      <c r="C54" s="34">
        <v>233.0</v>
      </c>
      <c r="D54" s="34">
        <v>14.0</v>
      </c>
      <c r="E54" s="35">
        <f t="shared" si="2"/>
        <v>10.41666667</v>
      </c>
      <c r="F54" s="36">
        <f>if(isna(VLOOKUP(B54,Checkin!A:B,2,false)),0,VLOOKUP(B54,Checkin!A:B,2,false))</f>
        <v>3</v>
      </c>
      <c r="G54" s="38">
        <f>if(OR($F54=1, $F54=2),VLOOKUP($B54,Courts!$B$2:$K$50,10,false),0)</f>
        <v>0</v>
      </c>
      <c r="H54" s="40">
        <f t="shared" si="3"/>
        <v>9</v>
      </c>
      <c r="I54" s="38">
        <f>if(OR($F54=1, $F54=2),VLOOKUP($B54,Courts!$B$2:$J$50,5,false),0)</f>
        <v>0</v>
      </c>
      <c r="J54" s="38">
        <f>if(OR($F54=1, $F54=2),VLOOKUP($B54,Courts!$B$2:$J$50,6,false),0)</f>
        <v>0</v>
      </c>
      <c r="K54" s="38">
        <f>if(OR($F54=1, $F54=2),VLOOKUP($B54,Courts!$B$2:$J$50,7,false),0)</f>
        <v>0</v>
      </c>
      <c r="L54" s="48">
        <f t="shared" si="4"/>
        <v>9</v>
      </c>
      <c r="M54" s="38">
        <f>if(OR($F54=1, $F54=2),VLOOKUP($B54,Courts!$B$2:$J$50,9,false),0)</f>
        <v>0</v>
      </c>
      <c r="N54" s="34">
        <f t="shared" ref="N54:O54" si="61">C54+L54</f>
        <v>242</v>
      </c>
      <c r="O54" s="34">
        <f t="shared" si="61"/>
        <v>14</v>
      </c>
      <c r="P54" s="49" t="s">
        <v>58</v>
      </c>
      <c r="Q54" s="49" t="s">
        <v>58</v>
      </c>
      <c r="R54" s="49" t="s">
        <v>58</v>
      </c>
      <c r="S54" s="50">
        <f t="shared" si="6"/>
        <v>12</v>
      </c>
      <c r="T54" s="52">
        <f t="shared" si="7"/>
        <v>0</v>
      </c>
      <c r="U54" s="52"/>
      <c r="V54" s="50">
        <f t="shared" si="8"/>
        <v>12</v>
      </c>
      <c r="W54" s="52">
        <f t="shared" si="9"/>
        <v>4</v>
      </c>
      <c r="X54" s="32">
        <f t="shared" si="14"/>
        <v>50</v>
      </c>
      <c r="Y54" s="32" t="str">
        <f t="shared" si="10"/>
        <v>N</v>
      </c>
      <c r="Z54" s="16" t="str">
        <f t="shared" si="11"/>
        <v/>
      </c>
    </row>
    <row r="55">
      <c r="A55" s="32">
        <f t="shared" si="12"/>
        <v>51</v>
      </c>
      <c r="B55" s="33" t="s">
        <v>144</v>
      </c>
      <c r="C55" s="34">
        <v>232.0</v>
      </c>
      <c r="D55" s="34">
        <v>10.0</v>
      </c>
      <c r="E55" s="35">
        <f t="shared" si="2"/>
        <v>10.33333333</v>
      </c>
      <c r="F55" s="36">
        <f>if(isna(VLOOKUP(B55,Checkin!A:B,2,false)),0,VLOOKUP(B55,Checkin!A:B,2,false))</f>
        <v>3</v>
      </c>
      <c r="G55" s="38">
        <f>if(OR($F55=1, $F55=2),VLOOKUP($B55,Courts!$B$2:$K$50,10,false),0)</f>
        <v>0</v>
      </c>
      <c r="H55" s="40">
        <f t="shared" si="3"/>
        <v>9</v>
      </c>
      <c r="I55" s="38">
        <f>if(OR($F55=1, $F55=2),VLOOKUP($B55,Courts!$B$2:$J$50,5,false),0)</f>
        <v>0</v>
      </c>
      <c r="J55" s="38">
        <f>if(OR($F55=1, $F55=2),VLOOKUP($B55,Courts!$B$2:$J$50,6,false),0)</f>
        <v>0</v>
      </c>
      <c r="K55" s="38">
        <f>if(OR($F55=1, $F55=2),VLOOKUP($B55,Courts!$B$2:$J$50,7,false),0)</f>
        <v>0</v>
      </c>
      <c r="L55" s="48">
        <f t="shared" si="4"/>
        <v>9</v>
      </c>
      <c r="M55" s="38">
        <f>if(OR($F55=1, $F55=2),VLOOKUP($B55,Courts!$B$2:$J$50,9,false),0)</f>
        <v>0</v>
      </c>
      <c r="N55" s="34">
        <f t="shared" ref="N55:O55" si="62">C55+L55</f>
        <v>241</v>
      </c>
      <c r="O55" s="34">
        <f t="shared" si="62"/>
        <v>10</v>
      </c>
      <c r="P55" s="49" t="s">
        <v>58</v>
      </c>
      <c r="Q55" s="49" t="s">
        <v>58</v>
      </c>
      <c r="R55" s="49" t="s">
        <v>58</v>
      </c>
      <c r="S55" s="50">
        <f t="shared" si="6"/>
        <v>9</v>
      </c>
      <c r="T55" s="52">
        <f t="shared" si="7"/>
        <v>1</v>
      </c>
      <c r="U55" s="52"/>
      <c r="V55" s="50">
        <f t="shared" si="8"/>
        <v>14</v>
      </c>
      <c r="W55" s="52">
        <f t="shared" si="9"/>
        <v>0</v>
      </c>
      <c r="X55" s="32">
        <f t="shared" si="14"/>
        <v>51</v>
      </c>
      <c r="Y55" s="32" t="str">
        <f t="shared" si="10"/>
        <v>N</v>
      </c>
      <c r="Z55" s="16" t="str">
        <f t="shared" si="11"/>
        <v/>
      </c>
    </row>
    <row r="56">
      <c r="A56" s="32">
        <f t="shared" si="12"/>
        <v>52</v>
      </c>
      <c r="B56" s="33" t="s">
        <v>47</v>
      </c>
      <c r="C56" s="34">
        <v>232.0</v>
      </c>
      <c r="D56" s="34">
        <v>8.0</v>
      </c>
      <c r="E56" s="35">
        <f t="shared" si="2"/>
        <v>13</v>
      </c>
      <c r="F56" s="36">
        <f>if(isna(VLOOKUP(B56,Checkin!A:B,2,false)),0,VLOOKUP(B56,Checkin!A:B,2,false))</f>
        <v>3</v>
      </c>
      <c r="G56" s="38">
        <f>if(OR($F56=1, $F56=2),VLOOKUP($B56,Courts!$B$2:$K$50,10,false),0)</f>
        <v>0</v>
      </c>
      <c r="H56" s="40">
        <f t="shared" si="3"/>
        <v>9</v>
      </c>
      <c r="I56" s="38">
        <f>if(OR($F56=1, $F56=2),VLOOKUP($B56,Courts!$B$2:$J$50,5,false),0)</f>
        <v>0</v>
      </c>
      <c r="J56" s="38">
        <f>if(OR($F56=1, $F56=2),VLOOKUP($B56,Courts!$B$2:$J$50,6,false),0)</f>
        <v>0</v>
      </c>
      <c r="K56" s="38">
        <f>if(OR($F56=1, $F56=2),VLOOKUP($B56,Courts!$B$2:$J$50,7,false),0)</f>
        <v>0</v>
      </c>
      <c r="L56" s="48">
        <f t="shared" si="4"/>
        <v>9</v>
      </c>
      <c r="M56" s="38">
        <f>if(OR($F56=1, $F56=2),VLOOKUP($B56,Courts!$B$2:$J$50,9,false),0)</f>
        <v>0</v>
      </c>
      <c r="N56" s="34">
        <f t="shared" ref="N56:O56" si="63">C56+L56</f>
        <v>241</v>
      </c>
      <c r="O56" s="34">
        <f t="shared" si="63"/>
        <v>8</v>
      </c>
      <c r="P56" s="49" t="s">
        <v>58</v>
      </c>
      <c r="Q56" s="49" t="s">
        <v>58</v>
      </c>
      <c r="R56" s="49" t="s">
        <v>58</v>
      </c>
      <c r="S56" s="50">
        <f t="shared" si="6"/>
        <v>4</v>
      </c>
      <c r="T56" s="52">
        <f t="shared" si="7"/>
        <v>0</v>
      </c>
      <c r="U56" s="52"/>
      <c r="V56" s="50">
        <f t="shared" si="8"/>
        <v>20</v>
      </c>
      <c r="W56" s="52">
        <f t="shared" si="9"/>
        <v>-4</v>
      </c>
      <c r="X56" s="32">
        <f t="shared" si="14"/>
        <v>52</v>
      </c>
      <c r="Y56" s="32" t="str">
        <f t="shared" si="10"/>
        <v>N</v>
      </c>
      <c r="Z56" s="16" t="str">
        <f t="shared" si="11"/>
        <v/>
      </c>
    </row>
    <row r="57">
      <c r="A57" s="32">
        <f t="shared" si="12"/>
        <v>53</v>
      </c>
      <c r="B57" s="33" t="s">
        <v>143</v>
      </c>
      <c r="C57" s="34">
        <v>232.0</v>
      </c>
      <c r="D57" s="34">
        <v>8.0</v>
      </c>
      <c r="E57" s="35">
        <f t="shared" si="2"/>
        <v>11.66666667</v>
      </c>
      <c r="F57" s="36">
        <f>if(isna(VLOOKUP(B57,Checkin!A:B,2,false)),0,VLOOKUP(B57,Checkin!A:B,2,false))</f>
        <v>3</v>
      </c>
      <c r="G57" s="38">
        <f>if(OR($F57=1, $F57=2),VLOOKUP($B57,Courts!$B$2:$K$50,10,false),0)</f>
        <v>0</v>
      </c>
      <c r="H57" s="40">
        <f t="shared" si="3"/>
        <v>9</v>
      </c>
      <c r="I57" s="38">
        <f>if(OR($F57=1, $F57=2),VLOOKUP($B57,Courts!$B$2:$J$50,5,false),0)</f>
        <v>0</v>
      </c>
      <c r="J57" s="38">
        <f>if(OR($F57=1, $F57=2),VLOOKUP($B57,Courts!$B$2:$J$50,6,false),0)</f>
        <v>0</v>
      </c>
      <c r="K57" s="38">
        <f>if(OR($F57=1, $F57=2),VLOOKUP($B57,Courts!$B$2:$J$50,7,false),0)</f>
        <v>0</v>
      </c>
      <c r="L57" s="48">
        <f t="shared" si="4"/>
        <v>9</v>
      </c>
      <c r="M57" s="38">
        <f>if(OR($F57=1, $F57=2),VLOOKUP($B57,Courts!$B$2:$J$50,9,false),0)</f>
        <v>0</v>
      </c>
      <c r="N57" s="34">
        <f t="shared" ref="N57:O57" si="64">C57+L57</f>
        <v>241</v>
      </c>
      <c r="O57" s="34">
        <f t="shared" si="64"/>
        <v>8</v>
      </c>
      <c r="P57" s="49" t="s">
        <v>58</v>
      </c>
      <c r="Q57" s="49" t="s">
        <v>58</v>
      </c>
      <c r="R57" s="49" t="s">
        <v>58</v>
      </c>
      <c r="S57" s="50">
        <f t="shared" si="6"/>
        <v>6</v>
      </c>
      <c r="T57" s="52">
        <f t="shared" si="7"/>
        <v>0</v>
      </c>
      <c r="U57" s="52"/>
      <c r="V57" s="50">
        <f t="shared" si="8"/>
        <v>18</v>
      </c>
      <c r="W57" s="52">
        <f t="shared" si="9"/>
        <v>-4</v>
      </c>
      <c r="X57" s="32">
        <f t="shared" si="14"/>
        <v>53</v>
      </c>
      <c r="Y57" s="32" t="str">
        <f t="shared" si="10"/>
        <v>N</v>
      </c>
      <c r="Z57" s="16" t="str">
        <f t="shared" si="11"/>
        <v/>
      </c>
    </row>
    <row r="58">
      <c r="A58" s="32">
        <f t="shared" si="12"/>
        <v>54</v>
      </c>
      <c r="B58" s="33" t="s">
        <v>105</v>
      </c>
      <c r="C58" s="34">
        <v>227.0</v>
      </c>
      <c r="D58" s="34">
        <v>8.0</v>
      </c>
      <c r="E58" s="35">
        <f t="shared" si="2"/>
        <v>11.2</v>
      </c>
      <c r="F58" s="36">
        <f>if(isna(VLOOKUP(B58,Checkin!A:B,2,false)),0,VLOOKUP(B58,Checkin!A:B,2,false))</f>
        <v>3</v>
      </c>
      <c r="G58" s="38">
        <f>if(OR($F58=1, $F58=2),VLOOKUP($B58,Courts!$B$2:$K$50,10,false),0)</f>
        <v>0</v>
      </c>
      <c r="H58" s="40">
        <f t="shared" si="3"/>
        <v>9</v>
      </c>
      <c r="I58" s="38">
        <f>if(OR($F58=1, $F58=2),VLOOKUP($B58,Courts!$B$2:$J$50,5,false),0)</f>
        <v>0</v>
      </c>
      <c r="J58" s="38">
        <f>if(OR($F58=1, $F58=2),VLOOKUP($B58,Courts!$B$2:$J$50,6,false),0)</f>
        <v>0</v>
      </c>
      <c r="K58" s="38">
        <f>if(OR($F58=1, $F58=2),VLOOKUP($B58,Courts!$B$2:$J$50,7,false),0)</f>
        <v>0</v>
      </c>
      <c r="L58" s="48">
        <f t="shared" si="4"/>
        <v>9</v>
      </c>
      <c r="M58" s="38">
        <f>if(OR($F58=1, $F58=2),VLOOKUP($B58,Courts!$B$2:$J$50,9,false),0)</f>
        <v>0</v>
      </c>
      <c r="N58" s="34">
        <f t="shared" ref="N58:O58" si="65">C58+L58</f>
        <v>236</v>
      </c>
      <c r="O58" s="34">
        <f t="shared" si="65"/>
        <v>8</v>
      </c>
      <c r="P58" s="49" t="s">
        <v>58</v>
      </c>
      <c r="Q58" s="49" t="s">
        <v>58</v>
      </c>
      <c r="R58" s="49" t="s">
        <v>58</v>
      </c>
      <c r="S58" s="50">
        <f t="shared" si="6"/>
        <v>5</v>
      </c>
      <c r="T58" s="52">
        <f t="shared" si="7"/>
        <v>0</v>
      </c>
      <c r="U58" s="52"/>
      <c r="V58" s="50">
        <f t="shared" si="8"/>
        <v>19</v>
      </c>
      <c r="W58" s="52">
        <f t="shared" si="9"/>
        <v>-2</v>
      </c>
      <c r="X58" s="32">
        <f t="shared" si="14"/>
        <v>54</v>
      </c>
      <c r="Y58" s="32" t="str">
        <f t="shared" si="10"/>
        <v>N</v>
      </c>
      <c r="Z58" s="16" t="str">
        <f t="shared" si="11"/>
        <v/>
      </c>
    </row>
    <row r="59">
      <c r="A59" s="32">
        <f t="shared" si="12"/>
        <v>55</v>
      </c>
      <c r="B59" s="33" t="s">
        <v>142</v>
      </c>
      <c r="C59" s="34">
        <v>225.0</v>
      </c>
      <c r="D59" s="34">
        <v>12.0</v>
      </c>
      <c r="E59" s="35">
        <f t="shared" si="2"/>
        <v>9.75</v>
      </c>
      <c r="F59" s="36">
        <f>if(isna(VLOOKUP(B59,Checkin!A:B,2,false)),0,VLOOKUP(B59,Checkin!A:B,2,false))</f>
        <v>3</v>
      </c>
      <c r="G59" s="38">
        <f>if(OR($F59=1, $F59=2),VLOOKUP($B59,Courts!$B$2:$K$50,10,false),0)</f>
        <v>0</v>
      </c>
      <c r="H59" s="40">
        <f t="shared" si="3"/>
        <v>9</v>
      </c>
      <c r="I59" s="38">
        <f>if(OR($F59=1, $F59=2),VLOOKUP($B59,Courts!$B$2:$J$50,5,false),0)</f>
        <v>0</v>
      </c>
      <c r="J59" s="38">
        <f>if(OR($F59=1, $F59=2),VLOOKUP($B59,Courts!$B$2:$J$50,6,false),0)</f>
        <v>0</v>
      </c>
      <c r="K59" s="38">
        <f>if(OR($F59=1, $F59=2),VLOOKUP($B59,Courts!$B$2:$J$50,7,false),0)</f>
        <v>0</v>
      </c>
      <c r="L59" s="48">
        <f t="shared" si="4"/>
        <v>9</v>
      </c>
      <c r="M59" s="38">
        <f>if(OR($F59=1, $F59=2),VLOOKUP($B59,Courts!$B$2:$J$50,9,false),0)</f>
        <v>0</v>
      </c>
      <c r="N59" s="34">
        <f t="shared" ref="N59:O59" si="66">C59+L59</f>
        <v>234</v>
      </c>
      <c r="O59" s="34">
        <f t="shared" si="66"/>
        <v>12</v>
      </c>
      <c r="P59" s="49" t="s">
        <v>58</v>
      </c>
      <c r="Q59" s="49" t="s">
        <v>58</v>
      </c>
      <c r="R59" s="49" t="s">
        <v>58</v>
      </c>
      <c r="S59" s="50">
        <f t="shared" si="6"/>
        <v>12</v>
      </c>
      <c r="T59" s="52">
        <f t="shared" si="7"/>
        <v>0</v>
      </c>
      <c r="U59" s="52"/>
      <c r="V59" s="50">
        <f t="shared" si="8"/>
        <v>12</v>
      </c>
      <c r="W59" s="52">
        <f t="shared" si="9"/>
        <v>0</v>
      </c>
      <c r="X59" s="32">
        <f t="shared" si="14"/>
        <v>55</v>
      </c>
      <c r="Y59" s="32" t="str">
        <f t="shared" si="10"/>
        <v>N</v>
      </c>
      <c r="Z59" s="16" t="str">
        <f t="shared" si="11"/>
        <v/>
      </c>
    </row>
    <row r="60">
      <c r="A60" s="32">
        <f t="shared" si="12"/>
        <v>56</v>
      </c>
      <c r="B60" s="33" t="s">
        <v>69</v>
      </c>
      <c r="C60" s="34">
        <v>224.0</v>
      </c>
      <c r="D60" s="34">
        <v>7.0</v>
      </c>
      <c r="E60" s="35">
        <f t="shared" si="2"/>
        <v>11</v>
      </c>
      <c r="F60" s="36">
        <f>if(isna(VLOOKUP(B60,Checkin!A:B,2,false)),0,VLOOKUP(B60,Checkin!A:B,2,false))</f>
        <v>1</v>
      </c>
      <c r="G60" s="38">
        <f>if(OR($F60=1, $F60=2),VLOOKUP($B60,Courts!$B$2:$K$50,10,false),0)</f>
        <v>5</v>
      </c>
      <c r="H60" s="40">
        <f t="shared" si="3"/>
        <v>0</v>
      </c>
      <c r="I60" s="38" t="str">
        <f>if(OR($F60=1, $F60=2),VLOOKUP($B60,Courts!$B$2:$J$50,5,false),0)</f>
        <v/>
      </c>
      <c r="J60" s="38" t="str">
        <f>if(OR($F60=1, $F60=2),VLOOKUP($B60,Courts!$B$2:$J$50,6,false),0)</f>
        <v/>
      </c>
      <c r="K60" s="38" t="str">
        <f>if(OR($F60=1, $F60=2),VLOOKUP($B60,Courts!$B$2:$J$50,7,false),0)</f>
        <v/>
      </c>
      <c r="L60" s="48">
        <f t="shared" si="4"/>
        <v>0</v>
      </c>
      <c r="M60" s="38" t="str">
        <f>if(OR($F60=1, $F60=2),VLOOKUP($B60,Courts!$B$2:$J$50,9,false),0)</f>
        <v/>
      </c>
      <c r="N60" s="34">
        <f t="shared" ref="N60:O60" si="67">C60+L60</f>
        <v>224</v>
      </c>
      <c r="O60" s="34">
        <f t="shared" si="67"/>
        <v>7</v>
      </c>
      <c r="P60" s="49" t="s">
        <v>58</v>
      </c>
      <c r="Q60" s="49" t="s">
        <v>58</v>
      </c>
      <c r="R60" s="49" t="s">
        <v>58</v>
      </c>
      <c r="S60" s="50">
        <f t="shared" si="6"/>
        <v>4</v>
      </c>
      <c r="T60" s="52">
        <f t="shared" si="7"/>
        <v>0</v>
      </c>
      <c r="U60" s="52"/>
      <c r="V60" s="50">
        <f t="shared" si="8"/>
        <v>20</v>
      </c>
      <c r="W60" s="52">
        <f t="shared" si="9"/>
        <v>0</v>
      </c>
      <c r="X60" s="32">
        <f t="shared" si="14"/>
        <v>56</v>
      </c>
      <c r="Y60" s="32" t="str">
        <f t="shared" si="10"/>
        <v>N</v>
      </c>
      <c r="Z60" s="16" t="str">
        <f t="shared" si="11"/>
        <v/>
      </c>
    </row>
    <row r="61">
      <c r="A61" s="32">
        <f t="shared" si="12"/>
        <v>57</v>
      </c>
      <c r="B61" s="33" t="s">
        <v>141</v>
      </c>
      <c r="C61" s="34">
        <v>216.0</v>
      </c>
      <c r="D61" s="34">
        <v>5.0</v>
      </c>
      <c r="E61" s="35">
        <f t="shared" si="2"/>
        <v>9</v>
      </c>
      <c r="F61" s="36">
        <f>if(isna(VLOOKUP(B61,Checkin!A:B,2,false)),0,VLOOKUP(B61,Checkin!A:B,2,false))</f>
        <v>3</v>
      </c>
      <c r="G61" s="38">
        <f>if(OR($F61=1, $F61=2),VLOOKUP($B61,Courts!$B$2:$K$50,10,false),0)</f>
        <v>0</v>
      </c>
      <c r="H61" s="40">
        <f t="shared" si="3"/>
        <v>9</v>
      </c>
      <c r="I61" s="38">
        <f>if(OR($F61=1, $F61=2),VLOOKUP($B61,Courts!$B$2:$J$50,5,false),0)</f>
        <v>0</v>
      </c>
      <c r="J61" s="38">
        <f>if(OR($F61=1, $F61=2),VLOOKUP($B61,Courts!$B$2:$J$50,6,false),0)</f>
        <v>0</v>
      </c>
      <c r="K61" s="38">
        <f>if(OR($F61=1, $F61=2),VLOOKUP($B61,Courts!$B$2:$J$50,7,false),0)</f>
        <v>0</v>
      </c>
      <c r="L61" s="48">
        <f t="shared" si="4"/>
        <v>9</v>
      </c>
      <c r="M61" s="38">
        <f>if(OR($F61=1, $F61=2),VLOOKUP($B61,Courts!$B$2:$J$50,9,false),0)</f>
        <v>0</v>
      </c>
      <c r="N61" s="34">
        <f t="shared" ref="N61:O61" si="68">C61+L61</f>
        <v>225</v>
      </c>
      <c r="O61" s="34">
        <f t="shared" si="68"/>
        <v>5</v>
      </c>
      <c r="P61" s="49" t="s">
        <v>58</v>
      </c>
      <c r="Q61" s="49" t="s">
        <v>58</v>
      </c>
      <c r="R61" s="49" t="s">
        <v>58</v>
      </c>
      <c r="S61" s="50">
        <f t="shared" si="6"/>
        <v>4</v>
      </c>
      <c r="T61" s="52">
        <f t="shared" si="7"/>
        <v>0</v>
      </c>
      <c r="U61" s="52"/>
      <c r="V61" s="50">
        <f t="shared" si="8"/>
        <v>20</v>
      </c>
      <c r="W61" s="52">
        <f t="shared" si="9"/>
        <v>0</v>
      </c>
      <c r="X61" s="32">
        <f t="shared" si="14"/>
        <v>57</v>
      </c>
      <c r="Y61" s="32" t="str">
        <f t="shared" si="10"/>
        <v>N</v>
      </c>
      <c r="Z61" s="16" t="str">
        <f t="shared" si="11"/>
        <v/>
      </c>
    </row>
    <row r="62">
      <c r="A62" s="32">
        <f t="shared" si="12"/>
        <v>58</v>
      </c>
      <c r="B62" s="33" t="s">
        <v>131</v>
      </c>
      <c r="C62" s="34">
        <v>216.0</v>
      </c>
      <c r="D62" s="34">
        <v>3.0</v>
      </c>
      <c r="E62" s="35">
        <f t="shared" si="2"/>
        <v>9</v>
      </c>
      <c r="F62" s="36">
        <f>if(isna(VLOOKUP(B62,Checkin!A:B,2,false)),0,VLOOKUP(B62,Checkin!A:B,2,false))</f>
        <v>1</v>
      </c>
      <c r="G62" s="38">
        <f>if(OR($F62=1, $F62=2),VLOOKUP($B62,Courts!$B$2:$K$50,10,false),0)</f>
        <v>6</v>
      </c>
      <c r="H62" s="40">
        <f t="shared" si="3"/>
        <v>0</v>
      </c>
      <c r="I62" s="38" t="str">
        <f>if(OR($F62=1, $F62=2),VLOOKUP($B62,Courts!$B$2:$J$50,5,false),0)</f>
        <v/>
      </c>
      <c r="J62" s="38" t="str">
        <f>if(OR($F62=1, $F62=2),VLOOKUP($B62,Courts!$B$2:$J$50,6,false),0)</f>
        <v/>
      </c>
      <c r="K62" s="38" t="str">
        <f>if(OR($F62=1, $F62=2),VLOOKUP($B62,Courts!$B$2:$J$50,7,false),0)</f>
        <v/>
      </c>
      <c r="L62" s="48">
        <f t="shared" si="4"/>
        <v>0</v>
      </c>
      <c r="M62" s="38" t="str">
        <f>if(OR($F62=1, $F62=2),VLOOKUP($B62,Courts!$B$2:$J$50,9,false),0)</f>
        <v/>
      </c>
      <c r="N62" s="34">
        <f t="shared" ref="N62:O62" si="69">C62+L62</f>
        <v>216</v>
      </c>
      <c r="O62" s="34">
        <f t="shared" si="69"/>
        <v>3</v>
      </c>
      <c r="P62" s="49" t="s">
        <v>58</v>
      </c>
      <c r="Q62" s="49" t="s">
        <v>58</v>
      </c>
      <c r="R62" s="49" t="s">
        <v>58</v>
      </c>
      <c r="S62" s="50">
        <f t="shared" si="6"/>
        <v>2</v>
      </c>
      <c r="T62" s="52">
        <f t="shared" si="7"/>
        <v>0</v>
      </c>
      <c r="U62" s="52"/>
      <c r="V62" s="50">
        <f t="shared" si="8"/>
        <v>22</v>
      </c>
      <c r="W62" s="52">
        <f t="shared" si="9"/>
        <v>0</v>
      </c>
      <c r="X62" s="32">
        <f t="shared" si="14"/>
        <v>58</v>
      </c>
      <c r="Y62" s="32" t="str">
        <f t="shared" si="10"/>
        <v>N</v>
      </c>
      <c r="Z62" s="16" t="str">
        <f t="shared" si="11"/>
        <v/>
      </c>
    </row>
    <row r="63">
      <c r="A63" s="32">
        <f t="shared" si="12"/>
        <v>59</v>
      </c>
      <c r="B63" s="33" t="s">
        <v>147</v>
      </c>
      <c r="C63" s="34">
        <v>212.0</v>
      </c>
      <c r="D63" s="34">
        <v>4.0</v>
      </c>
      <c r="E63" s="35">
        <f t="shared" si="2"/>
        <v>8</v>
      </c>
      <c r="F63" s="36">
        <f>if(isna(VLOOKUP(B63,Checkin!A:B,2,false)),0,VLOOKUP(B63,Checkin!A:B,2,false))</f>
        <v>0</v>
      </c>
      <c r="G63" s="38">
        <f>if(OR($F63=1, $F63=2),VLOOKUP($B63,Courts!$B$2:$K$50,10,false),0)</f>
        <v>0</v>
      </c>
      <c r="H63" s="40">
        <f t="shared" si="3"/>
        <v>0</v>
      </c>
      <c r="I63" s="38">
        <f>if(OR($F63=1, $F63=2),VLOOKUP($B63,Courts!$B$2:$J$50,5,false),0)</f>
        <v>0</v>
      </c>
      <c r="J63" s="38">
        <f>if(OR($F63=1, $F63=2),VLOOKUP($B63,Courts!$B$2:$J$50,6,false),0)</f>
        <v>0</v>
      </c>
      <c r="K63" s="38">
        <f>if(OR($F63=1, $F63=2),VLOOKUP($B63,Courts!$B$2:$J$50,7,false),0)</f>
        <v>0</v>
      </c>
      <c r="L63" s="48">
        <f t="shared" si="4"/>
        <v>0</v>
      </c>
      <c r="M63" s="38">
        <f>if(OR($F63=1, $F63=2),VLOOKUP($B63,Courts!$B$2:$J$50,9,false),0)</f>
        <v>0</v>
      </c>
      <c r="N63" s="34">
        <f t="shared" ref="N63:O63" si="70">C63+L63</f>
        <v>212</v>
      </c>
      <c r="O63" s="34">
        <f t="shared" si="70"/>
        <v>4</v>
      </c>
      <c r="P63" s="49" t="s">
        <v>58</v>
      </c>
      <c r="Q63" s="49" t="s">
        <v>58</v>
      </c>
      <c r="R63" s="49" t="s">
        <v>149</v>
      </c>
      <c r="S63" s="50">
        <f t="shared" si="6"/>
        <v>4</v>
      </c>
      <c r="T63" s="52">
        <f t="shared" si="7"/>
        <v>0</v>
      </c>
      <c r="U63" s="52"/>
      <c r="V63" s="50">
        <f t="shared" si="8"/>
        <v>20</v>
      </c>
      <c r="W63" s="52">
        <f t="shared" si="9"/>
        <v>0</v>
      </c>
      <c r="X63" s="32">
        <f t="shared" si="14"/>
        <v>59</v>
      </c>
      <c r="Y63" s="32" t="str">
        <f t="shared" si="10"/>
        <v>N</v>
      </c>
      <c r="Z63" s="16" t="str">
        <f t="shared" si="11"/>
        <v/>
      </c>
    </row>
    <row r="64">
      <c r="A64" s="32">
        <f t="shared" si="12"/>
        <v>60</v>
      </c>
      <c r="B64" s="33" t="s">
        <v>148</v>
      </c>
      <c r="C64" s="34">
        <v>212.0</v>
      </c>
      <c r="D64" s="34">
        <v>2.0</v>
      </c>
      <c r="E64" s="35">
        <f t="shared" si="2"/>
        <v>7.857142857</v>
      </c>
      <c r="F64" s="36">
        <f>if(isna(VLOOKUP(B64,Checkin!A:B,2,false)),0,VLOOKUP(B64,Checkin!A:B,2,false))</f>
        <v>3</v>
      </c>
      <c r="G64" s="38">
        <f>if(OR($F64=1, $F64=2),VLOOKUP($B64,Courts!$B$2:$K$50,10,false),0)</f>
        <v>0</v>
      </c>
      <c r="H64" s="40">
        <f t="shared" si="3"/>
        <v>9</v>
      </c>
      <c r="I64" s="38">
        <f>if(OR($F64=1, $F64=2),VLOOKUP($B64,Courts!$B$2:$J$50,5,false),0)</f>
        <v>0</v>
      </c>
      <c r="J64" s="38">
        <f>if(OR($F64=1, $F64=2),VLOOKUP($B64,Courts!$B$2:$J$50,6,false),0)</f>
        <v>0</v>
      </c>
      <c r="K64" s="38">
        <f>if(OR($F64=1, $F64=2),VLOOKUP($B64,Courts!$B$2:$J$50,7,false),0)</f>
        <v>0</v>
      </c>
      <c r="L64" s="48">
        <f t="shared" si="4"/>
        <v>9</v>
      </c>
      <c r="M64" s="38">
        <f>if(OR($F64=1, $F64=2),VLOOKUP($B64,Courts!$B$2:$J$50,9,false),0)</f>
        <v>0</v>
      </c>
      <c r="N64" s="34">
        <f t="shared" ref="N64:O64" si="71">C64+L64</f>
        <v>221</v>
      </c>
      <c r="O64" s="34">
        <f t="shared" si="71"/>
        <v>2</v>
      </c>
      <c r="P64" s="49" t="s">
        <v>58</v>
      </c>
      <c r="Q64" s="49" t="s">
        <v>58</v>
      </c>
      <c r="R64" s="49" t="s">
        <v>58</v>
      </c>
      <c r="S64" s="50">
        <f t="shared" si="6"/>
        <v>7</v>
      </c>
      <c r="T64" s="52">
        <f t="shared" si="7"/>
        <v>1</v>
      </c>
      <c r="U64" s="52"/>
      <c r="V64" s="50">
        <f t="shared" si="8"/>
        <v>16</v>
      </c>
      <c r="W64" s="52">
        <f t="shared" si="9"/>
        <v>0</v>
      </c>
      <c r="X64" s="32">
        <f t="shared" si="14"/>
        <v>60</v>
      </c>
      <c r="Y64" s="32" t="str">
        <f t="shared" si="10"/>
        <v>N</v>
      </c>
      <c r="Z64" s="16" t="str">
        <f t="shared" si="11"/>
        <v/>
      </c>
    </row>
    <row r="65">
      <c r="A65" s="32">
        <f t="shared" si="12"/>
        <v>61</v>
      </c>
      <c r="B65" s="33" t="s">
        <v>101</v>
      </c>
      <c r="C65" s="34">
        <v>208.0</v>
      </c>
      <c r="D65" s="34">
        <v>10.0</v>
      </c>
      <c r="E65" s="35">
        <f t="shared" si="2"/>
        <v>8.466666667</v>
      </c>
      <c r="F65" s="36">
        <f>if(isna(VLOOKUP(B65,Checkin!A:B,2,false)),0,VLOOKUP(B65,Checkin!A:B,2,false))</f>
        <v>3</v>
      </c>
      <c r="G65" s="38">
        <f>if(OR($F65=1, $F65=2),VLOOKUP($B65,Courts!$B$2:$K$50,10,false),0)</f>
        <v>0</v>
      </c>
      <c r="H65" s="40">
        <f t="shared" si="3"/>
        <v>9</v>
      </c>
      <c r="I65" s="38">
        <f>if(OR($F65=1, $F65=2),VLOOKUP($B65,Courts!$B$2:$J$50,5,false),0)</f>
        <v>0</v>
      </c>
      <c r="J65" s="38">
        <f>if(OR($F65=1, $F65=2),VLOOKUP($B65,Courts!$B$2:$J$50,6,false),0)</f>
        <v>0</v>
      </c>
      <c r="K65" s="38">
        <f>if(OR($F65=1, $F65=2),VLOOKUP($B65,Courts!$B$2:$J$50,7,false),0)</f>
        <v>0</v>
      </c>
      <c r="L65" s="48">
        <f t="shared" si="4"/>
        <v>9</v>
      </c>
      <c r="M65" s="38">
        <f>if(OR($F65=1, $F65=2),VLOOKUP($B65,Courts!$B$2:$J$50,9,false),0)</f>
        <v>0</v>
      </c>
      <c r="N65" s="34">
        <f t="shared" ref="N65:O65" si="72">C65+L65</f>
        <v>217</v>
      </c>
      <c r="O65" s="34">
        <f t="shared" si="72"/>
        <v>10</v>
      </c>
      <c r="P65" s="49" t="s">
        <v>58</v>
      </c>
      <c r="Q65" s="49" t="s">
        <v>58</v>
      </c>
      <c r="R65" s="49" t="s">
        <v>58</v>
      </c>
      <c r="S65" s="50">
        <f t="shared" si="6"/>
        <v>15</v>
      </c>
      <c r="T65" s="52">
        <f t="shared" si="7"/>
        <v>0</v>
      </c>
      <c r="U65" s="52"/>
      <c r="V65" s="50">
        <f t="shared" si="8"/>
        <v>9</v>
      </c>
      <c r="W65" s="52">
        <f t="shared" si="9"/>
        <v>3</v>
      </c>
      <c r="X65" s="32">
        <f t="shared" si="14"/>
        <v>61</v>
      </c>
      <c r="Y65" s="32" t="str">
        <f t="shared" si="10"/>
        <v>N</v>
      </c>
      <c r="Z65" s="16" t="str">
        <f t="shared" si="11"/>
        <v/>
      </c>
    </row>
    <row r="66">
      <c r="A66" s="32">
        <f t="shared" si="12"/>
        <v>62</v>
      </c>
      <c r="B66" s="33" t="s">
        <v>130</v>
      </c>
      <c r="C66" s="34">
        <v>207.0</v>
      </c>
      <c r="D66" s="34">
        <v>0.0</v>
      </c>
      <c r="E66" s="35">
        <f t="shared" si="2"/>
        <v>0</v>
      </c>
      <c r="F66" s="36">
        <f>if(isna(VLOOKUP(B66,Checkin!A:B,2,false)),0,VLOOKUP(B66,Checkin!A:B,2,false))</f>
        <v>1</v>
      </c>
      <c r="G66" s="38">
        <f>if(OR($F66=1, $F66=2),VLOOKUP($B66,Courts!$B$2:$K$50,10,false),0)</f>
        <v>6</v>
      </c>
      <c r="H66" s="40">
        <f t="shared" si="3"/>
        <v>0</v>
      </c>
      <c r="I66" s="38" t="str">
        <f>if(OR($F66=1, $F66=2),VLOOKUP($B66,Courts!$B$2:$J$50,5,false),0)</f>
        <v/>
      </c>
      <c r="J66" s="38" t="str">
        <f>if(OR($F66=1, $F66=2),VLOOKUP($B66,Courts!$B$2:$J$50,6,false),0)</f>
        <v/>
      </c>
      <c r="K66" s="38" t="str">
        <f>if(OR($F66=1, $F66=2),VLOOKUP($B66,Courts!$B$2:$J$50,7,false),0)</f>
        <v/>
      </c>
      <c r="L66" s="48">
        <f t="shared" si="4"/>
        <v>0</v>
      </c>
      <c r="M66" s="38" t="str">
        <f>if(OR($F66=1, $F66=2),VLOOKUP($B66,Courts!$B$2:$J$50,9,false),0)</f>
        <v/>
      </c>
      <c r="N66" s="34">
        <f t="shared" ref="N66:O66" si="73">C66+L66</f>
        <v>207</v>
      </c>
      <c r="O66" s="34">
        <f t="shared" si="73"/>
        <v>0</v>
      </c>
      <c r="P66" s="49" t="s">
        <v>58</v>
      </c>
      <c r="Q66" s="49" t="s">
        <v>58</v>
      </c>
      <c r="R66" s="49" t="s">
        <v>58</v>
      </c>
      <c r="S66" s="50">
        <f t="shared" si="6"/>
        <v>1</v>
      </c>
      <c r="T66" s="52">
        <f t="shared" si="7"/>
        <v>0</v>
      </c>
      <c r="U66" s="52"/>
      <c r="V66" s="50">
        <f t="shared" si="8"/>
        <v>23</v>
      </c>
      <c r="W66" s="52">
        <f t="shared" si="9"/>
        <v>-1</v>
      </c>
      <c r="X66" s="32">
        <f t="shared" si="14"/>
        <v>62</v>
      </c>
      <c r="Y66" s="32" t="str">
        <f t="shared" si="10"/>
        <v>N</v>
      </c>
      <c r="Z66" s="16" t="str">
        <f t="shared" si="11"/>
        <v/>
      </c>
    </row>
    <row r="67">
      <c r="A67" s="32">
        <f t="shared" si="12"/>
        <v>63</v>
      </c>
      <c r="B67" s="33" t="s">
        <v>104</v>
      </c>
      <c r="C67" s="34">
        <v>207.0</v>
      </c>
      <c r="D67" s="34">
        <v>0.0</v>
      </c>
      <c r="E67" s="35">
        <f t="shared" si="2"/>
        <v>0</v>
      </c>
      <c r="F67" s="36">
        <f>if(isna(VLOOKUP(B67,Checkin!A:B,2,false)),0,VLOOKUP(B67,Checkin!A:B,2,false))</f>
        <v>0</v>
      </c>
      <c r="G67" s="38">
        <f>if(OR($F67=1, $F67=2),VLOOKUP($B67,Courts!$B$2:$K$50,10,false),0)</f>
        <v>0</v>
      </c>
      <c r="H67" s="40">
        <f t="shared" si="3"/>
        <v>0</v>
      </c>
      <c r="I67" s="38">
        <f>if(OR($F67=1, $F67=2),VLOOKUP($B67,Courts!$B$2:$J$50,5,false),0)</f>
        <v>0</v>
      </c>
      <c r="J67" s="38">
        <f>if(OR($F67=1, $F67=2),VLOOKUP($B67,Courts!$B$2:$J$50,6,false),0)</f>
        <v>0</v>
      </c>
      <c r="K67" s="38">
        <f>if(OR($F67=1, $F67=2),VLOOKUP($B67,Courts!$B$2:$J$50,7,false),0)</f>
        <v>0</v>
      </c>
      <c r="L67" s="48">
        <f t="shared" si="4"/>
        <v>0</v>
      </c>
      <c r="M67" s="38">
        <f>if(OR($F67=1, $F67=2),VLOOKUP($B67,Courts!$B$2:$J$50,9,false),0)</f>
        <v>0</v>
      </c>
      <c r="N67" s="34">
        <f t="shared" ref="N67:O67" si="74">C67+L67</f>
        <v>207</v>
      </c>
      <c r="O67" s="34">
        <f t="shared" si="74"/>
        <v>0</v>
      </c>
      <c r="P67" s="49" t="s">
        <v>58</v>
      </c>
      <c r="Q67" s="49" t="s">
        <v>58</v>
      </c>
      <c r="R67" s="49" t="s">
        <v>58</v>
      </c>
      <c r="S67" s="50">
        <f t="shared" si="6"/>
        <v>1</v>
      </c>
      <c r="T67" s="52">
        <f t="shared" si="7"/>
        <v>0</v>
      </c>
      <c r="U67" s="52"/>
      <c r="V67" s="50">
        <f t="shared" si="8"/>
        <v>23</v>
      </c>
      <c r="W67" s="52">
        <f t="shared" si="9"/>
        <v>-1</v>
      </c>
      <c r="X67" s="32">
        <f t="shared" si="14"/>
        <v>63</v>
      </c>
      <c r="Y67" s="32" t="str">
        <f t="shared" si="10"/>
        <v>N</v>
      </c>
      <c r="Z67" s="16" t="str">
        <f t="shared" si="11"/>
        <v/>
      </c>
    </row>
    <row r="68">
      <c r="A68" s="32">
        <f t="shared" si="12"/>
        <v>64</v>
      </c>
      <c r="B68" s="33" t="s">
        <v>118</v>
      </c>
      <c r="C68" s="34">
        <v>205.0</v>
      </c>
      <c r="D68" s="34">
        <v>1.0</v>
      </c>
      <c r="E68" s="35">
        <f t="shared" si="2"/>
        <v>4</v>
      </c>
      <c r="F68" s="36">
        <f>if(isna(VLOOKUP(B68,Checkin!A:B,2,false)),0,VLOOKUP(B68,Checkin!A:B,2,false))</f>
        <v>0</v>
      </c>
      <c r="G68" s="38">
        <f>if(OR($F68=1, $F68=2),VLOOKUP($B68,Courts!$B$2:$K$50,10,false),0)</f>
        <v>0</v>
      </c>
      <c r="H68" s="40">
        <f t="shared" si="3"/>
        <v>0</v>
      </c>
      <c r="I68" s="38">
        <f>if(OR($F68=1, $F68=2),VLOOKUP($B68,Courts!$B$2:$J$50,5,false),0)</f>
        <v>0</v>
      </c>
      <c r="J68" s="38">
        <f>if(OR($F68=1, $F68=2),VLOOKUP($B68,Courts!$B$2:$J$50,6,false),0)</f>
        <v>0</v>
      </c>
      <c r="K68" s="38">
        <f>if(OR($F68=1, $F68=2),VLOOKUP($B68,Courts!$B$2:$J$50,7,false),0)</f>
        <v>0</v>
      </c>
      <c r="L68" s="48">
        <f t="shared" si="4"/>
        <v>0</v>
      </c>
      <c r="M68" s="38">
        <f>if(OR($F68=1, $F68=2),VLOOKUP($B68,Courts!$B$2:$J$50,9,false),0)</f>
        <v>0</v>
      </c>
      <c r="N68" s="34">
        <f t="shared" ref="N68:O68" si="75">C68+L68</f>
        <v>205</v>
      </c>
      <c r="O68" s="34">
        <f t="shared" si="75"/>
        <v>1</v>
      </c>
      <c r="P68" s="49" t="s">
        <v>58</v>
      </c>
      <c r="Q68" s="49" t="s">
        <v>58</v>
      </c>
      <c r="R68" s="49" t="s">
        <v>58</v>
      </c>
      <c r="S68" s="50">
        <f t="shared" si="6"/>
        <v>3</v>
      </c>
      <c r="T68" s="52">
        <f t="shared" si="7"/>
        <v>1</v>
      </c>
      <c r="U68" s="52"/>
      <c r="V68" s="50">
        <f t="shared" si="8"/>
        <v>20</v>
      </c>
      <c r="W68" s="52">
        <f t="shared" si="9"/>
        <v>-1</v>
      </c>
      <c r="X68" s="32">
        <f t="shared" si="14"/>
        <v>64</v>
      </c>
      <c r="Y68" s="32" t="str">
        <f t="shared" si="10"/>
        <v>N</v>
      </c>
      <c r="Z68" s="16" t="str">
        <f t="shared" si="11"/>
        <v/>
      </c>
    </row>
    <row r="69">
      <c r="A69" s="32">
        <f t="shared" si="12"/>
        <v>65</v>
      </c>
      <c r="B69" s="33" t="s">
        <v>86</v>
      </c>
      <c r="C69" s="34">
        <v>192.0</v>
      </c>
      <c r="D69" s="34">
        <v>2.0</v>
      </c>
      <c r="E69" s="35">
        <f t="shared" si="2"/>
        <v>5.571428571</v>
      </c>
      <c r="F69" s="36">
        <f>if(isna(VLOOKUP(B69,Checkin!A:B,2,false)),0,VLOOKUP(B69,Checkin!A:B,2,false))</f>
        <v>0</v>
      </c>
      <c r="G69" s="38">
        <f>if(OR($F69=1, $F69=2),VLOOKUP($B69,Courts!$B$2:$K$50,10,false),0)</f>
        <v>0</v>
      </c>
      <c r="H69" s="40">
        <f t="shared" si="3"/>
        <v>0</v>
      </c>
      <c r="I69" s="38">
        <f>if(OR($F69=1, $F69=2),VLOOKUP($B69,Courts!$B$2:$J$50,5,false),0)</f>
        <v>0</v>
      </c>
      <c r="J69" s="38">
        <f>if(OR($F69=1, $F69=2),VLOOKUP($B69,Courts!$B$2:$J$50,6,false),0)</f>
        <v>0</v>
      </c>
      <c r="K69" s="38">
        <f>if(OR($F69=1, $F69=2),VLOOKUP($B69,Courts!$B$2:$J$50,7,false),0)</f>
        <v>0</v>
      </c>
      <c r="L69" s="48">
        <f t="shared" si="4"/>
        <v>0</v>
      </c>
      <c r="M69" s="38">
        <f>if(OR($F69=1, $F69=2),VLOOKUP($B69,Courts!$B$2:$J$50,9,false),0)</f>
        <v>0</v>
      </c>
      <c r="N69" s="34">
        <f t="shared" ref="N69:O69" si="76">C69+L69</f>
        <v>192</v>
      </c>
      <c r="O69" s="34">
        <f t="shared" si="76"/>
        <v>2</v>
      </c>
      <c r="P69" s="49" t="s">
        <v>58</v>
      </c>
      <c r="Q69" s="49" t="s">
        <v>58</v>
      </c>
      <c r="R69" s="49" t="s">
        <v>58</v>
      </c>
      <c r="S69" s="50">
        <f t="shared" si="6"/>
        <v>7</v>
      </c>
      <c r="T69" s="52">
        <f t="shared" si="7"/>
        <v>0</v>
      </c>
      <c r="U69" s="52"/>
      <c r="V69" s="50">
        <f t="shared" si="8"/>
        <v>17</v>
      </c>
      <c r="W69" s="52">
        <f t="shared" si="9"/>
        <v>0</v>
      </c>
      <c r="X69" s="32">
        <f t="shared" si="14"/>
        <v>65</v>
      </c>
      <c r="Y69" s="32" t="str">
        <f t="shared" si="10"/>
        <v>N</v>
      </c>
      <c r="Z69" s="16" t="str">
        <f t="shared" si="11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  <c r="P73" s="101" t="s">
        <v>151</v>
      </c>
      <c r="Q73" s="25"/>
      <c r="R73" s="26"/>
    </row>
    <row r="74">
      <c r="A74" s="1"/>
      <c r="C74" s="1"/>
      <c r="D74" s="1"/>
      <c r="E74" s="1"/>
      <c r="F74" s="1"/>
      <c r="P74" s="102" t="s">
        <v>152</v>
      </c>
      <c r="Q74" s="26"/>
      <c r="R74" s="103">
        <f>countif(R5:R69,"X")</f>
        <v>64</v>
      </c>
      <c r="S74" s="104">
        <f>R74/R77</f>
        <v>0.9846153846</v>
      </c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  <c r="P75" s="102" t="s">
        <v>154</v>
      </c>
      <c r="Q75" s="26"/>
      <c r="R75" s="103">
        <f>countif(R5:R69,"N")</f>
        <v>1</v>
      </c>
    </row>
    <row r="76">
      <c r="A76" s="1"/>
      <c r="C76" s="1"/>
      <c r="D76" s="1"/>
      <c r="E76" s="1"/>
      <c r="F76" s="1"/>
      <c r="P76" s="102" t="s">
        <v>155</v>
      </c>
      <c r="Q76" s="26"/>
      <c r="R76" s="103">
        <f>countif(R5:R69,"")</f>
        <v>0</v>
      </c>
    </row>
    <row r="77">
      <c r="A77" s="82"/>
      <c r="C77" s="1"/>
      <c r="D77" s="1"/>
      <c r="E77" s="1"/>
      <c r="F77" s="1"/>
      <c r="P77" s="106" t="s">
        <v>61</v>
      </c>
      <c r="Q77" s="26"/>
      <c r="R77" s="107">
        <f>sum(R74:R76)</f>
        <v>65</v>
      </c>
    </row>
    <row r="78">
      <c r="A78" s="1"/>
      <c r="B78" s="108" t="str">
        <f>concatenate("Top Scores : " &amp;AC2)</f>
        <v>Top Scores : 12/13/25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desc"",0)"),"Herman Au")</f>
        <v>Herman Au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IFERROR(__xludf.DUMMYFUNCTION("""COMPUTED_VALUE"""),2.0)</f>
        <v>2</v>
      </c>
      <c r="F81" s="1"/>
    </row>
    <row r="82">
      <c r="A82" s="1"/>
      <c r="B82" s="33" t="str">
        <f>IFERROR(__xludf.DUMMYFUNCTION("""COMPUTED_VALUE"""),"Naveen Raj")</f>
        <v>Naveen Raj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IFERROR(__xludf.DUMMYFUNCTION("""COMPUTED_VALUE"""),4.0)</f>
        <v>4</v>
      </c>
      <c r="F82" s="1"/>
    </row>
    <row r="83">
      <c r="A83" s="1"/>
      <c r="B83" s="33" t="str">
        <f>IFERROR(__xludf.DUMMYFUNCTION("""COMPUTED_VALUE"""),"Jim Miao")</f>
        <v>Jim Miao</v>
      </c>
      <c r="C83" s="117">
        <f>IFERROR(__xludf.DUMMYFUNCTION("""COMPUTED_VALUE"""),19.0)</f>
        <v>19</v>
      </c>
      <c r="D83" s="117">
        <f>IFERROR(__xludf.DUMMYFUNCTION("""COMPUTED_VALUE"""),3.0)</f>
        <v>3</v>
      </c>
      <c r="E83" s="117">
        <f>IFERROR(__xludf.DUMMYFUNCTION("""COMPUTED_VALUE"""),6.0)</f>
        <v>6</v>
      </c>
      <c r="F83" s="1"/>
    </row>
    <row r="84">
      <c r="A84" s="1"/>
      <c r="B84" s="33" t="str">
        <f>IFERROR(__xludf.DUMMYFUNCTION("""COMPUTED_VALUE"""),"Eric Pan")</f>
        <v>Eric Pan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IFERROR(__xludf.DUMMYFUNCTION("""COMPUTED_VALUE"""),1.0)</f>
        <v>1</v>
      </c>
      <c r="F84" s="1"/>
    </row>
    <row r="85">
      <c r="A85" s="1"/>
      <c r="B85" s="33" t="str">
        <f>IFERROR(__xludf.DUMMYFUNCTION("""COMPUTED_VALUE"""),"Vishnu Amarnath")</f>
        <v>Vishnu Amarnath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IFERROR(__xludf.DUMMYFUNCTION("""COMPUTED_VALUE"""),7.0)</f>
        <v>7</v>
      </c>
      <c r="F85" s="1"/>
    </row>
    <row r="86">
      <c r="A86" s="1"/>
      <c r="B86" s="33" t="str">
        <f>IFERROR(__xludf.DUMMYFUNCTION("""COMPUTED_VALUE"""),"Jimmy Awolesi")</f>
        <v>Jimmy Awolesi</v>
      </c>
      <c r="C86" s="117">
        <f>IFERROR(__xludf.DUMMYFUNCTION("""COMPUTED_VALUE"""),18.0)</f>
        <v>18</v>
      </c>
      <c r="D86" s="117">
        <f>IFERROR(__xludf.DUMMYFUNCTION("""COMPUTED_VALUE"""),2.0)</f>
        <v>2</v>
      </c>
      <c r="E86" s="117">
        <f>IFERROR(__xludf.DUMMYFUNCTION("""COMPUTED_VALUE"""),5.0)</f>
        <v>5</v>
      </c>
      <c r="F86" s="1"/>
    </row>
    <row r="87">
      <c r="A87" s="1"/>
      <c r="B87" s="33" t="str">
        <f>IFERROR(__xludf.DUMMYFUNCTION("""COMPUTED_VALUE"""),"Manuel Rivera")</f>
        <v>Manuel Rivera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IFERROR(__xludf.DUMMYFUNCTION("""COMPUTED_VALUE"""),8.0)</f>
        <v>8</v>
      </c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10"")"),"Naveen Raj")</f>
        <v>Naveen Raj</v>
      </c>
      <c r="C100" s="117">
        <f>IFERROR(__xludf.DUMMYFUNCTION("""COMPUTED_VALUE"""),8.0)</f>
        <v>8</v>
      </c>
      <c r="D100" s="117">
        <f t="shared" ref="D100:D109" si="77">VLOOKUP(B100,indirect($AC$2&amp;"!B$5:X$69"),23, false)</f>
        <v>27</v>
      </c>
      <c r="E100" s="117">
        <f t="shared" ref="E100:E109" si="78">VLOOKUP(B100,B$5:X$69,23, false)</f>
        <v>19</v>
      </c>
      <c r="F100" s="117">
        <f t="shared" ref="F100:F109" si="79">VLOOKUP(B100,indirect($AC$2&amp;"!B$5:U$70"),11, false)</f>
        <v>19</v>
      </c>
      <c r="G100" s="117">
        <f t="shared" ref="G100:G109" si="80">VLOOKUP(B100,indirect($AC$2&amp;"!B$5:U$70"),6, false)</f>
        <v>4</v>
      </c>
      <c r="L100" s="117" t="str">
        <f t="shared" ref="L100:L109" si="81">if(D100-E100=C100,"ok","Error")</f>
        <v>ok</v>
      </c>
    </row>
    <row r="101">
      <c r="A101" s="1"/>
      <c r="B101" s="33" t="str">
        <f>IFERROR(__xludf.DUMMYFUNCTION("""COMPUTED_VALUE"""),"Jimmy Awolesi")</f>
        <v>Jimmy Awolesi</v>
      </c>
      <c r="C101" s="117">
        <f>IFERROR(__xludf.DUMMYFUNCTION("""COMPUTED_VALUE"""),7.0)</f>
        <v>7</v>
      </c>
      <c r="D101" s="117">
        <f t="shared" si="77"/>
        <v>33</v>
      </c>
      <c r="E101" s="117">
        <f t="shared" si="78"/>
        <v>26</v>
      </c>
      <c r="F101" s="117">
        <f t="shared" si="79"/>
        <v>18</v>
      </c>
      <c r="G101" s="117">
        <f t="shared" si="80"/>
        <v>5</v>
      </c>
      <c r="L101" s="117" t="str">
        <f t="shared" si="81"/>
        <v>ok</v>
      </c>
    </row>
    <row r="102">
      <c r="A102" s="1"/>
      <c r="B102" s="33" t="str">
        <f>IFERROR(__xludf.DUMMYFUNCTION("""COMPUTED_VALUE"""),"Ted Shen")</f>
        <v>Ted Shen</v>
      </c>
      <c r="C102" s="117">
        <f>IFERROR(__xludf.DUMMYFUNCTION("""COMPUTED_VALUE"""),4.0)</f>
        <v>4</v>
      </c>
      <c r="D102" s="117">
        <f t="shared" si="77"/>
        <v>24</v>
      </c>
      <c r="E102" s="117">
        <f t="shared" si="78"/>
        <v>20</v>
      </c>
      <c r="F102" s="117">
        <f t="shared" si="79"/>
        <v>15</v>
      </c>
      <c r="G102" s="117">
        <f t="shared" si="80"/>
        <v>3</v>
      </c>
      <c r="L102" s="117" t="str">
        <f t="shared" si="81"/>
        <v>ok</v>
      </c>
    </row>
    <row r="103">
      <c r="A103" s="1"/>
      <c r="B103" s="33" t="str">
        <f>IFERROR(__xludf.DUMMYFUNCTION("""COMPUTED_VALUE"""),"Mauricio Palacios")</f>
        <v>Mauricio Palacios</v>
      </c>
      <c r="C103" s="117">
        <f>IFERROR(__xludf.DUMMYFUNCTION("""COMPUTED_VALUE"""),4.0)</f>
        <v>4</v>
      </c>
      <c r="D103" s="117">
        <f t="shared" si="77"/>
        <v>25</v>
      </c>
      <c r="E103" s="117">
        <f t="shared" si="78"/>
        <v>21</v>
      </c>
      <c r="F103" s="117">
        <f t="shared" si="79"/>
        <v>15</v>
      </c>
      <c r="G103" s="117">
        <f t="shared" si="80"/>
        <v>4</v>
      </c>
      <c r="L103" s="117" t="str">
        <f t="shared" si="81"/>
        <v>ok</v>
      </c>
    </row>
    <row r="104">
      <c r="A104" s="1"/>
      <c r="B104" s="33" t="str">
        <f>IFERROR(__xludf.DUMMYFUNCTION("""COMPUTED_VALUE"""),"Vishnu Amarnath")</f>
        <v>Vishnu Amarnath</v>
      </c>
      <c r="C104" s="117">
        <f>IFERROR(__xludf.DUMMYFUNCTION("""COMPUTED_VALUE"""),4.0)</f>
        <v>4</v>
      </c>
      <c r="D104" s="117">
        <f t="shared" si="77"/>
        <v>50</v>
      </c>
      <c r="E104" s="117">
        <f t="shared" si="78"/>
        <v>46</v>
      </c>
      <c r="F104" s="117">
        <f t="shared" si="79"/>
        <v>18</v>
      </c>
      <c r="G104" s="117">
        <f t="shared" si="80"/>
        <v>7</v>
      </c>
      <c r="L104" s="117" t="str">
        <f t="shared" si="81"/>
        <v>ok</v>
      </c>
    </row>
    <row r="105">
      <c r="A105" s="1"/>
      <c r="B105" s="33" t="str">
        <f>IFERROR(__xludf.DUMMYFUNCTION("""COMPUTED_VALUE"""),"Manuel Rivera")</f>
        <v>Manuel Rivera</v>
      </c>
      <c r="C105" s="117">
        <f>IFERROR(__xludf.DUMMYFUNCTION("""COMPUTED_VALUE"""),4.0)</f>
        <v>4</v>
      </c>
      <c r="D105" s="117">
        <f t="shared" si="77"/>
        <v>53</v>
      </c>
      <c r="E105" s="117">
        <f t="shared" si="78"/>
        <v>49</v>
      </c>
      <c r="F105" s="117">
        <f t="shared" si="79"/>
        <v>18</v>
      </c>
      <c r="G105" s="117">
        <f t="shared" si="80"/>
        <v>8</v>
      </c>
      <c r="L105" s="117" t="str">
        <f t="shared" si="81"/>
        <v>ok</v>
      </c>
    </row>
    <row r="106">
      <c r="A106" s="1"/>
      <c r="B106" s="33" t="str">
        <f>IFERROR(__xludf.DUMMYFUNCTION("""COMPUTED_VALUE"""),"Wayne Liu")</f>
        <v>Wayne Liu</v>
      </c>
      <c r="C106" s="117">
        <f>IFERROR(__xludf.DUMMYFUNCTION("""COMPUTED_VALUE"""),4.0)</f>
        <v>4</v>
      </c>
      <c r="D106" s="117">
        <f t="shared" si="77"/>
        <v>54</v>
      </c>
      <c r="E106" s="117">
        <f t="shared" si="78"/>
        <v>50</v>
      </c>
      <c r="F106" s="117">
        <f t="shared" si="79"/>
        <v>16</v>
      </c>
      <c r="G106" s="117">
        <f t="shared" si="80"/>
        <v>8</v>
      </c>
      <c r="L106" s="117" t="str">
        <f t="shared" si="81"/>
        <v>ok</v>
      </c>
    </row>
    <row r="107">
      <c r="A107" s="1"/>
      <c r="B107" s="33" t="str">
        <f>IFERROR(__xludf.DUMMYFUNCTION("""COMPUTED_VALUE"""),"Herman Au")</f>
        <v>Herman Au</v>
      </c>
      <c r="C107" s="117">
        <f>IFERROR(__xludf.DUMMYFUNCTION("""COMPUTED_VALUE"""),3.0)</f>
        <v>3</v>
      </c>
      <c r="D107" s="117">
        <f t="shared" si="77"/>
        <v>16</v>
      </c>
      <c r="E107" s="117">
        <f t="shared" si="78"/>
        <v>13</v>
      </c>
      <c r="F107" s="117">
        <f t="shared" si="79"/>
        <v>19</v>
      </c>
      <c r="G107" s="117">
        <f t="shared" si="80"/>
        <v>2</v>
      </c>
      <c r="L107" s="117" t="str">
        <f t="shared" si="81"/>
        <v>ok</v>
      </c>
    </row>
    <row r="108">
      <c r="A108" s="1"/>
      <c r="B108" s="33" t="str">
        <f>IFERROR(__xludf.DUMMYFUNCTION("""COMPUTED_VALUE"""),"Suleman Alidina")</f>
        <v>Suleman Alidina</v>
      </c>
      <c r="C108" s="117">
        <f>IFERROR(__xludf.DUMMYFUNCTION("""COMPUTED_VALUE"""),3.0)</f>
        <v>3</v>
      </c>
      <c r="D108" s="117">
        <f t="shared" si="77"/>
        <v>17</v>
      </c>
      <c r="E108" s="117">
        <f t="shared" si="78"/>
        <v>14</v>
      </c>
      <c r="F108" s="117">
        <f t="shared" si="79"/>
        <v>15</v>
      </c>
      <c r="G108" s="117">
        <f t="shared" si="80"/>
        <v>3</v>
      </c>
      <c r="L108" s="117" t="str">
        <f t="shared" si="81"/>
        <v>ok</v>
      </c>
    </row>
    <row r="109">
      <c r="A109" s="1"/>
      <c r="B109" s="33" t="str">
        <f>IFERROR(__xludf.DUMMYFUNCTION("""COMPUTED_VALUE"""),"Frank Moon")</f>
        <v>Frank Moon</v>
      </c>
      <c r="C109" s="117">
        <f>IFERROR(__xludf.DUMMYFUNCTION("""COMPUTED_VALUE"""),3.0)</f>
        <v>3</v>
      </c>
      <c r="D109" s="117">
        <f t="shared" si="77"/>
        <v>18</v>
      </c>
      <c r="E109" s="117">
        <f t="shared" si="78"/>
        <v>15</v>
      </c>
      <c r="F109" s="117">
        <f t="shared" si="79"/>
        <v>15</v>
      </c>
      <c r="G109" s="117">
        <f t="shared" si="80"/>
        <v>3</v>
      </c>
      <c r="L109" s="117" t="str">
        <f t="shared" si="81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24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2">A5</f>
        <v>1</v>
      </c>
      <c r="B118" s="33" t="str">
        <f t="shared" si="82"/>
        <v>Adrian Tay</v>
      </c>
      <c r="C118" s="117">
        <f t="shared" si="82"/>
        <v>326</v>
      </c>
      <c r="D118" s="117">
        <f t="shared" si="82"/>
        <v>38</v>
      </c>
      <c r="E118" s="117">
        <f t="shared" si="82"/>
        <v>15.47058824</v>
      </c>
      <c r="F118" s="1"/>
    </row>
    <row r="119">
      <c r="A119" s="117">
        <f t="shared" ref="A119:E119" si="83">A6</f>
        <v>2</v>
      </c>
      <c r="B119" s="33" t="str">
        <f t="shared" si="83"/>
        <v>Darren Wong</v>
      </c>
      <c r="C119" s="117">
        <f t="shared" si="83"/>
        <v>323</v>
      </c>
      <c r="D119" s="117">
        <f t="shared" si="83"/>
        <v>36</v>
      </c>
      <c r="E119" s="117">
        <f t="shared" si="83"/>
        <v>15.05882353</v>
      </c>
      <c r="F119" s="1"/>
    </row>
    <row r="120">
      <c r="A120" s="117">
        <f t="shared" ref="A120:E120" si="84">A7</f>
        <v>3</v>
      </c>
      <c r="B120" s="33" t="str">
        <f t="shared" si="84"/>
        <v>Lam Bui</v>
      </c>
      <c r="C120" s="117">
        <f t="shared" si="84"/>
        <v>322</v>
      </c>
      <c r="D120" s="117">
        <f t="shared" si="84"/>
        <v>33</v>
      </c>
      <c r="E120" s="117">
        <f t="shared" si="84"/>
        <v>14.3</v>
      </c>
      <c r="F120" s="1"/>
    </row>
    <row r="121">
      <c r="A121" s="117">
        <f t="shared" ref="A121:E121" si="85">A8</f>
        <v>4</v>
      </c>
      <c r="B121" s="33" t="str">
        <f t="shared" si="85"/>
        <v>Eric Pan</v>
      </c>
      <c r="C121" s="117">
        <f t="shared" si="85"/>
        <v>315</v>
      </c>
      <c r="D121" s="117">
        <f t="shared" si="85"/>
        <v>32</v>
      </c>
      <c r="E121" s="117">
        <f t="shared" si="85"/>
        <v>15.78571429</v>
      </c>
      <c r="F121" s="1"/>
    </row>
    <row r="122">
      <c r="A122" s="117">
        <f t="shared" ref="A122:E122" si="86">A9</f>
        <v>5</v>
      </c>
      <c r="B122" s="33" t="str">
        <f t="shared" si="86"/>
        <v>Pulkit Mathur</v>
      </c>
      <c r="C122" s="117">
        <f t="shared" si="86"/>
        <v>311</v>
      </c>
      <c r="D122" s="117">
        <f t="shared" si="86"/>
        <v>31</v>
      </c>
      <c r="E122" s="117">
        <f t="shared" si="86"/>
        <v>14.27777778</v>
      </c>
      <c r="F122" s="1"/>
    </row>
    <row r="123">
      <c r="A123" s="117">
        <f t="shared" ref="A123:E123" si="87">A10</f>
        <v>6</v>
      </c>
      <c r="B123" s="33" t="str">
        <f t="shared" si="87"/>
        <v>Sandeep Kamalon</v>
      </c>
      <c r="C123" s="117">
        <f t="shared" si="87"/>
        <v>310</v>
      </c>
      <c r="D123" s="117">
        <f t="shared" si="87"/>
        <v>36</v>
      </c>
      <c r="E123" s="117">
        <f t="shared" si="87"/>
        <v>13.09090909</v>
      </c>
      <c r="F123" s="1"/>
    </row>
    <row r="124">
      <c r="A124" s="117">
        <f t="shared" ref="A124:E124" si="88">A11</f>
        <v>7</v>
      </c>
      <c r="B124" s="33" t="str">
        <f t="shared" si="88"/>
        <v>David Shin</v>
      </c>
      <c r="C124" s="117">
        <f t="shared" si="88"/>
        <v>303</v>
      </c>
      <c r="D124" s="117">
        <f t="shared" si="88"/>
        <v>27</v>
      </c>
      <c r="E124" s="117">
        <f t="shared" si="88"/>
        <v>13.14285714</v>
      </c>
      <c r="F124" s="1"/>
    </row>
    <row r="125">
      <c r="A125" s="117">
        <f t="shared" ref="A125:E125" si="89">A12</f>
        <v>8</v>
      </c>
      <c r="B125" s="33" t="str">
        <f t="shared" si="89"/>
        <v>Ethan Gu</v>
      </c>
      <c r="C125" s="117">
        <f t="shared" si="89"/>
        <v>301</v>
      </c>
      <c r="D125" s="117">
        <f t="shared" si="89"/>
        <v>31</v>
      </c>
      <c r="E125" s="117">
        <f t="shared" si="89"/>
        <v>13.04761905</v>
      </c>
      <c r="F125" s="1"/>
    </row>
    <row r="126">
      <c r="A126" s="117">
        <f t="shared" ref="A126:E126" si="90">A13</f>
        <v>9</v>
      </c>
      <c r="B126" s="33" t="str">
        <f t="shared" si="90"/>
        <v>Rajasekar Ramasamy</v>
      </c>
      <c r="C126" s="117">
        <f t="shared" si="90"/>
        <v>301</v>
      </c>
      <c r="D126" s="117">
        <f t="shared" si="90"/>
        <v>31</v>
      </c>
      <c r="E126" s="117">
        <f t="shared" si="90"/>
        <v>12.68181818</v>
      </c>
      <c r="F126" s="1"/>
    </row>
    <row r="127">
      <c r="A127" s="117">
        <f t="shared" ref="A127:E127" si="91">A14</f>
        <v>10</v>
      </c>
      <c r="B127" s="33" t="str">
        <f t="shared" si="91"/>
        <v>Pavan Akkimsetty</v>
      </c>
      <c r="C127" s="117">
        <f t="shared" si="91"/>
        <v>301</v>
      </c>
      <c r="D127" s="117">
        <f t="shared" si="91"/>
        <v>25</v>
      </c>
      <c r="E127" s="117">
        <f t="shared" si="91"/>
        <v>14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">
        <v>136</v>
      </c>
      <c r="C153" s="1"/>
      <c r="D153" s="1"/>
      <c r="E153" s="1"/>
      <c r="F153" s="1"/>
    </row>
    <row r="154">
      <c r="A154" s="117">
        <f t="shared" ref="A154:A168" si="92">if(B154&lt;&gt;"",A153+1,0)</f>
        <v>0</v>
      </c>
      <c r="B154" s="33"/>
      <c r="C154" s="1"/>
      <c r="D154" s="1"/>
      <c r="E154" s="1"/>
      <c r="F154" s="1"/>
    </row>
    <row r="155">
      <c r="A155" s="117">
        <f t="shared" si="92"/>
        <v>0</v>
      </c>
      <c r="B155" s="33"/>
      <c r="C155" s="1"/>
      <c r="D155" s="1"/>
      <c r="E155" s="1"/>
      <c r="F155" s="1"/>
      <c r="P155" s="33"/>
    </row>
    <row r="156">
      <c r="A156" s="117">
        <f t="shared" si="92"/>
        <v>0</v>
      </c>
      <c r="B156" s="33"/>
      <c r="C156" s="1"/>
      <c r="D156" s="1"/>
      <c r="E156" s="1"/>
      <c r="F156" s="1"/>
    </row>
    <row r="157">
      <c r="A157" s="117">
        <f t="shared" si="92"/>
        <v>0</v>
      </c>
      <c r="B157" s="33"/>
      <c r="C157" s="1"/>
      <c r="D157" s="1"/>
      <c r="E157" s="1"/>
      <c r="F157" s="1"/>
    </row>
    <row r="158">
      <c r="A158" s="117">
        <f t="shared" si="92"/>
        <v>0</v>
      </c>
      <c r="B158" s="33"/>
      <c r="C158" s="1"/>
      <c r="D158" s="1"/>
      <c r="E158" s="1"/>
      <c r="F158" s="1"/>
    </row>
    <row r="159">
      <c r="A159" s="117">
        <f t="shared" si="92"/>
        <v>0</v>
      </c>
      <c r="B159" s="33"/>
      <c r="C159" s="1"/>
      <c r="D159" s="1"/>
      <c r="E159" s="1"/>
      <c r="F159" s="1"/>
    </row>
    <row r="160">
      <c r="A160" s="117">
        <f t="shared" si="92"/>
        <v>0</v>
      </c>
      <c r="B160" s="33"/>
      <c r="C160" s="1"/>
      <c r="D160" s="1"/>
      <c r="E160" s="1"/>
      <c r="F160" s="1"/>
    </row>
    <row r="161">
      <c r="A161" s="117">
        <f t="shared" si="92"/>
        <v>0</v>
      </c>
      <c r="B161" s="33"/>
      <c r="C161" s="1"/>
      <c r="D161" s="1"/>
      <c r="E161" s="1"/>
      <c r="F161" s="1"/>
    </row>
    <row r="162">
      <c r="A162" s="117">
        <f t="shared" si="92"/>
        <v>0</v>
      </c>
      <c r="B162" s="33"/>
      <c r="C162" s="1"/>
      <c r="D162" s="1"/>
      <c r="E162" s="1"/>
      <c r="F162" s="1"/>
    </row>
    <row r="163">
      <c r="A163" s="117">
        <f t="shared" si="92"/>
        <v>0</v>
      </c>
      <c r="B163" s="33"/>
      <c r="C163" s="1"/>
      <c r="D163" s="1"/>
      <c r="E163" s="1"/>
      <c r="F163" s="1"/>
    </row>
    <row r="164">
      <c r="A164" s="117">
        <f t="shared" si="92"/>
        <v>0</v>
      </c>
      <c r="B164" s="33"/>
      <c r="C164" s="1"/>
      <c r="D164" s="1"/>
      <c r="E164" s="1"/>
      <c r="F164" s="1"/>
    </row>
    <row r="165">
      <c r="A165" s="117">
        <f t="shared" si="92"/>
        <v>0</v>
      </c>
      <c r="B165" s="33"/>
      <c r="C165" s="1"/>
      <c r="D165" s="1"/>
      <c r="E165" s="1"/>
      <c r="F165" s="1"/>
    </row>
    <row r="166">
      <c r="A166" s="117">
        <f t="shared" si="92"/>
        <v>0</v>
      </c>
      <c r="B166" s="33"/>
      <c r="C166" s="1"/>
      <c r="D166" s="1"/>
      <c r="E166" s="1"/>
      <c r="F166" s="1"/>
    </row>
    <row r="167">
      <c r="A167" s="117">
        <f t="shared" si="92"/>
        <v>0</v>
      </c>
      <c r="B167" s="33"/>
      <c r="C167" s="1"/>
      <c r="D167" s="1"/>
      <c r="E167" s="1"/>
      <c r="F167" s="1"/>
    </row>
    <row r="168">
      <c r="A168" s="117">
        <f t="shared" si="92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12/13/25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IFERROR(__xludf.DUMMYFUNCTION("""COMPUTED_VALUE"""),"Pulkit Mathur")</f>
        <v>Pulkit Mathur</v>
      </c>
      <c r="C184" s="122">
        <f>IFERROR(__xludf.DUMMYFUNCTION("""COMPUTED_VALUE"""),6.0)</f>
        <v>6</v>
      </c>
      <c r="D184" s="122">
        <f>IFERROR(__xludf.DUMMYFUNCTION("""COMPUTED_VALUE"""),4.0)</f>
        <v>4</v>
      </c>
      <c r="E184" s="122">
        <f>IFERROR(__xludf.DUMMYFUNCTION("""COMPUTED_VALUE"""),4.0)</f>
        <v>4</v>
      </c>
      <c r="F184" s="122">
        <f>IFERROR(__xludf.DUMMYFUNCTION("""COMPUTED_VALUE"""),14.0)</f>
        <v>14</v>
      </c>
      <c r="G184" s="122">
        <f>IFERROR(__xludf.DUMMYFUNCTION("""COMPUTED_VALUE"""),1.0)</f>
        <v>1</v>
      </c>
    </row>
    <row r="185">
      <c r="A185" s="117">
        <f>IFERROR(__xludf.DUMMYFUNCTION("""COMPUTED_VALUE"""),1.0)</f>
        <v>1</v>
      </c>
      <c r="B185" s="33" t="str">
        <f>IFERROR(__xludf.DUMMYFUNCTION("""COMPUTED_VALUE"""),"Eric Pan")</f>
        <v>Eric Pan</v>
      </c>
      <c r="C185" s="122">
        <f>IFERROR(__xludf.DUMMYFUNCTION("""COMPUTED_VALUE"""),6.0)</f>
        <v>6</v>
      </c>
      <c r="D185" s="122">
        <f>IFERROR(__xludf.DUMMYFUNCTION("""COMPUTED_VALUE"""),6.0)</f>
        <v>6</v>
      </c>
      <c r="E185" s="122">
        <f>IFERROR(__xludf.DUMMYFUNCTION("""COMPUTED_VALUE"""),6.0)</f>
        <v>6</v>
      </c>
      <c r="F185" s="122">
        <f>IFERROR(__xludf.DUMMYFUNCTION("""COMPUTED_VALUE"""),18.0)</f>
        <v>18</v>
      </c>
      <c r="G185" s="122">
        <f>IFERROR(__xludf.DUMMYFUNCTION("""COMPUTED_VALUE"""),3.0)</f>
        <v>3</v>
      </c>
    </row>
    <row r="186">
      <c r="A186" s="117">
        <f>IFERROR(__xludf.DUMMYFUNCTION("""COMPUTED_VALUE"""),1.0)</f>
        <v>1</v>
      </c>
      <c r="B186" s="33" t="str">
        <f>IFERROR(__xludf.DUMMYFUNCTION("""COMPUTED_VALUE"""),"David Shin")</f>
        <v>David Shin</v>
      </c>
      <c r="C186" s="122">
        <f>IFERROR(__xludf.DUMMYFUNCTION("""COMPUTED_VALUE"""),2.0)</f>
        <v>2</v>
      </c>
      <c r="D186" s="122">
        <f>IFERROR(__xludf.DUMMYFUNCTION("""COMPUTED_VALUE"""),4.0)</f>
        <v>4</v>
      </c>
      <c r="E186" s="122">
        <f>IFERROR(__xludf.DUMMYFUNCTION("""COMPUTED_VALUE"""),6.0)</f>
        <v>6</v>
      </c>
      <c r="F186" s="122">
        <f>IFERROR(__xludf.DUMMYFUNCTION("""COMPUTED_VALUE"""),12.0)</f>
        <v>12</v>
      </c>
      <c r="G186" s="122">
        <f>IFERROR(__xludf.DUMMYFUNCTION("""COMPUTED_VALUE"""),1.0)</f>
        <v>1</v>
      </c>
    </row>
    <row r="187">
      <c r="A187" s="117">
        <f>IFERROR(__xludf.DUMMYFUNCTION("""COMPUTED_VALUE"""),1.0)</f>
        <v>1</v>
      </c>
      <c r="B187" s="33" t="str">
        <f>IFERROR(__xludf.DUMMYFUNCTION("""COMPUTED_VALUE"""),"Rajasekar Ramasamy")</f>
        <v>Rajasekar Ramasamy</v>
      </c>
      <c r="C187" s="122">
        <f>IFERROR(__xludf.DUMMYFUNCTION("""COMPUTED_VALUE"""),2.0)</f>
        <v>2</v>
      </c>
      <c r="D187" s="122">
        <f>IFERROR(__xludf.DUMMYFUNCTION("""COMPUTED_VALUE"""),6.0)</f>
        <v>6</v>
      </c>
      <c r="E187" s="122">
        <f>IFERROR(__xludf.DUMMYFUNCTION("""COMPUTED_VALUE"""),4.0)</f>
        <v>4</v>
      </c>
      <c r="F187" s="122">
        <f>IFERROR(__xludf.DUMMYFUNCTION("""COMPUTED_VALUE"""),12.0)</f>
        <v>12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IFERROR(__xludf.DUMMYFUNCTION("""COMPUTED_VALUE"""),"Oscar Bonilla")</f>
        <v>Oscar Bonilla</v>
      </c>
      <c r="C188" s="125">
        <f>IFERROR(__xludf.DUMMYFUNCTION("""COMPUTED_VALUE"""),6.0)</f>
        <v>6</v>
      </c>
      <c r="D188" s="125">
        <f>IFERROR(__xludf.DUMMYFUNCTION("""COMPUTED_VALUE"""),2.0)</f>
        <v>2</v>
      </c>
      <c r="E188" s="125">
        <f>IFERROR(__xludf.DUMMYFUNCTION("""COMPUTED_VALUE"""),6.0)</f>
        <v>6</v>
      </c>
      <c r="F188" s="125">
        <f>IFERROR(__xludf.DUMMYFUNCTION("""COMPUTED_VALUE"""),14.0)</f>
        <v>14</v>
      </c>
      <c r="G188" s="125">
        <f>IFERROR(__xludf.DUMMYFUNCTION("""COMPUTED_VALUE"""),1.0)</f>
        <v>1</v>
      </c>
    </row>
    <row r="189">
      <c r="A189" s="123">
        <f>IFERROR(__xludf.DUMMYFUNCTION("""COMPUTED_VALUE"""),2.0)</f>
        <v>2</v>
      </c>
      <c r="B189" s="124" t="str">
        <f>IFERROR(__xludf.DUMMYFUNCTION("""COMPUTED_VALUE"""),"Joe Luzzi")</f>
        <v>Joe Luzzi</v>
      </c>
      <c r="C189" s="125">
        <f>IFERROR(__xludf.DUMMYFUNCTION("""COMPUTED_VALUE"""),6.0)</f>
        <v>6</v>
      </c>
      <c r="D189" s="125">
        <f>IFERROR(__xludf.DUMMYFUNCTION("""COMPUTED_VALUE"""),6.0)</f>
        <v>6</v>
      </c>
      <c r="E189" s="125">
        <f>IFERROR(__xludf.DUMMYFUNCTION("""COMPUTED_VALUE"""),3.0)</f>
        <v>3</v>
      </c>
      <c r="F189" s="125">
        <f>IFERROR(__xludf.DUMMYFUNCTION("""COMPUTED_VALUE"""),15.0)</f>
        <v>15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IFERROR(__xludf.DUMMYFUNCTION("""COMPUTED_VALUE"""),"Tina Hanson")</f>
        <v>Tina Hanson</v>
      </c>
      <c r="C190" s="125">
        <f>IFERROR(__xludf.DUMMYFUNCTION("""COMPUTED_VALUE"""),7.0)</f>
        <v>7</v>
      </c>
      <c r="D190" s="125">
        <f>IFERROR(__xludf.DUMMYFUNCTION("""COMPUTED_VALUE"""),2.0)</f>
        <v>2</v>
      </c>
      <c r="E190" s="125">
        <f>IFERROR(__xludf.DUMMYFUNCTION("""COMPUTED_VALUE"""),3.0)</f>
        <v>3</v>
      </c>
      <c r="F190" s="125">
        <f>IFERROR(__xludf.DUMMYFUNCTION("""COMPUTED_VALUE"""),12.0)</f>
        <v>12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IFERROR(__xludf.DUMMYFUNCTION("""COMPUTED_VALUE"""),"Herman Au")</f>
        <v>Herman Au</v>
      </c>
      <c r="C191" s="125">
        <f>IFERROR(__xludf.DUMMYFUNCTION("""COMPUTED_VALUE"""),7.0)</f>
        <v>7</v>
      </c>
      <c r="D191" s="125">
        <f>IFERROR(__xludf.DUMMYFUNCTION("""COMPUTED_VALUE"""),6.0)</f>
        <v>6</v>
      </c>
      <c r="E191" s="125">
        <f>IFERROR(__xludf.DUMMYFUNCTION("""COMPUTED_VALUE"""),6.0)</f>
        <v>6</v>
      </c>
      <c r="F191" s="125">
        <f>IFERROR(__xludf.DUMMYFUNCTION("""COMPUTED_VALUE"""),19.0)</f>
        <v>19</v>
      </c>
      <c r="G191" s="125">
        <f>IFERROR(__xludf.DUMMYFUNCTION("""COMPUTED_VALUE"""),3.0)</f>
        <v>3</v>
      </c>
    </row>
    <row r="192">
      <c r="A192" s="117">
        <f>IFERROR(__xludf.DUMMYFUNCTION("""COMPUTED_VALUE"""),3.0)</f>
        <v>3</v>
      </c>
      <c r="B192" s="33" t="str">
        <f>IFERROR(__xludf.DUMMYFUNCTION("""COMPUTED_VALUE"""),"Suleman Alidina")</f>
        <v>Suleman Alidina</v>
      </c>
      <c r="C192" s="122">
        <f>IFERROR(__xludf.DUMMYFUNCTION("""COMPUTED_VALUE"""),6.0)</f>
        <v>6</v>
      </c>
      <c r="D192" s="122">
        <f>IFERROR(__xludf.DUMMYFUNCTION("""COMPUTED_VALUE"""),3.0)</f>
        <v>3</v>
      </c>
      <c r="E192" s="122">
        <f>IFERROR(__xludf.DUMMYFUNCTION("""COMPUTED_VALUE"""),6.0)</f>
        <v>6</v>
      </c>
      <c r="F192" s="122">
        <f>IFERROR(__xludf.DUMMYFUNCTION("""COMPUTED_VALUE"""),15.0)</f>
        <v>15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IFERROR(__xludf.DUMMYFUNCTION("""COMPUTED_VALUE"""),"Frank Moon")</f>
        <v>Frank Moon</v>
      </c>
      <c r="C193" s="122">
        <f>IFERROR(__xludf.DUMMYFUNCTION("""COMPUTED_VALUE"""),3.0)</f>
        <v>3</v>
      </c>
      <c r="D193" s="122">
        <f>IFERROR(__xludf.DUMMYFUNCTION("""COMPUTED_VALUE"""),6.0)</f>
        <v>6</v>
      </c>
      <c r="E193" s="122">
        <f>IFERROR(__xludf.DUMMYFUNCTION("""COMPUTED_VALUE"""),6.0)</f>
        <v>6</v>
      </c>
      <c r="F193" s="122">
        <f>IFERROR(__xludf.DUMMYFUNCTION("""COMPUTED_VALUE"""),15.0)</f>
        <v>15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IFERROR(__xludf.DUMMYFUNCTION("""COMPUTED_VALUE"""),"Allen Zhang")</f>
        <v>Allen Zhang</v>
      </c>
      <c r="C194" s="122">
        <f>IFERROR(__xludf.DUMMYFUNCTION("""COMPUTED_VALUE"""),3.0)</f>
        <v>3</v>
      </c>
      <c r="D194" s="122">
        <f>IFERROR(__xludf.DUMMYFUNCTION("""COMPUTED_VALUE"""),3.0)</f>
        <v>3</v>
      </c>
      <c r="E194" s="122">
        <f>IFERROR(__xludf.DUMMYFUNCTION("""COMPUTED_VALUE"""),3.0)</f>
        <v>3</v>
      </c>
      <c r="F194" s="122">
        <f>IFERROR(__xludf.DUMMYFUNCTION("""COMPUTED_VALUE"""),9.0)</f>
        <v>9</v>
      </c>
      <c r="G194" s="122">
        <f>IFERROR(__xludf.DUMMYFUNCTION("""COMPUTED_VALUE"""),0.0)</f>
        <v>0</v>
      </c>
    </row>
    <row r="195">
      <c r="A195" s="117">
        <f>IFERROR(__xludf.DUMMYFUNCTION("""COMPUTED_VALUE"""),3.0)</f>
        <v>3</v>
      </c>
      <c r="B195" s="33" t="str">
        <f>IFERROR(__xludf.DUMMYFUNCTION("""COMPUTED_VALUE"""),"Ted Shen")</f>
        <v>Ted Shen</v>
      </c>
      <c r="C195" s="122">
        <f>IFERROR(__xludf.DUMMYFUNCTION("""COMPUTED_VALUE"""),6.0)</f>
        <v>6</v>
      </c>
      <c r="D195" s="122">
        <f>IFERROR(__xludf.DUMMYFUNCTION("""COMPUTED_VALUE"""),6.0)</f>
        <v>6</v>
      </c>
      <c r="E195" s="122">
        <f>IFERROR(__xludf.DUMMYFUNCTION("""COMPUTED_VALUE"""),3.0)</f>
        <v>3</v>
      </c>
      <c r="F195" s="122">
        <f>IFERROR(__xludf.DUMMYFUNCTION("""COMPUTED_VALUE"""),15.0)</f>
        <v>15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IFERROR(__xludf.DUMMYFUNCTION("""COMPUTED_VALUE"""),"Mauricio Palacios")</f>
        <v>Mauricio Palacios</v>
      </c>
      <c r="C196" s="125">
        <f>IFERROR(__xludf.DUMMYFUNCTION("""COMPUTED_VALUE"""),4.0)</f>
        <v>4</v>
      </c>
      <c r="D196" s="125">
        <f>IFERROR(__xludf.DUMMYFUNCTION("""COMPUTED_VALUE"""),6.0)</f>
        <v>6</v>
      </c>
      <c r="E196" s="125">
        <f>IFERROR(__xludf.DUMMYFUNCTION("""COMPUTED_VALUE"""),5.0)</f>
        <v>5</v>
      </c>
      <c r="F196" s="125">
        <f>IFERROR(__xludf.DUMMYFUNCTION("""COMPUTED_VALUE"""),15.0)</f>
        <v>15</v>
      </c>
      <c r="G196" s="125">
        <f>IFERROR(__xludf.DUMMYFUNCTION("""COMPUTED_VALUE"""),1.0)</f>
        <v>1</v>
      </c>
    </row>
    <row r="197">
      <c r="A197" s="123">
        <f>IFERROR(__xludf.DUMMYFUNCTION("""COMPUTED_VALUE"""),4.0)</f>
        <v>4</v>
      </c>
      <c r="B197" s="124" t="str">
        <f>IFERROR(__xludf.DUMMYFUNCTION("""COMPUTED_VALUE"""),"Coco Yan")</f>
        <v>Coco Yan</v>
      </c>
      <c r="C197" s="125">
        <f>IFERROR(__xludf.DUMMYFUNCTION("""COMPUTED_VALUE"""),6.0)</f>
        <v>6</v>
      </c>
      <c r="D197" s="125">
        <f>IFERROR(__xludf.DUMMYFUNCTION("""COMPUTED_VALUE"""),4.0)</f>
        <v>4</v>
      </c>
      <c r="E197" s="125">
        <f>IFERROR(__xludf.DUMMYFUNCTION("""COMPUTED_VALUE"""),5.0)</f>
        <v>5</v>
      </c>
      <c r="F197" s="125">
        <f>IFERROR(__xludf.DUMMYFUNCTION("""COMPUTED_VALUE"""),15.0)</f>
        <v>15</v>
      </c>
      <c r="G197" s="125">
        <f>IFERROR(__xludf.DUMMYFUNCTION("""COMPUTED_VALUE"""),1.0)</f>
        <v>1</v>
      </c>
    </row>
    <row r="198">
      <c r="A198" s="123">
        <f>IFERROR(__xludf.DUMMYFUNCTION("""COMPUTED_VALUE"""),4.0)</f>
        <v>4</v>
      </c>
      <c r="B198" s="124" t="str">
        <f>IFERROR(__xludf.DUMMYFUNCTION("""COMPUTED_VALUE"""),"Naveen Raj")</f>
        <v>Naveen Raj</v>
      </c>
      <c r="C198" s="125">
        <f>IFERROR(__xludf.DUMMYFUNCTION("""COMPUTED_VALUE"""),6.0)</f>
        <v>6</v>
      </c>
      <c r="D198" s="125">
        <f>IFERROR(__xludf.DUMMYFUNCTION("""COMPUTED_VALUE"""),6.0)</f>
        <v>6</v>
      </c>
      <c r="E198" s="125">
        <f>IFERROR(__xludf.DUMMYFUNCTION("""COMPUTED_VALUE"""),7.0)</f>
        <v>7</v>
      </c>
      <c r="F198" s="125">
        <f>IFERROR(__xludf.DUMMYFUNCTION("""COMPUTED_VALUE"""),19.0)</f>
        <v>19</v>
      </c>
      <c r="G198" s="125">
        <f>IFERROR(__xludf.DUMMYFUNCTION("""COMPUTED_VALUE"""),3.0)</f>
        <v>3</v>
      </c>
    </row>
    <row r="199">
      <c r="A199" s="123">
        <f>IFERROR(__xludf.DUMMYFUNCTION("""COMPUTED_VALUE"""),4.0)</f>
        <v>4</v>
      </c>
      <c r="B199" s="124" t="str">
        <f>IFERROR(__xludf.DUMMYFUNCTION("""COMPUTED_VALUE"""),"Nicole Ni")</f>
        <v>Nicole Ni</v>
      </c>
      <c r="C199" s="125">
        <f>IFERROR(__xludf.DUMMYFUNCTION("""COMPUTED_VALUE"""),4.0)</f>
        <v>4</v>
      </c>
      <c r="D199" s="125">
        <f>IFERROR(__xludf.DUMMYFUNCTION("""COMPUTED_VALUE"""),4.0)</f>
        <v>4</v>
      </c>
      <c r="E199" s="125">
        <f>IFERROR(__xludf.DUMMYFUNCTION("""COMPUTED_VALUE"""),7.0)</f>
        <v>7</v>
      </c>
      <c r="F199" s="125">
        <f>IFERROR(__xludf.DUMMYFUNCTION("""COMPUTED_VALUE"""),15.0)</f>
        <v>15</v>
      </c>
      <c r="G199" s="125">
        <f>IFERROR(__xludf.DUMMYFUNCTION("""COMPUTED_VALUE"""),1.0)</f>
        <v>1</v>
      </c>
    </row>
    <row r="200">
      <c r="A200" s="117">
        <f>IFERROR(__xludf.DUMMYFUNCTION("""COMPUTED_VALUE"""),5.0)</f>
        <v>5</v>
      </c>
      <c r="B200" s="33" t="str">
        <f>IFERROR(__xludf.DUMMYFUNCTION("""COMPUTED_VALUE"""),"Hongyuan Wen")</f>
        <v>Hongyuan Wen</v>
      </c>
      <c r="C200" s="122">
        <f>IFERROR(__xludf.DUMMYFUNCTION("""COMPUTED_VALUE"""),2.0)</f>
        <v>2</v>
      </c>
      <c r="D200" s="122">
        <f>IFERROR(__xludf.DUMMYFUNCTION("""COMPUTED_VALUE"""),6.0)</f>
        <v>6</v>
      </c>
      <c r="E200" s="122">
        <f>IFERROR(__xludf.DUMMYFUNCTION("""COMPUTED_VALUE"""),2.0)</f>
        <v>2</v>
      </c>
      <c r="F200" s="122">
        <f>IFERROR(__xludf.DUMMYFUNCTION("""COMPUTED_VALUE"""),10.0)</f>
        <v>10</v>
      </c>
      <c r="G200" s="122">
        <f>IFERROR(__xludf.DUMMYFUNCTION("""COMPUTED_VALUE"""),0.0)</f>
        <v>0</v>
      </c>
    </row>
    <row r="201">
      <c r="A201" s="117">
        <f>IFERROR(__xludf.DUMMYFUNCTION("""COMPUTED_VALUE"""),5.0)</f>
        <v>5</v>
      </c>
      <c r="B201" s="33" t="str">
        <f>IFERROR(__xludf.DUMMYFUNCTION("""COMPUTED_VALUE"""),"Alex Hou")</f>
        <v>Alex Hou</v>
      </c>
      <c r="C201" s="122">
        <f>IFERROR(__xludf.DUMMYFUNCTION("""COMPUTED_VALUE"""),2.0)</f>
        <v>2</v>
      </c>
      <c r="D201" s="122">
        <f>IFERROR(__xludf.DUMMYFUNCTION("""COMPUTED_VALUE"""),7.0)</f>
        <v>7</v>
      </c>
      <c r="E201" s="122">
        <f>IFERROR(__xludf.DUMMYFUNCTION("""COMPUTED_VALUE"""),6.0)</f>
        <v>6</v>
      </c>
      <c r="F201" s="122">
        <f>IFERROR(__xludf.DUMMYFUNCTION("""COMPUTED_VALUE"""),15.0)</f>
        <v>15</v>
      </c>
      <c r="G201" s="122">
        <f>IFERROR(__xludf.DUMMYFUNCTION("""COMPUTED_VALUE"""),2.0)</f>
        <v>2</v>
      </c>
    </row>
    <row r="202">
      <c r="A202" s="117">
        <f>IFERROR(__xludf.DUMMYFUNCTION("""COMPUTED_VALUE"""),5.0)</f>
        <v>5</v>
      </c>
      <c r="B202" s="33" t="str">
        <f>IFERROR(__xludf.DUMMYFUNCTION("""COMPUTED_VALUE"""),"Jimmy Awolesi")</f>
        <v>Jimmy Awolesi</v>
      </c>
      <c r="C202" s="122">
        <f>IFERROR(__xludf.DUMMYFUNCTION("""COMPUTED_VALUE"""),6.0)</f>
        <v>6</v>
      </c>
      <c r="D202" s="122">
        <f>IFERROR(__xludf.DUMMYFUNCTION("""COMPUTED_VALUE"""),6.0)</f>
        <v>6</v>
      </c>
      <c r="E202" s="122">
        <f>IFERROR(__xludf.DUMMYFUNCTION("""COMPUTED_VALUE"""),6.0)</f>
        <v>6</v>
      </c>
      <c r="F202" s="122">
        <f>IFERROR(__xludf.DUMMYFUNCTION("""COMPUTED_VALUE"""),18.0)</f>
        <v>18</v>
      </c>
      <c r="G202" s="122">
        <f>IFERROR(__xludf.DUMMYFUNCTION("""COMPUTED_VALUE"""),2.0)</f>
        <v>2</v>
      </c>
    </row>
    <row r="203">
      <c r="A203" s="117">
        <f>IFERROR(__xludf.DUMMYFUNCTION("""COMPUTED_VALUE"""),5.0)</f>
        <v>5</v>
      </c>
      <c r="B203" s="33" t="str">
        <f>IFERROR(__xludf.DUMMYFUNCTION("""COMPUTED_VALUE"""),"Sean Chang")</f>
        <v>Sean Chang</v>
      </c>
      <c r="C203" s="122">
        <f>IFERROR(__xludf.DUMMYFUNCTION("""COMPUTED_VALUE"""),6.0)</f>
        <v>6</v>
      </c>
      <c r="D203" s="122">
        <f>IFERROR(__xludf.DUMMYFUNCTION("""COMPUTED_VALUE"""),7.0)</f>
        <v>7</v>
      </c>
      <c r="E203" s="122">
        <f>IFERROR(__xludf.DUMMYFUNCTION("""COMPUTED_VALUE"""),2.0)</f>
        <v>2</v>
      </c>
      <c r="F203" s="122">
        <f>IFERROR(__xludf.DUMMYFUNCTION("""COMPUTED_VALUE"""),15.0)</f>
        <v>15</v>
      </c>
      <c r="G203" s="122">
        <f>IFERROR(__xludf.DUMMYFUNCTION("""COMPUTED_VALUE"""),2.0)</f>
        <v>2</v>
      </c>
    </row>
    <row r="204">
      <c r="A204" s="123">
        <f>IFERROR(__xludf.DUMMYFUNCTION("""COMPUTED_VALUE"""),6.0)</f>
        <v>6</v>
      </c>
      <c r="B204" s="124" t="str">
        <f>IFERROR(__xludf.DUMMYFUNCTION("""COMPUTED_VALUE"""),"Jim Miao")</f>
        <v>Jim Miao</v>
      </c>
      <c r="C204" s="125">
        <f>IFERROR(__xludf.DUMMYFUNCTION("""COMPUTED_VALUE"""),7.0)</f>
        <v>7</v>
      </c>
      <c r="D204" s="125">
        <f>IFERROR(__xludf.DUMMYFUNCTION("""COMPUTED_VALUE"""),6.0)</f>
        <v>6</v>
      </c>
      <c r="E204" s="125">
        <f>IFERROR(__xludf.DUMMYFUNCTION("""COMPUTED_VALUE"""),6.0)</f>
        <v>6</v>
      </c>
      <c r="F204" s="125">
        <f>IFERROR(__xludf.DUMMYFUNCTION("""COMPUTED_VALUE"""),19.0)</f>
        <v>19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IFERROR(__xludf.DUMMYFUNCTION("""COMPUTED_VALUE"""),"Ramesh Bandaru")</f>
        <v>Ramesh Bandaru</v>
      </c>
      <c r="C205" s="125">
        <f>IFERROR(__xludf.DUMMYFUNCTION("""COMPUTED_VALUE"""),7.0)</f>
        <v>7</v>
      </c>
      <c r="D205" s="125">
        <f>IFERROR(__xludf.DUMMYFUNCTION("""COMPUTED_VALUE"""),3.0)</f>
        <v>3</v>
      </c>
      <c r="E205" s="125">
        <f>IFERROR(__xludf.DUMMYFUNCTION("""COMPUTED_VALUE"""),3.0)</f>
        <v>3</v>
      </c>
      <c r="F205" s="125">
        <f>IFERROR(__xludf.DUMMYFUNCTION("""COMPUTED_VALUE"""),13.0)</f>
        <v>13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IFERROR(__xludf.DUMMYFUNCTION("""COMPUTED_VALUE"""),"Kumar Palakeel")</f>
        <v>Kumar Palakeel</v>
      </c>
      <c r="C206" s="125">
        <f>IFERROR(__xludf.DUMMYFUNCTION("""COMPUTED_VALUE"""),5.0)</f>
        <v>5</v>
      </c>
      <c r="D206" s="125">
        <f>IFERROR(__xludf.DUMMYFUNCTION("""COMPUTED_VALUE"""),6.0)</f>
        <v>6</v>
      </c>
      <c r="E206" s="125">
        <f>IFERROR(__xludf.DUMMYFUNCTION("""COMPUTED_VALUE"""),3.0)</f>
        <v>3</v>
      </c>
      <c r="F206" s="125">
        <f>IFERROR(__xludf.DUMMYFUNCTION("""COMPUTED_VALUE"""),14.0)</f>
        <v>14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IFERROR(__xludf.DUMMYFUNCTION("""COMPUTED_VALUE"""),"Balaji Alahari")</f>
        <v>Balaji Alahari</v>
      </c>
      <c r="C207" s="125">
        <f>IFERROR(__xludf.DUMMYFUNCTION("""COMPUTED_VALUE"""),5.0)</f>
        <v>5</v>
      </c>
      <c r="D207" s="125">
        <f>IFERROR(__xludf.DUMMYFUNCTION("""COMPUTED_VALUE"""),3.0)</f>
        <v>3</v>
      </c>
      <c r="E207" s="125">
        <f>IFERROR(__xludf.DUMMYFUNCTION("""COMPUTED_VALUE"""),6.0)</f>
        <v>6</v>
      </c>
      <c r="F207" s="125">
        <f>IFERROR(__xludf.DUMMYFUNCTION("""COMPUTED_VALUE"""),14.0)</f>
        <v>14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IFERROR(__xludf.DUMMYFUNCTION("""COMPUTED_VALUE"""),"Sandy Weyant")</f>
        <v>Sandy Weyant</v>
      </c>
      <c r="C208" s="122">
        <f>IFERROR(__xludf.DUMMYFUNCTION("""COMPUTED_VALUE"""),4.0)</f>
        <v>4</v>
      </c>
      <c r="D208" s="122">
        <f>IFERROR(__xludf.DUMMYFUNCTION("""COMPUTED_VALUE"""),6.0)</f>
        <v>6</v>
      </c>
      <c r="E208" s="122">
        <f>IFERROR(__xludf.DUMMYFUNCTION("""COMPUTED_VALUE"""),4.0)</f>
        <v>4</v>
      </c>
      <c r="F208" s="122">
        <f>IFERROR(__xludf.DUMMYFUNCTION("""COMPUTED_VALUE"""),14.0)</f>
        <v>14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IFERROR(__xludf.DUMMYFUNCTION("""COMPUTED_VALUE"""),"Eric Tan")</f>
        <v>Eric Tan</v>
      </c>
      <c r="C209" s="122">
        <f>IFERROR(__xludf.DUMMYFUNCTION("""COMPUTED_VALUE"""),4.0)</f>
        <v>4</v>
      </c>
      <c r="D209" s="122">
        <f>IFERROR(__xludf.DUMMYFUNCTION("""COMPUTED_VALUE"""),2.0)</f>
        <v>2</v>
      </c>
      <c r="E209" s="122">
        <f>IFERROR(__xludf.DUMMYFUNCTION("""COMPUTED_VALUE"""),6.0)</f>
        <v>6</v>
      </c>
      <c r="F209" s="122">
        <f>IFERROR(__xludf.DUMMYFUNCTION("""COMPUTED_VALUE"""),12.0)</f>
        <v>12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IFERROR(__xludf.DUMMYFUNCTION("""COMPUTED_VALUE"""),"Vishnu Amarnath")</f>
        <v>Vishnu Amarnath</v>
      </c>
      <c r="C210" s="122">
        <f>IFERROR(__xludf.DUMMYFUNCTION("""COMPUTED_VALUE"""),6.0)</f>
        <v>6</v>
      </c>
      <c r="D210" s="122">
        <f>IFERROR(__xludf.DUMMYFUNCTION("""COMPUTED_VALUE"""),6.0)</f>
        <v>6</v>
      </c>
      <c r="E210" s="122">
        <f>IFERROR(__xludf.DUMMYFUNCTION("""COMPUTED_VALUE"""),6.0)</f>
        <v>6</v>
      </c>
      <c r="F210" s="122">
        <f>IFERROR(__xludf.DUMMYFUNCTION("""COMPUTED_VALUE"""),18.0)</f>
        <v>18</v>
      </c>
      <c r="G210" s="122">
        <f>IFERROR(__xludf.DUMMYFUNCTION("""COMPUTED_VALUE"""),3.0)</f>
        <v>3</v>
      </c>
    </row>
    <row r="211">
      <c r="A211" s="117">
        <f>IFERROR(__xludf.DUMMYFUNCTION("""COMPUTED_VALUE"""),7.0)</f>
        <v>7</v>
      </c>
      <c r="B211" s="33" t="str">
        <f>IFERROR(__xludf.DUMMYFUNCTION("""COMPUTED_VALUE"""),"Trish Newlin")</f>
        <v>Trish Newlin</v>
      </c>
      <c r="C211" s="122">
        <f>IFERROR(__xludf.DUMMYFUNCTION("""COMPUTED_VALUE"""),6.0)</f>
        <v>6</v>
      </c>
      <c r="D211" s="122">
        <f>IFERROR(__xludf.DUMMYFUNCTION("""COMPUTED_VALUE"""),2.0)</f>
        <v>2</v>
      </c>
      <c r="E211" s="122">
        <f>IFERROR(__xludf.DUMMYFUNCTION("""COMPUTED_VALUE"""),4.0)</f>
        <v>4</v>
      </c>
      <c r="F211" s="122">
        <f>IFERROR(__xludf.DUMMYFUNCTION("""COMPUTED_VALUE"""),12.0)</f>
        <v>12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IFERROR(__xludf.DUMMYFUNCTION("""COMPUTED_VALUE"""),"Manuel Rivera")</f>
        <v>Manuel Rivera</v>
      </c>
      <c r="C212" s="125">
        <f>IFERROR(__xludf.DUMMYFUNCTION("""COMPUTED_VALUE"""),6.0)</f>
        <v>6</v>
      </c>
      <c r="D212" s="125">
        <f>IFERROR(__xludf.DUMMYFUNCTION("""COMPUTED_VALUE"""),6.0)</f>
        <v>6</v>
      </c>
      <c r="E212" s="125">
        <f>IFERROR(__xludf.DUMMYFUNCTION("""COMPUTED_VALUE"""),6.0)</f>
        <v>6</v>
      </c>
      <c r="F212" s="125">
        <f>IFERROR(__xludf.DUMMYFUNCTION("""COMPUTED_VALUE"""),18.0)</f>
        <v>18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IFERROR(__xludf.DUMMYFUNCTION("""COMPUTED_VALUE"""),"Wayne Liu")</f>
        <v>Wayne Liu</v>
      </c>
      <c r="C213" s="125">
        <f>IFERROR(__xludf.DUMMYFUNCTION("""COMPUTED_VALUE"""),6.0)</f>
        <v>6</v>
      </c>
      <c r="D213" s="125">
        <f>IFERROR(__xludf.DUMMYFUNCTION("""COMPUTED_VALUE"""),3.0)</f>
        <v>3</v>
      </c>
      <c r="E213" s="125">
        <f>IFERROR(__xludf.DUMMYFUNCTION("""COMPUTED_VALUE"""),7.0)</f>
        <v>7</v>
      </c>
      <c r="F213" s="125">
        <f>IFERROR(__xludf.DUMMYFUNCTION("""COMPUTED_VALUE"""),16.0)</f>
        <v>16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IFERROR(__xludf.DUMMYFUNCTION("""COMPUTED_VALUE"""),"Joyce Zhu")</f>
        <v>Joyce Zhu</v>
      </c>
      <c r="C214" s="125">
        <f>IFERROR(__xludf.DUMMYFUNCTION("""COMPUTED_VALUE"""),0.0)</f>
        <v>0</v>
      </c>
      <c r="D214" s="125">
        <f>IFERROR(__xludf.DUMMYFUNCTION("""COMPUTED_VALUE"""),6.0)</f>
        <v>6</v>
      </c>
      <c r="E214" s="125">
        <f>IFERROR(__xludf.DUMMYFUNCTION("""COMPUTED_VALUE"""),7.0)</f>
        <v>7</v>
      </c>
      <c r="F214" s="125">
        <f>IFERROR(__xludf.DUMMYFUNCTION("""COMPUTED_VALUE"""),13.0)</f>
        <v>13</v>
      </c>
      <c r="G214" s="125">
        <f>IFERROR(__xludf.DUMMYFUNCTION("""COMPUTED_VALUE"""),2.0)</f>
        <v>2</v>
      </c>
    </row>
    <row r="215">
      <c r="A215" s="123">
        <f>IFERROR(__xludf.DUMMYFUNCTION("""COMPUTED_VALUE"""),8.0)</f>
        <v>8</v>
      </c>
      <c r="B215" s="124" t="str">
        <f>IFERROR(__xludf.DUMMYFUNCTION("""COMPUTED_VALUE"""),"Barathi Sundaram")</f>
        <v>Barathi Sundaram</v>
      </c>
      <c r="C215" s="125">
        <f>IFERROR(__xludf.DUMMYFUNCTION("""COMPUTED_VALUE"""),0.0)</f>
        <v>0</v>
      </c>
      <c r="D215" s="125">
        <f>IFERROR(__xludf.DUMMYFUNCTION("""COMPUTED_VALUE"""),3.0)</f>
        <v>3</v>
      </c>
      <c r="E215" s="125">
        <f>IFERROR(__xludf.DUMMYFUNCTION("""COMPUTED_VALUE"""),6.0)</f>
        <v>6</v>
      </c>
      <c r="F215" s="125">
        <f>IFERROR(__xludf.DUMMYFUNCTION("""COMPUTED_VALUE"""),9.0)</f>
        <v>9</v>
      </c>
      <c r="G215" s="125">
        <f>IFERROR(__xludf.DUMMYFUNCTION("""COMPUTED_VALUE"""),0.0)</f>
        <v>0</v>
      </c>
    </row>
    <row r="216">
      <c r="A216" s="117">
        <f>IFERROR(__xludf.DUMMYFUNCTION("""COMPUTED_VALUE"""),9.0)</f>
        <v>9</v>
      </c>
      <c r="B216" s="33" t="str">
        <f>IFERROR(__xludf.DUMMYFUNCTION("""COMPUTED_VALUE"""),"Adrian Tay")</f>
        <v>Adrian Tay</v>
      </c>
      <c r="C216" s="122">
        <f>IFERROR(__xludf.DUMMYFUNCTION("""COMPUTED_VALUE"""),5.0)</f>
        <v>5</v>
      </c>
      <c r="D216" s="122">
        <f>IFERROR(__xludf.DUMMYFUNCTION("""COMPUTED_VALUE"""),0.0)</f>
        <v>0</v>
      </c>
      <c r="E216" s="122">
        <f>IFERROR(__xludf.DUMMYFUNCTION("""COMPUTED_VALUE"""),0.0)</f>
        <v>0</v>
      </c>
      <c r="F216" s="122">
        <f>IFERROR(__xludf.DUMMYFUNCTION("""COMPUTED_VALUE"""),5.0)</f>
        <v>5</v>
      </c>
      <c r="G216" s="122">
        <f>IFERROR(__xludf.DUMMYFUNCTION("""COMPUTED_VALUE"""),0.0)</f>
        <v>0</v>
      </c>
    </row>
    <row r="217">
      <c r="A217" s="117">
        <f>IFERROR(__xludf.DUMMYFUNCTION("""COMPUTED_VALUE"""),9.0)</f>
        <v>9</v>
      </c>
      <c r="B217" s="33" t="str">
        <f>IFERROR(__xludf.DUMMYFUNCTION("""COMPUTED_VALUE"""),"Darren Wong")</f>
        <v>Darren Wong</v>
      </c>
      <c r="C217" s="122">
        <f>IFERROR(__xludf.DUMMYFUNCTION("""COMPUTED_VALUE"""),7.0)</f>
        <v>7</v>
      </c>
      <c r="D217" s="122">
        <f>IFERROR(__xludf.DUMMYFUNCTION("""COMPUTED_VALUE"""),6.0)</f>
        <v>6</v>
      </c>
      <c r="E217" s="122">
        <f>IFERROR(__xludf.DUMMYFUNCTION("""COMPUTED_VALUE"""),0.0)</f>
        <v>0</v>
      </c>
      <c r="F217" s="122">
        <f>IFERROR(__xludf.DUMMYFUNCTION("""COMPUTED_VALUE"""),13.0)</f>
        <v>13</v>
      </c>
      <c r="G217" s="122">
        <f>IFERROR(__xludf.DUMMYFUNCTION("""COMPUTED_VALUE"""),2.0)</f>
        <v>2</v>
      </c>
    </row>
    <row r="218">
      <c r="A218" s="117">
        <f>IFERROR(__xludf.DUMMYFUNCTION("""COMPUTED_VALUE"""),9.0)</f>
        <v>9</v>
      </c>
      <c r="B218" s="33" t="str">
        <f>IFERROR(__xludf.DUMMYFUNCTION("""COMPUTED_VALUE"""),"Lam Bui")</f>
        <v>Lam Bui</v>
      </c>
      <c r="C218" s="122">
        <f>IFERROR(__xludf.DUMMYFUNCTION("""COMPUTED_VALUE"""),5.0)</f>
        <v>5</v>
      </c>
      <c r="D218" s="122">
        <f>IFERROR(__xludf.DUMMYFUNCTION("""COMPUTED_VALUE"""),6.0)</f>
        <v>6</v>
      </c>
      <c r="E218" s="122">
        <f>IFERROR(__xludf.DUMMYFUNCTION("""COMPUTED_VALUE"""),6.0)</f>
        <v>6</v>
      </c>
      <c r="F218" s="122">
        <f>IFERROR(__xludf.DUMMYFUNCTION("""COMPUTED_VALUE"""),17.0)</f>
        <v>17</v>
      </c>
      <c r="G218" s="122">
        <f>IFERROR(__xludf.DUMMYFUNCTION("""COMPUTED_VALUE"""),2.0)</f>
        <v>2</v>
      </c>
    </row>
    <row r="219">
      <c r="A219" s="117">
        <f>IFERROR(__xludf.DUMMYFUNCTION("""COMPUTED_VALUE"""),9.0)</f>
        <v>9</v>
      </c>
      <c r="B219" s="33" t="str">
        <f>IFERROR(__xludf.DUMMYFUNCTION("""COMPUTED_VALUE"""),"Sandeep Kamalon")</f>
        <v>Sandeep Kamalon</v>
      </c>
      <c r="C219" s="122">
        <f>IFERROR(__xludf.DUMMYFUNCTION("""COMPUTED_VALUE"""),7.0)</f>
        <v>7</v>
      </c>
      <c r="D219" s="122">
        <f>IFERROR(__xludf.DUMMYFUNCTION("""COMPUTED_VALUE"""),0.0)</f>
        <v>0</v>
      </c>
      <c r="E219" s="122">
        <f>IFERROR(__xludf.DUMMYFUNCTION("""COMPUTED_VALUE"""),6.0)</f>
        <v>6</v>
      </c>
      <c r="F219" s="122">
        <f>IFERROR(__xludf.DUMMYFUNCTION("""COMPUTED_VALUE"""),13.0)</f>
        <v>13</v>
      </c>
      <c r="G219" s="122">
        <f>IFERROR(__xludf.DUMMYFUNCTION("""COMPUTED_VALUE"""),2.0)</f>
        <v>2</v>
      </c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64"/>
      <c r="B231" s="124" t="s">
        <v>177</v>
      </c>
      <c r="C231" s="1"/>
      <c r="D231" s="105" t="s">
        <v>155</v>
      </c>
      <c r="E231" s="25"/>
      <c r="F231" s="26"/>
    </row>
    <row r="232">
      <c r="A232" s="126">
        <v>1.0</v>
      </c>
      <c r="B232" s="127" t="str">
        <f>IFERROR(__xludf.DUMMYFUNCTION("QUERY(B5:R69,""Select B where R = 'X' order by B asc"",0)"),"Adrian Tay")</f>
        <v>Adrian Tay</v>
      </c>
      <c r="C232" s="1"/>
      <c r="D232" s="128" t="str">
        <f>IFERROR(__xludf.DUMMYFUNCTION("QUERY(B5:R69,""Select B where R = '' order by B asc"",0)"),"#N/A")</f>
        <v>#N/A</v>
      </c>
      <c r="E232" s="25"/>
      <c r="F232" s="26"/>
    </row>
    <row r="233">
      <c r="A233" s="126">
        <f t="shared" ref="A233:A296" si="93">A232+1</f>
        <v>2</v>
      </c>
      <c r="B233" s="127" t="str">
        <f>IFERROR(__xludf.DUMMYFUNCTION("""COMPUTED_VALUE"""),"Alejandro Mejia")</f>
        <v>Alejandro Mejia</v>
      </c>
      <c r="C233" s="1"/>
      <c r="D233" s="128"/>
      <c r="E233" s="25"/>
      <c r="F233" s="26"/>
    </row>
    <row r="234">
      <c r="A234" s="126">
        <f t="shared" si="93"/>
        <v>3</v>
      </c>
      <c r="B234" s="127" t="str">
        <f>IFERROR(__xludf.DUMMYFUNCTION("""COMPUTED_VALUE"""),"Alex Hou")</f>
        <v>Alex Hou</v>
      </c>
      <c r="C234" s="1"/>
      <c r="D234" s="128"/>
      <c r="E234" s="25"/>
      <c r="F234" s="26"/>
    </row>
    <row r="235">
      <c r="A235" s="126">
        <f t="shared" si="93"/>
        <v>4</v>
      </c>
      <c r="B235" s="127" t="str">
        <f>IFERROR(__xludf.DUMMYFUNCTION("""COMPUTED_VALUE"""),"Allen Zhang")</f>
        <v>Allen Zhang</v>
      </c>
      <c r="C235" s="1"/>
      <c r="D235" s="128"/>
      <c r="E235" s="25"/>
      <c r="F235" s="26"/>
    </row>
    <row r="236">
      <c r="A236" s="126">
        <f t="shared" si="93"/>
        <v>5</v>
      </c>
      <c r="B236" s="127" t="str">
        <f>IFERROR(__xludf.DUMMYFUNCTION("""COMPUTED_VALUE"""),"Andrew Wen")</f>
        <v>Andrew Wen</v>
      </c>
      <c r="C236" s="1"/>
      <c r="D236" s="128"/>
      <c r="E236" s="25"/>
      <c r="F236" s="26"/>
    </row>
    <row r="237">
      <c r="A237" s="126">
        <f t="shared" si="93"/>
        <v>6</v>
      </c>
      <c r="B237" s="127" t="str">
        <f>IFERROR(__xludf.DUMMYFUNCTION("""COMPUTED_VALUE"""),"Balaji Alahari")</f>
        <v>Balaji Alahari</v>
      </c>
      <c r="C237" s="1"/>
      <c r="D237" s="128"/>
      <c r="E237" s="25"/>
      <c r="F237" s="26"/>
    </row>
    <row r="238">
      <c r="A238" s="126">
        <f t="shared" si="93"/>
        <v>7</v>
      </c>
      <c r="B238" s="127" t="str">
        <f>IFERROR(__xludf.DUMMYFUNCTION("""COMPUTED_VALUE"""),"Barathi Sundaram")</f>
        <v>Barathi Sundaram</v>
      </c>
      <c r="C238" s="1"/>
      <c r="D238" s="128"/>
      <c r="E238" s="25"/>
      <c r="F238" s="26"/>
    </row>
    <row r="239">
      <c r="A239" s="126">
        <f t="shared" si="93"/>
        <v>8</v>
      </c>
      <c r="B239" s="127" t="str">
        <f>IFERROR(__xludf.DUMMYFUNCTION("""COMPUTED_VALUE"""),"Basudev Thoppai Vidyasankar")</f>
        <v>Basudev Thoppai Vidyasankar</v>
      </c>
      <c r="C239" s="1"/>
      <c r="D239" s="128"/>
      <c r="E239" s="25"/>
      <c r="F239" s="26"/>
    </row>
    <row r="240">
      <c r="A240" s="126">
        <f t="shared" si="93"/>
        <v>9</v>
      </c>
      <c r="B240" s="127" t="str">
        <f>IFERROR(__xludf.DUMMYFUNCTION("""COMPUTED_VALUE"""),"Chinna Ponnaganti")</f>
        <v>Chinna Ponnaganti</v>
      </c>
      <c r="C240" s="1"/>
      <c r="D240" s="128"/>
      <c r="E240" s="25"/>
      <c r="F240" s="26"/>
    </row>
    <row r="241">
      <c r="A241" s="126">
        <f t="shared" si="93"/>
        <v>10</v>
      </c>
      <c r="B241" s="127" t="str">
        <f>IFERROR(__xludf.DUMMYFUNCTION("""COMPUTED_VALUE"""),"Cid Macaraeg")</f>
        <v>Cid Macaraeg</v>
      </c>
      <c r="C241" s="1"/>
      <c r="D241" s="128"/>
      <c r="E241" s="25"/>
      <c r="F241" s="26"/>
    </row>
    <row r="242">
      <c r="A242" s="126">
        <f t="shared" si="93"/>
        <v>11</v>
      </c>
      <c r="B242" s="127" t="str">
        <f>IFERROR(__xludf.DUMMYFUNCTION("""COMPUTED_VALUE"""),"Coco Yan")</f>
        <v>Coco Yan</v>
      </c>
      <c r="C242" s="1"/>
      <c r="D242" s="128"/>
      <c r="E242" s="25"/>
      <c r="F242" s="26"/>
    </row>
    <row r="243">
      <c r="A243" s="126">
        <f t="shared" si="93"/>
        <v>12</v>
      </c>
      <c r="B243" s="127" t="str">
        <f>IFERROR(__xludf.DUMMYFUNCTION("""COMPUTED_VALUE"""),"Darren Wong")</f>
        <v>Darren Wong</v>
      </c>
      <c r="C243" s="1"/>
      <c r="D243" s="128"/>
      <c r="E243" s="25"/>
      <c r="F243" s="26"/>
    </row>
    <row r="244">
      <c r="A244" s="126">
        <f t="shared" si="93"/>
        <v>13</v>
      </c>
      <c r="B244" s="127" t="str">
        <f>IFERROR(__xludf.DUMMYFUNCTION("""COMPUTED_VALUE"""),"David Shin")</f>
        <v>David Shin</v>
      </c>
      <c r="C244" s="1"/>
      <c r="D244" s="128"/>
      <c r="E244" s="25"/>
      <c r="F244" s="26"/>
    </row>
    <row r="245">
      <c r="A245" s="126">
        <f t="shared" si="93"/>
        <v>14</v>
      </c>
      <c r="B245" s="127" t="str">
        <f>IFERROR(__xludf.DUMMYFUNCTION("""COMPUTED_VALUE"""),"Elayaraja Thangaraj")</f>
        <v>Elayaraja Thangaraj</v>
      </c>
      <c r="C245" s="1"/>
      <c r="D245" s="128"/>
      <c r="E245" s="25"/>
      <c r="F245" s="26"/>
    </row>
    <row r="246">
      <c r="A246" s="126">
        <f t="shared" si="93"/>
        <v>15</v>
      </c>
      <c r="B246" s="127" t="str">
        <f>IFERROR(__xludf.DUMMYFUNCTION("""COMPUTED_VALUE"""),"Eric Pan")</f>
        <v>Eric Pan</v>
      </c>
      <c r="C246" s="1"/>
      <c r="D246" s="128"/>
      <c r="E246" s="25"/>
      <c r="F246" s="26"/>
    </row>
    <row r="247">
      <c r="A247" s="126">
        <f t="shared" si="93"/>
        <v>16</v>
      </c>
      <c r="B247" s="127" t="str">
        <f>IFERROR(__xludf.DUMMYFUNCTION("""COMPUTED_VALUE"""),"Eric Tan")</f>
        <v>Eric Tan</v>
      </c>
      <c r="C247" s="1"/>
      <c r="D247" s="128"/>
      <c r="E247" s="25"/>
      <c r="F247" s="26"/>
    </row>
    <row r="248">
      <c r="A248" s="126">
        <f t="shared" si="93"/>
        <v>17</v>
      </c>
      <c r="B248" s="127" t="str">
        <f>IFERROR(__xludf.DUMMYFUNCTION("""COMPUTED_VALUE"""),"Erik Hoeckmann")</f>
        <v>Erik Hoeckmann</v>
      </c>
      <c r="C248" s="1"/>
      <c r="D248" s="128"/>
      <c r="E248" s="25"/>
      <c r="F248" s="26"/>
    </row>
    <row r="249">
      <c r="A249" s="126">
        <f t="shared" si="93"/>
        <v>18</v>
      </c>
      <c r="B249" s="127" t="str">
        <f>IFERROR(__xludf.DUMMYFUNCTION("""COMPUTED_VALUE"""),"Ethan Gu")</f>
        <v>Ethan Gu</v>
      </c>
      <c r="C249" s="1"/>
      <c r="D249" s="128"/>
      <c r="E249" s="25"/>
      <c r="F249" s="26"/>
    </row>
    <row r="250">
      <c r="A250" s="126">
        <f t="shared" si="93"/>
        <v>19</v>
      </c>
      <c r="B250" s="127" t="str">
        <f>IFERROR(__xludf.DUMMYFUNCTION("""COMPUTED_VALUE"""),"Frank Moon")</f>
        <v>Frank Moon</v>
      </c>
      <c r="C250" s="1"/>
      <c r="D250" s="128"/>
      <c r="E250" s="25"/>
      <c r="F250" s="26"/>
    </row>
    <row r="251">
      <c r="A251" s="126">
        <f t="shared" si="93"/>
        <v>20</v>
      </c>
      <c r="B251" s="127" t="str">
        <f>IFERROR(__xludf.DUMMYFUNCTION("""COMPUTED_VALUE"""),"Herman Au")</f>
        <v>Herman Au</v>
      </c>
      <c r="C251" s="1"/>
      <c r="D251" s="128"/>
      <c r="E251" s="25"/>
      <c r="F251" s="26"/>
    </row>
    <row r="252">
      <c r="A252" s="126">
        <f t="shared" si="93"/>
        <v>21</v>
      </c>
      <c r="B252" s="127" t="str">
        <f>IFERROR(__xludf.DUMMYFUNCTION("""COMPUTED_VALUE"""),"Hongyuan Wen")</f>
        <v>Hongyuan Wen</v>
      </c>
      <c r="C252" s="1"/>
      <c r="D252" s="128"/>
      <c r="E252" s="25"/>
      <c r="F252" s="26"/>
    </row>
    <row r="253">
      <c r="A253" s="126">
        <f t="shared" si="93"/>
        <v>22</v>
      </c>
      <c r="B253" s="127" t="str">
        <f>IFERROR(__xludf.DUMMYFUNCTION("""COMPUTED_VALUE"""),"Hubert J Sung")</f>
        <v>Hubert J Sung</v>
      </c>
      <c r="C253" s="1"/>
      <c r="D253" s="128"/>
      <c r="E253" s="25"/>
      <c r="F253" s="26"/>
    </row>
    <row r="254">
      <c r="A254" s="126">
        <f t="shared" si="93"/>
        <v>23</v>
      </c>
      <c r="B254" s="127" t="str">
        <f>IFERROR(__xludf.DUMMYFUNCTION("""COMPUTED_VALUE"""),"James Phan")</f>
        <v>James Phan</v>
      </c>
      <c r="C254" s="1"/>
      <c r="D254" s="128"/>
      <c r="E254" s="25"/>
      <c r="F254" s="26"/>
    </row>
    <row r="255">
      <c r="A255" s="126">
        <f t="shared" si="93"/>
        <v>24</v>
      </c>
      <c r="B255" s="127" t="str">
        <f>IFERROR(__xludf.DUMMYFUNCTION("""COMPUTED_VALUE"""),"Jim Miao")</f>
        <v>Jim Miao</v>
      </c>
      <c r="C255" s="1"/>
      <c r="D255" s="128"/>
      <c r="E255" s="25"/>
      <c r="F255" s="26"/>
    </row>
    <row r="256">
      <c r="A256" s="126">
        <f t="shared" si="93"/>
        <v>25</v>
      </c>
      <c r="B256" s="127" t="str">
        <f>IFERROR(__xludf.DUMMYFUNCTION("""COMPUTED_VALUE"""),"Jimmy Awolesi")</f>
        <v>Jimmy Awolesi</v>
      </c>
      <c r="C256" s="1"/>
      <c r="D256" s="128"/>
      <c r="E256" s="25"/>
      <c r="F256" s="26"/>
    </row>
    <row r="257">
      <c r="A257" s="126">
        <f t="shared" si="93"/>
        <v>26</v>
      </c>
      <c r="B257" s="127" t="str">
        <f>IFERROR(__xludf.DUMMYFUNCTION("""COMPUTED_VALUE"""),"Joe Luzzi")</f>
        <v>Joe Luzzi</v>
      </c>
      <c r="C257" s="1"/>
      <c r="D257" s="128"/>
      <c r="E257" s="25"/>
      <c r="F257" s="26"/>
    </row>
    <row r="258">
      <c r="A258" s="126">
        <f t="shared" si="93"/>
        <v>27</v>
      </c>
      <c r="B258" s="127" t="str">
        <f>IFERROR(__xludf.DUMMYFUNCTION("""COMPUTED_VALUE"""),"Jonathan Phan")</f>
        <v>Jonathan Phan</v>
      </c>
      <c r="C258" s="1"/>
      <c r="D258" s="128"/>
      <c r="E258" s="25"/>
      <c r="F258" s="26"/>
    </row>
    <row r="259">
      <c r="A259" s="126">
        <f t="shared" si="93"/>
        <v>28</v>
      </c>
      <c r="B259" s="127" t="str">
        <f>IFERROR(__xludf.DUMMYFUNCTION("""COMPUTED_VALUE"""),"Joyce Zhu")</f>
        <v>Joyce Zhu</v>
      </c>
      <c r="C259" s="1"/>
      <c r="D259" s="128"/>
      <c r="E259" s="25"/>
      <c r="F259" s="26"/>
    </row>
    <row r="260">
      <c r="A260" s="126">
        <f t="shared" si="93"/>
        <v>29</v>
      </c>
      <c r="B260" s="127" t="str">
        <f>IFERROR(__xludf.DUMMYFUNCTION("""COMPUTED_VALUE"""),"Kumar Palakeel")</f>
        <v>Kumar Palakeel</v>
      </c>
      <c r="C260" s="1"/>
      <c r="D260" s="128"/>
      <c r="E260" s="25"/>
      <c r="F260" s="26"/>
    </row>
    <row r="261">
      <c r="A261" s="126">
        <f t="shared" si="93"/>
        <v>30</v>
      </c>
      <c r="B261" s="127" t="str">
        <f>IFERROR(__xludf.DUMMYFUNCTION("""COMPUTED_VALUE"""),"Lam Bui")</f>
        <v>Lam Bui</v>
      </c>
      <c r="C261" s="1"/>
      <c r="D261" s="128"/>
      <c r="E261" s="25"/>
      <c r="F261" s="26"/>
    </row>
    <row r="262">
      <c r="A262" s="126">
        <f t="shared" si="93"/>
        <v>31</v>
      </c>
      <c r="B262" s="127" t="str">
        <f>IFERROR(__xludf.DUMMYFUNCTION("""COMPUTED_VALUE"""),"Leigh-Anh Nguyen")</f>
        <v>Leigh-Anh Nguyen</v>
      </c>
      <c r="C262" s="1"/>
      <c r="D262" s="128"/>
      <c r="E262" s="25"/>
      <c r="F262" s="26"/>
    </row>
    <row r="263">
      <c r="A263" s="126">
        <f t="shared" si="93"/>
        <v>32</v>
      </c>
      <c r="B263" s="127" t="str">
        <f>IFERROR(__xludf.DUMMYFUNCTION("""COMPUTED_VALUE"""),"Lloyd Sagar")</f>
        <v>Lloyd Sagar</v>
      </c>
      <c r="C263" s="1"/>
      <c r="D263" s="128"/>
      <c r="E263" s="25"/>
      <c r="F263" s="26"/>
    </row>
    <row r="264">
      <c r="A264" s="126">
        <f t="shared" si="93"/>
        <v>33</v>
      </c>
      <c r="B264" s="127" t="str">
        <f>IFERROR(__xludf.DUMMYFUNCTION("""COMPUTED_VALUE"""),"Luis Hsu")</f>
        <v>Luis Hsu</v>
      </c>
      <c r="C264" s="1"/>
      <c r="D264" s="128"/>
      <c r="E264" s="25"/>
      <c r="F264" s="26"/>
    </row>
    <row r="265">
      <c r="A265" s="126">
        <f t="shared" si="93"/>
        <v>34</v>
      </c>
      <c r="B265" s="127" t="str">
        <f>IFERROR(__xludf.DUMMYFUNCTION("""COMPUTED_VALUE"""),"Manish Anand")</f>
        <v>Manish Anand</v>
      </c>
      <c r="C265" s="1"/>
      <c r="D265" s="128"/>
      <c r="E265" s="25"/>
      <c r="F265" s="26"/>
    </row>
    <row r="266">
      <c r="A266" s="126">
        <f t="shared" si="93"/>
        <v>35</v>
      </c>
      <c r="B266" s="127" t="str">
        <f>IFERROR(__xludf.DUMMYFUNCTION("""COMPUTED_VALUE"""),"Manuel Rivera")</f>
        <v>Manuel Rivera</v>
      </c>
      <c r="C266" s="1"/>
      <c r="D266" s="128"/>
      <c r="E266" s="25"/>
      <c r="F266" s="26"/>
    </row>
    <row r="267">
      <c r="A267" s="126">
        <f t="shared" si="93"/>
        <v>36</v>
      </c>
      <c r="B267" s="127" t="str">
        <f>IFERROR(__xludf.DUMMYFUNCTION("""COMPUTED_VALUE"""),"Matthew Huang")</f>
        <v>Matthew Huang</v>
      </c>
      <c r="C267" s="1"/>
      <c r="D267" s="128"/>
      <c r="E267" s="25"/>
      <c r="F267" s="26"/>
    </row>
    <row r="268">
      <c r="A268" s="126">
        <f t="shared" si="93"/>
        <v>37</v>
      </c>
      <c r="B268" s="127" t="str">
        <f>IFERROR(__xludf.DUMMYFUNCTION("""COMPUTED_VALUE"""),"Mauricio Palacios")</f>
        <v>Mauricio Palacios</v>
      </c>
      <c r="C268" s="1"/>
      <c r="D268" s="128"/>
      <c r="E268" s="25"/>
      <c r="F268" s="26"/>
    </row>
    <row r="269">
      <c r="A269" s="126">
        <f t="shared" si="93"/>
        <v>38</v>
      </c>
      <c r="B269" s="127" t="str">
        <f>IFERROR(__xludf.DUMMYFUNCTION("""COMPUTED_VALUE"""),"Naveen Raj")</f>
        <v>Naveen Raj</v>
      </c>
      <c r="C269" s="1"/>
      <c r="D269" s="128"/>
      <c r="E269" s="25"/>
      <c r="F269" s="26"/>
    </row>
    <row r="270">
      <c r="A270" s="126">
        <f t="shared" si="93"/>
        <v>39</v>
      </c>
      <c r="B270" s="127" t="str">
        <f>IFERROR(__xludf.DUMMYFUNCTION("""COMPUTED_VALUE"""),"Nicole Ni")</f>
        <v>Nicole Ni</v>
      </c>
      <c r="C270" s="1"/>
      <c r="D270" s="128"/>
      <c r="E270" s="25"/>
      <c r="F270" s="26"/>
    </row>
    <row r="271">
      <c r="A271" s="126">
        <f t="shared" si="93"/>
        <v>40</v>
      </c>
      <c r="B271" s="127" t="str">
        <f>IFERROR(__xludf.DUMMYFUNCTION("""COMPUTED_VALUE"""),"Oscar Bonilla")</f>
        <v>Oscar Bonilla</v>
      </c>
      <c r="C271" s="1"/>
      <c r="D271" s="128"/>
      <c r="E271" s="25"/>
      <c r="F271" s="26"/>
    </row>
    <row r="272">
      <c r="A272" s="126">
        <f t="shared" si="93"/>
        <v>41</v>
      </c>
      <c r="B272" s="127" t="str">
        <f>IFERROR(__xludf.DUMMYFUNCTION("""COMPUTED_VALUE"""),"Pavan Akkimsetty")</f>
        <v>Pavan Akkimsetty</v>
      </c>
      <c r="C272" s="1"/>
      <c r="D272" s="128"/>
      <c r="E272" s="25"/>
      <c r="F272" s="26"/>
    </row>
    <row r="273">
      <c r="A273" s="126">
        <f t="shared" si="93"/>
        <v>42</v>
      </c>
      <c r="B273" s="127" t="str">
        <f>IFERROR(__xludf.DUMMYFUNCTION("""COMPUTED_VALUE"""),"Pulkit Mathur")</f>
        <v>Pulkit Mathur</v>
      </c>
      <c r="C273" s="1"/>
      <c r="D273" s="128"/>
      <c r="E273" s="25"/>
      <c r="F273" s="26"/>
    </row>
    <row r="274">
      <c r="A274" s="126">
        <f t="shared" si="93"/>
        <v>43</v>
      </c>
      <c r="B274" s="127" t="str">
        <f>IFERROR(__xludf.DUMMYFUNCTION("""COMPUTED_VALUE"""),"Rajasekar Ramasamy")</f>
        <v>Rajasekar Ramasamy</v>
      </c>
      <c r="C274" s="1"/>
      <c r="D274" s="128"/>
      <c r="E274" s="25"/>
      <c r="F274" s="26"/>
    </row>
    <row r="275">
      <c r="A275" s="126">
        <f t="shared" si="93"/>
        <v>44</v>
      </c>
      <c r="B275" s="127" t="str">
        <f>IFERROR(__xludf.DUMMYFUNCTION("""COMPUTED_VALUE"""),"Rajesh Dorairaj")</f>
        <v>Rajesh Dorairaj</v>
      </c>
      <c r="C275" s="1"/>
      <c r="D275" s="128"/>
      <c r="E275" s="25"/>
      <c r="F275" s="26"/>
    </row>
    <row r="276">
      <c r="A276" s="126">
        <f t="shared" si="93"/>
        <v>45</v>
      </c>
      <c r="B276" s="127" t="str">
        <f>IFERROR(__xludf.DUMMYFUNCTION("""COMPUTED_VALUE"""),"Ramesh Bandaru")</f>
        <v>Ramesh Bandaru</v>
      </c>
      <c r="C276" s="1"/>
      <c r="D276" s="128"/>
      <c r="E276" s="25"/>
      <c r="F276" s="26"/>
    </row>
    <row r="277">
      <c r="A277" s="126">
        <f t="shared" si="93"/>
        <v>46</v>
      </c>
      <c r="B277" s="127" t="str">
        <f>IFERROR(__xludf.DUMMYFUNCTION("""COMPUTED_VALUE"""),"Robert Chang")</f>
        <v>Robert Chang</v>
      </c>
      <c r="C277" s="1"/>
      <c r="D277" s="128"/>
      <c r="E277" s="25"/>
      <c r="F277" s="26"/>
    </row>
    <row r="278">
      <c r="A278" s="126">
        <f t="shared" si="93"/>
        <v>47</v>
      </c>
      <c r="B278" s="127" t="str">
        <f>IFERROR(__xludf.DUMMYFUNCTION("""COMPUTED_VALUE"""),"Sandeep Kamalon")</f>
        <v>Sandeep Kamalon</v>
      </c>
      <c r="C278" s="1"/>
      <c r="D278" s="128"/>
      <c r="E278" s="25"/>
      <c r="F278" s="26"/>
    </row>
    <row r="279">
      <c r="A279" s="126">
        <f t="shared" si="93"/>
        <v>48</v>
      </c>
      <c r="B279" s="127" t="str">
        <f>IFERROR(__xludf.DUMMYFUNCTION("""COMPUTED_VALUE"""),"Sandy Weyant")</f>
        <v>Sandy Weyant</v>
      </c>
      <c r="C279" s="1"/>
      <c r="D279" s="128"/>
      <c r="E279" s="25"/>
      <c r="F279" s="26"/>
    </row>
    <row r="280">
      <c r="A280" s="126">
        <f t="shared" si="93"/>
        <v>49</v>
      </c>
      <c r="B280" s="127" t="str">
        <f>IFERROR(__xludf.DUMMYFUNCTION("""COMPUTED_VALUE"""),"Sanjaye Elayattu")</f>
        <v>Sanjaye Elayattu</v>
      </c>
      <c r="C280" s="1"/>
      <c r="D280" s="128"/>
      <c r="E280" s="25"/>
      <c r="F280" s="26"/>
    </row>
    <row r="281">
      <c r="A281" s="126">
        <f t="shared" si="93"/>
        <v>50</v>
      </c>
      <c r="B281" s="127" t="str">
        <f>IFERROR(__xludf.DUMMYFUNCTION("""COMPUTED_VALUE"""),"Santosh Sundaresan")</f>
        <v>Santosh Sundaresan</v>
      </c>
      <c r="C281" s="1"/>
      <c r="D281" s="128"/>
      <c r="E281" s="25"/>
      <c r="F281" s="26"/>
    </row>
    <row r="282">
      <c r="A282" s="126">
        <f t="shared" si="93"/>
        <v>51</v>
      </c>
      <c r="B282" s="127" t="str">
        <f>IFERROR(__xludf.DUMMYFUNCTION("""COMPUTED_VALUE"""),"Saravanan Veerapandian")</f>
        <v>Saravanan Veerapandian</v>
      </c>
      <c r="C282" s="1"/>
      <c r="D282" s="128"/>
      <c r="E282" s="25"/>
      <c r="F282" s="26"/>
    </row>
    <row r="283">
      <c r="A283" s="126">
        <f t="shared" si="93"/>
        <v>52</v>
      </c>
      <c r="B283" s="127" t="str">
        <f>IFERROR(__xludf.DUMMYFUNCTION("""COMPUTED_VALUE"""),"Scott Li")</f>
        <v>Scott Li</v>
      </c>
      <c r="C283" s="1"/>
      <c r="D283" s="128"/>
      <c r="E283" s="25"/>
      <c r="F283" s="26"/>
    </row>
    <row r="284">
      <c r="A284" s="126">
        <f t="shared" si="93"/>
        <v>53</v>
      </c>
      <c r="B284" s="127" t="str">
        <f>IFERROR(__xludf.DUMMYFUNCTION("""COMPUTED_VALUE"""),"Sean Chang")</f>
        <v>Sean Chang</v>
      </c>
      <c r="C284" s="1"/>
      <c r="D284" s="128"/>
      <c r="E284" s="25"/>
      <c r="F284" s="26"/>
    </row>
    <row r="285">
      <c r="A285" s="126">
        <f t="shared" si="93"/>
        <v>54</v>
      </c>
      <c r="B285" s="127" t="str">
        <f>IFERROR(__xludf.DUMMYFUNCTION("""COMPUTED_VALUE"""),"Suleman Alidina")</f>
        <v>Suleman Alidina</v>
      </c>
      <c r="C285" s="1"/>
      <c r="D285" s="128"/>
      <c r="E285" s="25"/>
      <c r="F285" s="26"/>
    </row>
    <row r="286">
      <c r="A286" s="126">
        <f t="shared" si="93"/>
        <v>55</v>
      </c>
      <c r="B286" s="127" t="str">
        <f>IFERROR(__xludf.DUMMYFUNCTION("""COMPUTED_VALUE"""),"Susanta Mishra")</f>
        <v>Susanta Mishra</v>
      </c>
      <c r="C286" s="1"/>
      <c r="D286" s="128"/>
      <c r="E286" s="25"/>
      <c r="F286" s="26"/>
    </row>
    <row r="287">
      <c r="A287" s="126">
        <f t="shared" si="93"/>
        <v>56</v>
      </c>
      <c r="B287" s="127" t="str">
        <f>IFERROR(__xludf.DUMMYFUNCTION("""COMPUTED_VALUE"""),"Ted Shen")</f>
        <v>Ted Shen</v>
      </c>
      <c r="C287" s="1"/>
      <c r="D287" s="128"/>
      <c r="E287" s="25"/>
      <c r="F287" s="26"/>
    </row>
    <row r="288">
      <c r="A288" s="126">
        <f t="shared" si="93"/>
        <v>57</v>
      </c>
      <c r="B288" s="127" t="str">
        <f>IFERROR(__xludf.DUMMYFUNCTION("""COMPUTED_VALUE"""),"Tina Hanson")</f>
        <v>Tina Hanson</v>
      </c>
      <c r="C288" s="1"/>
      <c r="D288" s="128"/>
      <c r="E288" s="25"/>
      <c r="F288" s="26"/>
    </row>
    <row r="289">
      <c r="A289" s="126">
        <f t="shared" si="93"/>
        <v>58</v>
      </c>
      <c r="B289" s="127" t="str">
        <f>IFERROR(__xludf.DUMMYFUNCTION("""COMPUTED_VALUE"""),"Tom Le")</f>
        <v>Tom Le</v>
      </c>
      <c r="C289" s="1"/>
      <c r="D289" s="128"/>
      <c r="E289" s="25"/>
      <c r="F289" s="26"/>
    </row>
    <row r="290">
      <c r="A290" s="126">
        <f t="shared" si="93"/>
        <v>59</v>
      </c>
      <c r="B290" s="127" t="str">
        <f>IFERROR(__xludf.DUMMYFUNCTION("""COMPUTED_VALUE"""),"Trish Newlin")</f>
        <v>Trish Newlin</v>
      </c>
      <c r="C290" s="1"/>
      <c r="D290" s="128"/>
      <c r="E290" s="25"/>
      <c r="F290" s="26"/>
    </row>
    <row r="291">
      <c r="A291" s="126">
        <f t="shared" si="93"/>
        <v>60</v>
      </c>
      <c r="B291" s="127" t="str">
        <f>IFERROR(__xludf.DUMMYFUNCTION("""COMPUTED_VALUE"""),"Troy Wong")</f>
        <v>Troy Wong</v>
      </c>
      <c r="C291" s="1"/>
      <c r="D291" s="128"/>
      <c r="E291" s="25"/>
      <c r="F291" s="26"/>
    </row>
    <row r="292">
      <c r="A292" s="126">
        <f t="shared" si="93"/>
        <v>61</v>
      </c>
      <c r="B292" s="127" t="str">
        <f>IFERROR(__xludf.DUMMYFUNCTION("""COMPUTED_VALUE"""),"Vicki Martinet")</f>
        <v>Vicki Martinet</v>
      </c>
      <c r="C292" s="1"/>
      <c r="D292" s="128"/>
      <c r="E292" s="25"/>
      <c r="F292" s="26"/>
    </row>
    <row r="293">
      <c r="A293" s="126">
        <f t="shared" si="93"/>
        <v>62</v>
      </c>
      <c r="B293" s="127" t="str">
        <f>IFERROR(__xludf.DUMMYFUNCTION("""COMPUTED_VALUE"""),"Vinaya Kajla")</f>
        <v>Vinaya Kajla</v>
      </c>
      <c r="C293" s="1"/>
      <c r="D293" s="128"/>
      <c r="E293" s="25"/>
      <c r="F293" s="26"/>
    </row>
    <row r="294">
      <c r="A294" s="126">
        <f t="shared" si="93"/>
        <v>63</v>
      </c>
      <c r="B294" s="127" t="str">
        <f>IFERROR(__xludf.DUMMYFUNCTION("""COMPUTED_VALUE"""),"Vishnu Amarnath")</f>
        <v>Vishnu Amarnath</v>
      </c>
      <c r="C294" s="1"/>
      <c r="D294" s="128"/>
      <c r="E294" s="25"/>
      <c r="F294" s="26"/>
    </row>
    <row r="295">
      <c r="A295" s="126">
        <f t="shared" si="93"/>
        <v>64</v>
      </c>
      <c r="B295" s="127" t="str">
        <f>IFERROR(__xludf.DUMMYFUNCTION("""COMPUTED_VALUE"""),"Wayne Liu")</f>
        <v>Wayne Liu</v>
      </c>
      <c r="C295" s="1"/>
      <c r="D295" s="128"/>
      <c r="E295" s="25"/>
      <c r="F295" s="26"/>
    </row>
    <row r="296">
      <c r="A296" s="126">
        <f t="shared" si="93"/>
        <v>65</v>
      </c>
      <c r="B296" s="127"/>
      <c r="C296" s="1"/>
      <c r="D296" s="128"/>
      <c r="E296" s="25"/>
      <c r="F296" s="26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84"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90:F290"/>
    <mergeCell ref="D291:F291"/>
    <mergeCell ref="D292:F292"/>
    <mergeCell ref="D293:F293"/>
    <mergeCell ref="D294:F294"/>
    <mergeCell ref="D295:F295"/>
    <mergeCell ref="D296:F296"/>
    <mergeCell ref="D283:F283"/>
    <mergeCell ref="D284:F284"/>
    <mergeCell ref="D285:F285"/>
    <mergeCell ref="D286:F286"/>
    <mergeCell ref="D287:F287"/>
    <mergeCell ref="D288:F288"/>
    <mergeCell ref="D289:F289"/>
    <mergeCell ref="C1:F1"/>
    <mergeCell ref="I1:K1"/>
    <mergeCell ref="L1:M1"/>
    <mergeCell ref="B2:C2"/>
    <mergeCell ref="C3:E3"/>
    <mergeCell ref="F3:M3"/>
    <mergeCell ref="N3:O3"/>
    <mergeCell ref="P73:R73"/>
    <mergeCell ref="P74:Q74"/>
    <mergeCell ref="B75:J75"/>
    <mergeCell ref="P75:Q75"/>
    <mergeCell ref="P76:Q76"/>
    <mergeCell ref="P77:Q77"/>
    <mergeCell ref="B78:E78"/>
    <mergeCell ref="B97:G97"/>
    <mergeCell ref="A115:E115"/>
    <mergeCell ref="B131:C131"/>
    <mergeCell ref="A150:B15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4.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  <col customWidth="1" min="12" max="12" width="23.63"/>
    <col customWidth="1" min="13" max="13" width="18.0"/>
    <col customWidth="1" min="14" max="14" width="16.25"/>
    <col customWidth="1" min="15" max="17" width="4.88"/>
    <col customWidth="1" min="18" max="18" width="5.25"/>
    <col customWidth="1" min="22" max="22" width="16.0"/>
    <col customWidth="1" min="24" max="24" width="5.13"/>
    <col customWidth="1" min="26" max="26" width="13.0"/>
  </cols>
  <sheetData>
    <row r="1">
      <c r="A1" s="3" t="s">
        <v>1</v>
      </c>
      <c r="B1" s="5" t="s">
        <v>0</v>
      </c>
      <c r="C1" s="7" t="s">
        <v>5</v>
      </c>
      <c r="D1" s="7" t="s">
        <v>7</v>
      </c>
      <c r="E1" s="7" t="s">
        <v>10</v>
      </c>
      <c r="F1" s="7" t="s">
        <v>12</v>
      </c>
      <c r="G1" s="7" t="s">
        <v>14</v>
      </c>
      <c r="H1" s="7" t="s">
        <v>16</v>
      </c>
      <c r="I1" s="7" t="s">
        <v>18</v>
      </c>
      <c r="J1" s="7" t="s">
        <v>7</v>
      </c>
      <c r="K1" s="5" t="s">
        <v>1</v>
      </c>
      <c r="L1" s="7" t="s">
        <v>20</v>
      </c>
      <c r="M1" s="12" t="s">
        <v>21</v>
      </c>
      <c r="O1" s="7" t="s">
        <v>12</v>
      </c>
      <c r="P1" s="7" t="s">
        <v>14</v>
      </c>
      <c r="Q1" s="7" t="s">
        <v>16</v>
      </c>
      <c r="R1" s="7" t="s">
        <v>7</v>
      </c>
      <c r="S1" s="14"/>
      <c r="T1" s="14"/>
      <c r="U1" s="14" t="s">
        <v>12</v>
      </c>
      <c r="V1" s="14" t="s">
        <v>14</v>
      </c>
      <c r="W1" s="14" t="s">
        <v>14</v>
      </c>
      <c r="X1" s="14"/>
      <c r="Y1" s="14" t="s">
        <v>24</v>
      </c>
      <c r="AB1" s="14" t="s">
        <v>12</v>
      </c>
      <c r="AC1" s="14" t="s">
        <v>14</v>
      </c>
      <c r="AD1" s="14" t="s">
        <v>14</v>
      </c>
    </row>
    <row r="2">
      <c r="A2" s="19">
        <v>1.0</v>
      </c>
      <c r="B2" s="22" t="str">
        <f>IFERROR(__xludf.DUMMYFUNCTION("QUERY(indirect(""'"" &amp; ""Current"" &amp; ""'!B5:F69""),""Select B, C, D, F where F = 1 or F = 2 "",0)"),"Pulkit Mathur")</f>
        <v>Pulkit Mathur</v>
      </c>
      <c r="C2" s="24">
        <f>IFERROR(__xludf.DUMMYFUNCTION("""COMPUTED_VALUE"""),311.0)</f>
        <v>311</v>
      </c>
      <c r="D2" s="24">
        <f>IFERROR(__xludf.DUMMYFUNCTION("""COMPUTED_VALUE"""),31.0)</f>
        <v>31</v>
      </c>
      <c r="E2" s="27">
        <f>IFERROR(__xludf.DUMMYFUNCTION("""COMPUTED_VALUE"""),1.0)</f>
        <v>1</v>
      </c>
      <c r="F2" s="19">
        <v>6.0</v>
      </c>
      <c r="G2" s="19">
        <v>6.0</v>
      </c>
      <c r="H2" s="19">
        <v>5.0</v>
      </c>
      <c r="I2" s="19">
        <f t="shared" ref="I2:I65" si="4">sum(F2:H2)</f>
        <v>17</v>
      </c>
      <c r="J2" s="19">
        <v>1.0</v>
      </c>
      <c r="K2" s="19">
        <f t="shared" ref="K2:K65" si="5">A2</f>
        <v>1</v>
      </c>
      <c r="L2" s="16"/>
      <c r="M2" s="19"/>
      <c r="O2" s="16">
        <f t="shared" ref="O2:Q2" si="1">if(F2=max(F$2:F$5),1,0)</f>
        <v>1</v>
      </c>
      <c r="P2" s="16">
        <f t="shared" si="1"/>
        <v>0</v>
      </c>
      <c r="Q2" s="16">
        <f t="shared" si="1"/>
        <v>0</v>
      </c>
      <c r="R2" s="16">
        <f t="shared" ref="R2:R45" si="7">sum(O2:Q2)</f>
        <v>1</v>
      </c>
      <c r="U2" s="22" t="str">
        <f t="shared" ref="U2:W2" si="2">if(COUNTIF(AB2:AB4,"Good")=2,"Good","Error")</f>
        <v>Good</v>
      </c>
      <c r="V2" s="22" t="str">
        <f t="shared" si="2"/>
        <v>Good</v>
      </c>
      <c r="W2" s="22" t="str">
        <f t="shared" si="2"/>
        <v>Good</v>
      </c>
      <c r="Y2" s="22">
        <f>sum(J2:J5)</f>
        <v>6</v>
      </c>
      <c r="Z2" s="22" t="str">
        <f>if(Y2=0,"",if(Y2=6,"Good","ERROR"))</f>
        <v>Good</v>
      </c>
      <c r="AB2" s="22" t="str">
        <f t="shared" ref="AB2:AD2" si="3">if(isna(VLOOKUP(F2,F3:F5,1,false)),"Error","Good")</f>
        <v>Good</v>
      </c>
      <c r="AC2" s="22" t="str">
        <f t="shared" si="3"/>
        <v>Good</v>
      </c>
      <c r="AD2" s="22" t="str">
        <f t="shared" si="3"/>
        <v>Good</v>
      </c>
    </row>
    <row r="3">
      <c r="A3" s="19">
        <v>1.0</v>
      </c>
      <c r="B3" s="16" t="str">
        <f>IFERROR(__xludf.DUMMYFUNCTION("""COMPUTED_VALUE"""),"David Shin")</f>
        <v>David Shin</v>
      </c>
      <c r="C3" s="24">
        <f>IFERROR(__xludf.DUMMYFUNCTION("""COMPUTED_VALUE"""),303.0)</f>
        <v>303</v>
      </c>
      <c r="D3" s="24">
        <f>IFERROR(__xludf.DUMMYFUNCTION("""COMPUTED_VALUE"""),27.0)</f>
        <v>27</v>
      </c>
      <c r="E3" s="27">
        <f>IFERROR(__xludf.DUMMYFUNCTION("""COMPUTED_VALUE"""),1.0)</f>
        <v>1</v>
      </c>
      <c r="F3" s="19">
        <v>3.0</v>
      </c>
      <c r="G3" s="19">
        <v>6.0</v>
      </c>
      <c r="H3" s="19">
        <v>7.0</v>
      </c>
      <c r="I3" s="19">
        <f t="shared" si="4"/>
        <v>16</v>
      </c>
      <c r="J3" s="19">
        <v>1.0</v>
      </c>
      <c r="K3" s="19">
        <f t="shared" si="5"/>
        <v>1</v>
      </c>
      <c r="L3" s="16"/>
      <c r="M3" s="19"/>
      <c r="O3" s="16">
        <f t="shared" ref="O3:Q3" si="6">if(F3=max(F$2:F$5),1,0)</f>
        <v>0</v>
      </c>
      <c r="P3" s="16">
        <f t="shared" si="6"/>
        <v>0</v>
      </c>
      <c r="Q3" s="16">
        <f t="shared" si="6"/>
        <v>1</v>
      </c>
      <c r="R3" s="16">
        <f t="shared" si="7"/>
        <v>1</v>
      </c>
      <c r="AB3" s="22" t="str">
        <f t="shared" ref="AB3:AD3" si="8">if(isna(VLOOKUP(F3,F4:F5,1,false)),"Error","Good")</f>
        <v>Good</v>
      </c>
      <c r="AC3" s="22" t="str">
        <f t="shared" si="8"/>
        <v>Error</v>
      </c>
      <c r="AD3" s="22" t="str">
        <f t="shared" si="8"/>
        <v>Good</v>
      </c>
      <c r="AJ3" s="22" t="s">
        <v>47</v>
      </c>
    </row>
    <row r="4">
      <c r="A4" s="19">
        <v>1.0</v>
      </c>
      <c r="B4" s="16" t="str">
        <f>IFERROR(__xludf.DUMMYFUNCTION("""COMPUTED_VALUE"""),"Ethan Gu")</f>
        <v>Ethan Gu</v>
      </c>
      <c r="C4" s="24">
        <f>IFERROR(__xludf.DUMMYFUNCTION("""COMPUTED_VALUE"""),301.0)</f>
        <v>301</v>
      </c>
      <c r="D4" s="24">
        <f>IFERROR(__xludf.DUMMYFUNCTION("""COMPUTED_VALUE"""),31.0)</f>
        <v>31</v>
      </c>
      <c r="E4" s="27">
        <f>IFERROR(__xludf.DUMMYFUNCTION("""COMPUTED_VALUE"""),1.0)</f>
        <v>1</v>
      </c>
      <c r="F4" s="19">
        <v>3.0</v>
      </c>
      <c r="G4" s="19">
        <v>7.0</v>
      </c>
      <c r="H4" s="19">
        <v>5.0</v>
      </c>
      <c r="I4" s="19">
        <f t="shared" si="4"/>
        <v>15</v>
      </c>
      <c r="J4" s="19">
        <v>1.0</v>
      </c>
      <c r="K4" s="19">
        <f t="shared" si="5"/>
        <v>1</v>
      </c>
      <c r="L4" s="16"/>
      <c r="M4" s="19"/>
      <c r="O4" s="16">
        <f t="shared" ref="O4:Q4" si="9">if(F4=max(F$2:F$5),1,0)</f>
        <v>0</v>
      </c>
      <c r="P4" s="16">
        <f t="shared" si="9"/>
        <v>1</v>
      </c>
      <c r="Q4" s="16">
        <f t="shared" si="9"/>
        <v>0</v>
      </c>
      <c r="R4" s="16">
        <f t="shared" si="7"/>
        <v>1</v>
      </c>
      <c r="AB4" s="22" t="b">
        <f t="shared" ref="AB4:AD4" si="10">if(F4=F5,"Good")</f>
        <v>0</v>
      </c>
      <c r="AC4" s="22" t="str">
        <f t="shared" si="10"/>
        <v>Good</v>
      </c>
      <c r="AD4" s="22" t="b">
        <f t="shared" si="10"/>
        <v>0</v>
      </c>
      <c r="AJ4" s="22" t="s">
        <v>49</v>
      </c>
    </row>
    <row r="5">
      <c r="A5" s="19">
        <v>1.0</v>
      </c>
      <c r="B5" s="16" t="str">
        <f>IFERROR(__xludf.DUMMYFUNCTION("""COMPUTED_VALUE"""),"Joe Luzzi")</f>
        <v>Joe Luzzi</v>
      </c>
      <c r="C5" s="24">
        <f>IFERROR(__xludf.DUMMYFUNCTION("""COMPUTED_VALUE"""),300.0)</f>
        <v>300</v>
      </c>
      <c r="D5" s="24">
        <f>IFERROR(__xludf.DUMMYFUNCTION("""COMPUTED_VALUE"""),21.0)</f>
        <v>21</v>
      </c>
      <c r="E5" s="27">
        <f>IFERROR(__xludf.DUMMYFUNCTION("""COMPUTED_VALUE"""),1.0)</f>
        <v>1</v>
      </c>
      <c r="F5" s="19">
        <v>6.0</v>
      </c>
      <c r="G5" s="19">
        <v>7.0</v>
      </c>
      <c r="H5" s="19">
        <v>7.0</v>
      </c>
      <c r="I5" s="19">
        <f t="shared" si="4"/>
        <v>20</v>
      </c>
      <c r="J5" s="19">
        <v>3.0</v>
      </c>
      <c r="K5" s="19">
        <f t="shared" si="5"/>
        <v>1</v>
      </c>
      <c r="L5" s="19" t="s">
        <v>50</v>
      </c>
      <c r="M5" s="16"/>
      <c r="O5" s="16">
        <f t="shared" ref="O5:Q5" si="11">if(F5=max(F$2:F$5),1,0)</f>
        <v>1</v>
      </c>
      <c r="P5" s="16">
        <f t="shared" si="11"/>
        <v>1</v>
      </c>
      <c r="Q5" s="16">
        <f t="shared" si="11"/>
        <v>1</v>
      </c>
      <c r="R5" s="16">
        <f t="shared" si="7"/>
        <v>3</v>
      </c>
      <c r="AJ5" s="22" t="s">
        <v>51</v>
      </c>
    </row>
    <row r="6">
      <c r="A6" s="43">
        <v>2.0</v>
      </c>
      <c r="B6" s="44" t="str">
        <f>IFERROR(__xludf.DUMMYFUNCTION("""COMPUTED_VALUE"""),"Suleman Alidina")</f>
        <v>Suleman Alidina</v>
      </c>
      <c r="C6" s="45">
        <f>IFERROR(__xludf.DUMMYFUNCTION("""COMPUTED_VALUE"""),293.0)</f>
        <v>293</v>
      </c>
      <c r="D6" s="45">
        <f>IFERROR(__xludf.DUMMYFUNCTION("""COMPUTED_VALUE"""),29.0)</f>
        <v>29</v>
      </c>
      <c r="E6" s="46">
        <f>IFERROR(__xludf.DUMMYFUNCTION("""COMPUTED_VALUE"""),2.0)</f>
        <v>2</v>
      </c>
      <c r="F6" s="43"/>
      <c r="G6" s="43"/>
      <c r="H6" s="43"/>
      <c r="I6" s="43">
        <f t="shared" si="4"/>
        <v>0</v>
      </c>
      <c r="J6" s="43"/>
      <c r="K6" s="43">
        <f t="shared" si="5"/>
        <v>2</v>
      </c>
      <c r="L6" s="44"/>
      <c r="M6" s="43"/>
      <c r="O6" s="44">
        <f t="shared" ref="O6:Q6" si="12">if(F6=max(F$6:F$9),1,0)</f>
        <v>1</v>
      </c>
      <c r="P6" s="44">
        <f t="shared" si="12"/>
        <v>1</v>
      </c>
      <c r="Q6" s="44">
        <f t="shared" si="12"/>
        <v>1</v>
      </c>
      <c r="R6" s="44">
        <f t="shared" si="7"/>
        <v>3</v>
      </c>
      <c r="U6" s="22" t="str">
        <f t="shared" ref="U6:W6" si="13">if(COUNTIF(AB6:AB8,"Good")=2,"Good","Error")</f>
        <v>Error</v>
      </c>
      <c r="V6" s="22" t="str">
        <f t="shared" si="13"/>
        <v>Error</v>
      </c>
      <c r="W6" s="22" t="str">
        <f t="shared" si="13"/>
        <v>Error</v>
      </c>
      <c r="Y6" s="22">
        <f>sum(J6:J9)</f>
        <v>0</v>
      </c>
      <c r="Z6" s="22" t="str">
        <f>if(Y6=0,"",if(Y6=6,"Good","ERROR"))</f>
        <v/>
      </c>
      <c r="AB6" s="22" t="str">
        <f t="shared" ref="AB6:AD6" si="14">if(isna(VLOOKUP(F6,F7:F9,1,false)),"Error","Good")</f>
        <v>Error</v>
      </c>
      <c r="AC6" s="22" t="str">
        <f t="shared" si="14"/>
        <v>Error</v>
      </c>
      <c r="AD6" s="22" t="str">
        <f t="shared" si="14"/>
        <v>Error</v>
      </c>
      <c r="AJ6" s="22" t="s">
        <v>54</v>
      </c>
    </row>
    <row r="7">
      <c r="A7" s="43">
        <v>2.0</v>
      </c>
      <c r="B7" s="44" t="str">
        <f>IFERROR(__xludf.DUMMYFUNCTION("""COMPUTED_VALUE"""),"Tina Hanson")</f>
        <v>Tina Hanson</v>
      </c>
      <c r="C7" s="45">
        <f>IFERROR(__xludf.DUMMYFUNCTION("""COMPUTED_VALUE"""),292.0)</f>
        <v>292</v>
      </c>
      <c r="D7" s="45">
        <f>IFERROR(__xludf.DUMMYFUNCTION("""COMPUTED_VALUE"""),29.0)</f>
        <v>29</v>
      </c>
      <c r="E7" s="46">
        <f>IFERROR(__xludf.DUMMYFUNCTION("""COMPUTED_VALUE"""),1.0)</f>
        <v>1</v>
      </c>
      <c r="F7" s="43"/>
      <c r="G7" s="43"/>
      <c r="H7" s="43"/>
      <c r="I7" s="43">
        <f t="shared" si="4"/>
        <v>0</v>
      </c>
      <c r="J7" s="43"/>
      <c r="K7" s="43">
        <f t="shared" si="5"/>
        <v>2</v>
      </c>
      <c r="L7" s="44"/>
      <c r="M7" s="44"/>
      <c r="O7" s="44">
        <f t="shared" ref="O7:Q7" si="15">if(F7=max(F$6:F$9),1,0)</f>
        <v>1</v>
      </c>
      <c r="P7" s="44">
        <f t="shared" si="15"/>
        <v>1</v>
      </c>
      <c r="Q7" s="44">
        <f t="shared" si="15"/>
        <v>1</v>
      </c>
      <c r="R7" s="44">
        <f t="shared" si="7"/>
        <v>3</v>
      </c>
      <c r="AB7" s="22" t="str">
        <f t="shared" ref="AB7:AD7" si="16">if(isna(VLOOKUP(F7,F8:F9,1,false)),"Error","Good")</f>
        <v>Error</v>
      </c>
      <c r="AC7" s="22" t="str">
        <f t="shared" si="16"/>
        <v>Error</v>
      </c>
      <c r="AD7" s="22" t="str">
        <f t="shared" si="16"/>
        <v>Error</v>
      </c>
    </row>
    <row r="8">
      <c r="A8" s="43">
        <v>2.0</v>
      </c>
      <c r="B8" s="47" t="str">
        <f>IFERROR(__xludf.DUMMYFUNCTION("""COMPUTED_VALUE"""),"Naveen Raj")</f>
        <v>Naveen Raj</v>
      </c>
      <c r="C8" s="45">
        <f>IFERROR(__xludf.DUMMYFUNCTION("""COMPUTED_VALUE"""),288.0)</f>
        <v>288</v>
      </c>
      <c r="D8" s="45">
        <f>IFERROR(__xludf.DUMMYFUNCTION("""COMPUTED_VALUE"""),29.0)</f>
        <v>29</v>
      </c>
      <c r="E8" s="46">
        <f>IFERROR(__xludf.DUMMYFUNCTION("""COMPUTED_VALUE"""),1.0)</f>
        <v>1</v>
      </c>
      <c r="F8" s="43"/>
      <c r="G8" s="43"/>
      <c r="H8" s="43"/>
      <c r="I8" s="43">
        <f t="shared" si="4"/>
        <v>0</v>
      </c>
      <c r="J8" s="43"/>
      <c r="K8" s="43">
        <f t="shared" si="5"/>
        <v>2</v>
      </c>
      <c r="L8" s="44"/>
      <c r="M8" s="44"/>
      <c r="O8" s="44">
        <f t="shared" ref="O8:Q8" si="17">if(F8=max(F$6:F$9),1,0)</f>
        <v>1</v>
      </c>
      <c r="P8" s="44">
        <f t="shared" si="17"/>
        <v>1</v>
      </c>
      <c r="Q8" s="44">
        <f t="shared" si="17"/>
        <v>1</v>
      </c>
      <c r="R8" s="44">
        <f t="shared" si="7"/>
        <v>3</v>
      </c>
      <c r="AB8" s="22" t="str">
        <f t="shared" ref="AB8:AD8" si="18">if(F8=F9,"Good")</f>
        <v>Good</v>
      </c>
      <c r="AC8" s="22" t="str">
        <f t="shared" si="18"/>
        <v>Good</v>
      </c>
      <c r="AD8" s="22" t="str">
        <f t="shared" si="18"/>
        <v>Good</v>
      </c>
    </row>
    <row r="9">
      <c r="A9" s="43">
        <v>2.0</v>
      </c>
      <c r="B9" s="44" t="str">
        <f>IFERROR(__xludf.DUMMYFUNCTION("""COMPUTED_VALUE"""),"Ted Shen")</f>
        <v>Ted Shen</v>
      </c>
      <c r="C9" s="45">
        <f>IFERROR(__xludf.DUMMYFUNCTION("""COMPUTED_VALUE"""),286.0)</f>
        <v>286</v>
      </c>
      <c r="D9" s="45">
        <f>IFERROR(__xludf.DUMMYFUNCTION("""COMPUTED_VALUE"""),27.0)</f>
        <v>27</v>
      </c>
      <c r="E9" s="46">
        <f>IFERROR(__xludf.DUMMYFUNCTION("""COMPUTED_VALUE"""),1.0)</f>
        <v>1</v>
      </c>
      <c r="F9" s="43"/>
      <c r="G9" s="43"/>
      <c r="H9" s="43"/>
      <c r="I9" s="43">
        <f t="shared" si="4"/>
        <v>0</v>
      </c>
      <c r="J9" s="43"/>
      <c r="K9" s="43">
        <f t="shared" si="5"/>
        <v>2</v>
      </c>
      <c r="L9" s="43"/>
      <c r="M9" s="44"/>
      <c r="O9" s="44">
        <f t="shared" ref="O9:Q9" si="19">if(F9=max(F$6:F$9),1,0)</f>
        <v>1</v>
      </c>
      <c r="P9" s="44">
        <f t="shared" si="19"/>
        <v>1</v>
      </c>
      <c r="Q9" s="44">
        <f t="shared" si="19"/>
        <v>1</v>
      </c>
      <c r="R9" s="44">
        <f t="shared" si="7"/>
        <v>3</v>
      </c>
    </row>
    <row r="10">
      <c r="A10" s="19">
        <v>3.0</v>
      </c>
      <c r="B10" s="16" t="str">
        <f>IFERROR(__xludf.DUMMYFUNCTION("""COMPUTED_VALUE"""),"Mauricio Palacios")</f>
        <v>Mauricio Palacios</v>
      </c>
      <c r="C10" s="24">
        <f>IFERROR(__xludf.DUMMYFUNCTION("""COMPUTED_VALUE"""),286.0)</f>
        <v>286</v>
      </c>
      <c r="D10" s="24">
        <f>IFERROR(__xludf.DUMMYFUNCTION("""COMPUTED_VALUE"""),22.0)</f>
        <v>22</v>
      </c>
      <c r="E10" s="27">
        <f>IFERROR(__xludf.DUMMYFUNCTION("""COMPUTED_VALUE"""),1.0)</f>
        <v>1</v>
      </c>
      <c r="F10" s="19"/>
      <c r="G10" s="19"/>
      <c r="H10" s="19"/>
      <c r="I10" s="19">
        <f t="shared" si="4"/>
        <v>0</v>
      </c>
      <c r="J10" s="19"/>
      <c r="K10" s="19">
        <f t="shared" si="5"/>
        <v>3</v>
      </c>
      <c r="L10" s="16"/>
      <c r="M10" s="19"/>
      <c r="O10" s="16">
        <f t="shared" ref="O10:Q10" si="20">if(F10=max(F$10:F$13),1,0)</f>
        <v>1</v>
      </c>
      <c r="P10" s="16">
        <f t="shared" si="20"/>
        <v>1</v>
      </c>
      <c r="Q10" s="16">
        <f t="shared" si="20"/>
        <v>1</v>
      </c>
      <c r="R10" s="16">
        <f t="shared" si="7"/>
        <v>3</v>
      </c>
      <c r="U10" s="22" t="str">
        <f t="shared" ref="U10:W10" si="21">if(COUNTIF(AB10:AB12,"Good")=2,"Good","Error")</f>
        <v>Error</v>
      </c>
      <c r="V10" s="22" t="str">
        <f t="shared" si="21"/>
        <v>Error</v>
      </c>
      <c r="W10" s="22" t="str">
        <f t="shared" si="21"/>
        <v>Error</v>
      </c>
      <c r="Y10" s="22">
        <f>sum(J10:J13)</f>
        <v>0</v>
      </c>
      <c r="Z10" s="22" t="str">
        <f>if(Y10=0,"",if(Y10=6,"Good","ERROR"))</f>
        <v/>
      </c>
      <c r="AB10" s="22" t="str">
        <f t="shared" ref="AB10:AD10" si="22">if(isna(VLOOKUP(F10,F11:F13,1,false)),"Error","Good")</f>
        <v>Error</v>
      </c>
      <c r="AC10" s="22" t="str">
        <f t="shared" si="22"/>
        <v>Error</v>
      </c>
      <c r="AD10" s="22" t="str">
        <f t="shared" si="22"/>
        <v>Error</v>
      </c>
    </row>
    <row r="11">
      <c r="A11" s="19">
        <v>3.0</v>
      </c>
      <c r="B11" s="16" t="str">
        <f>IFERROR(__xludf.DUMMYFUNCTION("""COMPUTED_VALUE"""),"Elayaraja Thangaraj")</f>
        <v>Elayaraja Thangaraj</v>
      </c>
      <c r="C11" s="24">
        <f>IFERROR(__xludf.DUMMYFUNCTION("""COMPUTED_VALUE"""),286.0)</f>
        <v>286</v>
      </c>
      <c r="D11" s="24">
        <f>IFERROR(__xludf.DUMMYFUNCTION("""COMPUTED_VALUE"""),21.0)</f>
        <v>21</v>
      </c>
      <c r="E11" s="27">
        <f>IFERROR(__xludf.DUMMYFUNCTION("""COMPUTED_VALUE"""),1.0)</f>
        <v>1</v>
      </c>
      <c r="F11" s="19"/>
      <c r="G11" s="19"/>
      <c r="H11" s="19"/>
      <c r="I11" s="19">
        <f t="shared" si="4"/>
        <v>0</v>
      </c>
      <c r="J11" s="19"/>
      <c r="K11" s="19">
        <f t="shared" si="5"/>
        <v>3</v>
      </c>
      <c r="L11" s="16"/>
      <c r="M11" s="16"/>
      <c r="O11" s="16">
        <f t="shared" ref="O11:Q11" si="23">if(F11=max(F$10:F$13),1,0)</f>
        <v>1</v>
      </c>
      <c r="P11" s="16">
        <f t="shared" si="23"/>
        <v>1</v>
      </c>
      <c r="Q11" s="16">
        <f t="shared" si="23"/>
        <v>1</v>
      </c>
      <c r="R11" s="16">
        <f t="shared" si="7"/>
        <v>3</v>
      </c>
      <c r="AB11" s="22" t="str">
        <f t="shared" ref="AB11:AD11" si="24">if(isna(VLOOKUP(F11,F12:F13,1,false)),"Error","Good")</f>
        <v>Error</v>
      </c>
      <c r="AC11" s="22" t="str">
        <f t="shared" si="24"/>
        <v>Error</v>
      </c>
      <c r="AD11" s="22" t="str">
        <f t="shared" si="24"/>
        <v>Error</v>
      </c>
      <c r="AJ11" s="22" t="s">
        <v>65</v>
      </c>
    </row>
    <row r="12">
      <c r="A12" s="19">
        <v>3.0</v>
      </c>
      <c r="B12" s="16" t="str">
        <f>IFERROR(__xludf.DUMMYFUNCTION("""COMPUTED_VALUE"""),"Coco Yan")</f>
        <v>Coco Yan</v>
      </c>
      <c r="C12" s="24">
        <f>IFERROR(__xludf.DUMMYFUNCTION("""COMPUTED_VALUE"""),285.0)</f>
        <v>285</v>
      </c>
      <c r="D12" s="24">
        <f>IFERROR(__xludf.DUMMYFUNCTION("""COMPUTED_VALUE"""),22.0)</f>
        <v>22</v>
      </c>
      <c r="E12" s="27">
        <f>IFERROR(__xludf.DUMMYFUNCTION("""COMPUTED_VALUE"""),1.0)</f>
        <v>1</v>
      </c>
      <c r="F12" s="19"/>
      <c r="G12" s="19"/>
      <c r="H12" s="19"/>
      <c r="I12" s="19">
        <f t="shared" si="4"/>
        <v>0</v>
      </c>
      <c r="J12" s="19"/>
      <c r="K12" s="19">
        <f t="shared" si="5"/>
        <v>3</v>
      </c>
      <c r="L12" s="16"/>
      <c r="M12" s="16"/>
      <c r="O12" s="16">
        <f t="shared" ref="O12:Q12" si="25">if(F12=max(F$10:F$13),1,0)</f>
        <v>1</v>
      </c>
      <c r="P12" s="16">
        <f t="shared" si="25"/>
        <v>1</v>
      </c>
      <c r="Q12" s="16">
        <f t="shared" si="25"/>
        <v>1</v>
      </c>
      <c r="R12" s="16">
        <f t="shared" si="7"/>
        <v>3</v>
      </c>
      <c r="AB12" s="22" t="str">
        <f t="shared" ref="AB12:AD12" si="26">if(F12=F13,"Good")</f>
        <v>Good</v>
      </c>
      <c r="AC12" s="22" t="str">
        <f t="shared" si="26"/>
        <v>Good</v>
      </c>
      <c r="AD12" s="22" t="str">
        <f t="shared" si="26"/>
        <v>Good</v>
      </c>
      <c r="AJ12" s="22" t="s">
        <v>68</v>
      </c>
    </row>
    <row r="13">
      <c r="A13" s="19">
        <v>3.0</v>
      </c>
      <c r="B13" s="16" t="str">
        <f>IFERROR(__xludf.DUMMYFUNCTION("""COMPUTED_VALUE"""),"Allen Zhang")</f>
        <v>Allen Zhang</v>
      </c>
      <c r="C13" s="24">
        <f>IFERROR(__xludf.DUMMYFUNCTION("""COMPUTED_VALUE"""),284.0)</f>
        <v>284</v>
      </c>
      <c r="D13" s="24">
        <f>IFERROR(__xludf.DUMMYFUNCTION("""COMPUTED_VALUE"""),24.0)</f>
        <v>24</v>
      </c>
      <c r="E13" s="27">
        <f>IFERROR(__xludf.DUMMYFUNCTION("""COMPUTED_VALUE"""),1.0)</f>
        <v>1</v>
      </c>
      <c r="F13" s="19"/>
      <c r="G13" s="19"/>
      <c r="H13" s="19"/>
      <c r="I13" s="19">
        <f t="shared" si="4"/>
        <v>0</v>
      </c>
      <c r="J13" s="19"/>
      <c r="K13" s="19">
        <f t="shared" si="5"/>
        <v>3</v>
      </c>
      <c r="L13" s="19"/>
      <c r="M13" s="16"/>
      <c r="O13" s="16">
        <f t="shared" ref="O13:Q13" si="27">if(F13=max(F$10:F$13),1,0)</f>
        <v>1</v>
      </c>
      <c r="P13" s="16">
        <f t="shared" si="27"/>
        <v>1</v>
      </c>
      <c r="Q13" s="16">
        <f t="shared" si="27"/>
        <v>1</v>
      </c>
      <c r="R13" s="16">
        <f t="shared" si="7"/>
        <v>3</v>
      </c>
      <c r="AJ13" s="22" t="s">
        <v>69</v>
      </c>
    </row>
    <row r="14">
      <c r="A14" s="43">
        <v>4.0</v>
      </c>
      <c r="B14" s="44" t="str">
        <f>IFERROR(__xludf.DUMMYFUNCTION("""COMPUTED_VALUE"""),"Jimmy Awolesi")</f>
        <v>Jimmy Awolesi</v>
      </c>
      <c r="C14" s="45">
        <f>IFERROR(__xludf.DUMMYFUNCTION("""COMPUTED_VALUE"""),283.0)</f>
        <v>283</v>
      </c>
      <c r="D14" s="45">
        <f>IFERROR(__xludf.DUMMYFUNCTION("""COMPUTED_VALUE"""),25.0)</f>
        <v>25</v>
      </c>
      <c r="E14" s="46">
        <f>IFERROR(__xludf.DUMMYFUNCTION("""COMPUTED_VALUE"""),1.0)</f>
        <v>1</v>
      </c>
      <c r="F14" s="43"/>
      <c r="G14" s="43"/>
      <c r="H14" s="43"/>
      <c r="I14" s="43">
        <f t="shared" si="4"/>
        <v>0</v>
      </c>
      <c r="J14" s="43"/>
      <c r="K14" s="43">
        <f t="shared" si="5"/>
        <v>4</v>
      </c>
      <c r="L14" s="44"/>
      <c r="M14" s="43"/>
      <c r="O14" s="44">
        <f t="shared" ref="O14:Q14" si="28">if(F14=max(F$14:F$17),1,0)</f>
        <v>1</v>
      </c>
      <c r="P14" s="44">
        <f t="shared" si="28"/>
        <v>1</v>
      </c>
      <c r="Q14" s="44">
        <f t="shared" si="28"/>
        <v>1</v>
      </c>
      <c r="R14" s="44">
        <f t="shared" si="7"/>
        <v>3</v>
      </c>
      <c r="U14" s="22" t="str">
        <f t="shared" ref="U14:W14" si="29">if(COUNTIF(AB14:AB16,"Good")=2,"Good","Error")</f>
        <v>Error</v>
      </c>
      <c r="V14" s="22" t="str">
        <f t="shared" si="29"/>
        <v>Error</v>
      </c>
      <c r="W14" s="22" t="str">
        <f t="shared" si="29"/>
        <v>Error</v>
      </c>
      <c r="Y14" s="22">
        <f>sum(J14:J17)</f>
        <v>0</v>
      </c>
      <c r="Z14" s="22" t="str">
        <f>if(Y14=0,"",if(Y14=6,"Good","ERROR"))</f>
        <v/>
      </c>
      <c r="AB14" s="22" t="str">
        <f t="shared" ref="AB14:AD14" si="30">if(isna(VLOOKUP(F14,F15:F17,1,false)),"Error","Good")</f>
        <v>Error</v>
      </c>
      <c r="AC14" s="22" t="str">
        <f t="shared" si="30"/>
        <v>Error</v>
      </c>
      <c r="AD14" s="22" t="str">
        <f t="shared" si="30"/>
        <v>Error</v>
      </c>
      <c r="AJ14" s="22" t="s">
        <v>71</v>
      </c>
    </row>
    <row r="15">
      <c r="A15" s="43">
        <v>4.0</v>
      </c>
      <c r="B15" s="44" t="str">
        <f>IFERROR(__xludf.DUMMYFUNCTION("""COMPUTED_VALUE"""),"Nicole Ni")</f>
        <v>Nicole Ni</v>
      </c>
      <c r="C15" s="45">
        <f>IFERROR(__xludf.DUMMYFUNCTION("""COMPUTED_VALUE"""),283.0)</f>
        <v>283</v>
      </c>
      <c r="D15" s="45">
        <f>IFERROR(__xludf.DUMMYFUNCTION("""COMPUTED_VALUE"""),23.0)</f>
        <v>23</v>
      </c>
      <c r="E15" s="46">
        <f>IFERROR(__xludf.DUMMYFUNCTION("""COMPUTED_VALUE"""),1.0)</f>
        <v>1</v>
      </c>
      <c r="F15" s="43"/>
      <c r="G15" s="43"/>
      <c r="H15" s="43"/>
      <c r="I15" s="43">
        <f t="shared" si="4"/>
        <v>0</v>
      </c>
      <c r="J15" s="43"/>
      <c r="K15" s="43">
        <f t="shared" si="5"/>
        <v>4</v>
      </c>
      <c r="L15" s="44"/>
      <c r="M15" s="44"/>
      <c r="O15" s="44">
        <f t="shared" ref="O15:Q15" si="31">if(F15=max(F$14:F$17),1,0)</f>
        <v>1</v>
      </c>
      <c r="P15" s="44">
        <f t="shared" si="31"/>
        <v>1</v>
      </c>
      <c r="Q15" s="44">
        <f t="shared" si="31"/>
        <v>1</v>
      </c>
      <c r="R15" s="44">
        <f t="shared" si="7"/>
        <v>3</v>
      </c>
      <c r="AA15" s="56"/>
      <c r="AB15" s="22" t="str">
        <f t="shared" ref="AB15:AD15" si="32">if(isna(VLOOKUP(F15,F16:F17,1,false)),"Error","Good")</f>
        <v>Error</v>
      </c>
      <c r="AC15" s="22" t="str">
        <f t="shared" si="32"/>
        <v>Error</v>
      </c>
      <c r="AD15" s="22" t="str">
        <f t="shared" si="32"/>
        <v>Error</v>
      </c>
    </row>
    <row r="16">
      <c r="A16" s="43">
        <v>4.0</v>
      </c>
      <c r="B16" s="44" t="str">
        <f>IFERROR(__xludf.DUMMYFUNCTION("""COMPUTED_VALUE"""),"Erik Hoeckmann")</f>
        <v>Erik Hoeckmann</v>
      </c>
      <c r="C16" s="45">
        <f>IFERROR(__xludf.DUMMYFUNCTION("""COMPUTED_VALUE"""),281.0)</f>
        <v>281</v>
      </c>
      <c r="D16" s="45">
        <f>IFERROR(__xludf.DUMMYFUNCTION("""COMPUTED_VALUE"""),22.0)</f>
        <v>22</v>
      </c>
      <c r="E16" s="46">
        <f>IFERROR(__xludf.DUMMYFUNCTION("""COMPUTED_VALUE"""),1.0)</f>
        <v>1</v>
      </c>
      <c r="F16" s="43"/>
      <c r="G16" s="43"/>
      <c r="H16" s="43"/>
      <c r="I16" s="43">
        <f t="shared" si="4"/>
        <v>0</v>
      </c>
      <c r="J16" s="43"/>
      <c r="K16" s="43">
        <f t="shared" si="5"/>
        <v>4</v>
      </c>
      <c r="L16" s="44"/>
      <c r="M16" s="44"/>
      <c r="O16" s="44">
        <f t="shared" ref="O16:Q16" si="33">if(F16=max(F$14:F$17),1,0)</f>
        <v>1</v>
      </c>
      <c r="P16" s="44">
        <f t="shared" si="33"/>
        <v>1</v>
      </c>
      <c r="Q16" s="44">
        <f t="shared" si="33"/>
        <v>1</v>
      </c>
      <c r="R16" s="44">
        <f t="shared" si="7"/>
        <v>3</v>
      </c>
      <c r="AB16" s="22" t="str">
        <f t="shared" ref="AB16:AD16" si="34">if(F16=F17,"Good")</f>
        <v>Good</v>
      </c>
      <c r="AC16" s="22" t="str">
        <f t="shared" si="34"/>
        <v>Good</v>
      </c>
      <c r="AD16" s="22" t="str">
        <f t="shared" si="34"/>
        <v>Good</v>
      </c>
    </row>
    <row r="17">
      <c r="A17" s="43">
        <v>4.0</v>
      </c>
      <c r="B17" s="44" t="str">
        <f>IFERROR(__xludf.DUMMYFUNCTION("""COMPUTED_VALUE"""),"Hongyuan Wen")</f>
        <v>Hongyuan Wen</v>
      </c>
      <c r="C17" s="45">
        <f>IFERROR(__xludf.DUMMYFUNCTION("""COMPUTED_VALUE"""),278.0)</f>
        <v>278</v>
      </c>
      <c r="D17" s="45">
        <f>IFERROR(__xludf.DUMMYFUNCTION("""COMPUTED_VALUE"""),19.0)</f>
        <v>19</v>
      </c>
      <c r="E17" s="46">
        <f>IFERROR(__xludf.DUMMYFUNCTION("""COMPUTED_VALUE"""),1.0)</f>
        <v>1</v>
      </c>
      <c r="F17" s="43"/>
      <c r="G17" s="43"/>
      <c r="H17" s="43"/>
      <c r="I17" s="43">
        <f t="shared" si="4"/>
        <v>0</v>
      </c>
      <c r="J17" s="43"/>
      <c r="K17" s="43">
        <f t="shared" si="5"/>
        <v>4</v>
      </c>
      <c r="L17" s="43"/>
      <c r="M17" s="44"/>
      <c r="O17" s="44">
        <f t="shared" ref="O17:Q17" si="35">if(F17=max(F$14:F$17),1,0)</f>
        <v>1</v>
      </c>
      <c r="P17" s="44">
        <f t="shared" si="35"/>
        <v>1</v>
      </c>
      <c r="Q17" s="44">
        <f t="shared" si="35"/>
        <v>1</v>
      </c>
      <c r="R17" s="44">
        <f t="shared" si="7"/>
        <v>3</v>
      </c>
    </row>
    <row r="18">
      <c r="A18" s="19">
        <v>5.0</v>
      </c>
      <c r="B18" s="16" t="str">
        <f>IFERROR(__xludf.DUMMYFUNCTION("""COMPUTED_VALUE"""),"Jim Miao")</f>
        <v>Jim Miao</v>
      </c>
      <c r="C18" s="24">
        <f>IFERROR(__xludf.DUMMYFUNCTION("""COMPUTED_VALUE"""),275.0)</f>
        <v>275</v>
      </c>
      <c r="D18" s="24">
        <f>IFERROR(__xludf.DUMMYFUNCTION("""COMPUTED_VALUE"""),22.0)</f>
        <v>22</v>
      </c>
      <c r="E18" s="27">
        <f>IFERROR(__xludf.DUMMYFUNCTION("""COMPUTED_VALUE"""),1.0)</f>
        <v>1</v>
      </c>
      <c r="F18" s="19"/>
      <c r="G18" s="19"/>
      <c r="H18" s="19"/>
      <c r="I18" s="19">
        <f t="shared" si="4"/>
        <v>0</v>
      </c>
      <c r="J18" s="19"/>
      <c r="K18" s="19">
        <f t="shared" si="5"/>
        <v>5</v>
      </c>
      <c r="L18" s="19"/>
      <c r="M18" s="19"/>
      <c r="O18" s="16">
        <f t="shared" ref="O18:Q18" si="36">if(F18=max(F$18:F$21),1,0)</f>
        <v>1</v>
      </c>
      <c r="P18" s="16">
        <f t="shared" si="36"/>
        <v>1</v>
      </c>
      <c r="Q18" s="16">
        <f t="shared" si="36"/>
        <v>1</v>
      </c>
      <c r="R18" s="16">
        <f t="shared" si="7"/>
        <v>3</v>
      </c>
      <c r="U18" s="22" t="str">
        <f t="shared" ref="U18:W18" si="37">if(COUNTIF(AB18:AB20,"Good")=2,"Good","Error")</f>
        <v>Error</v>
      </c>
      <c r="V18" s="22" t="str">
        <f t="shared" si="37"/>
        <v>Error</v>
      </c>
      <c r="W18" s="22" t="str">
        <f t="shared" si="37"/>
        <v>Error</v>
      </c>
      <c r="Y18" s="22">
        <f>sum(J18:J21)</f>
        <v>0</v>
      </c>
      <c r="Z18" s="22" t="str">
        <f>if(Y18=0,"",if(Y18=6,"Good","ERROR"))</f>
        <v/>
      </c>
      <c r="AB18" s="22" t="str">
        <f t="shared" ref="AB18:AD18" si="38">if(isna(VLOOKUP(F18,F19:F21,1,false)),"Error","Good")</f>
        <v>Error</v>
      </c>
      <c r="AC18" s="22" t="str">
        <f t="shared" si="38"/>
        <v>Error</v>
      </c>
      <c r="AD18" s="22" t="str">
        <f t="shared" si="38"/>
        <v>Error</v>
      </c>
      <c r="AJ18" s="22" t="s">
        <v>84</v>
      </c>
    </row>
    <row r="19">
      <c r="A19" s="19">
        <v>5.0</v>
      </c>
      <c r="B19" s="16" t="str">
        <f>IFERROR(__xludf.DUMMYFUNCTION("""COMPUTED_VALUE"""),"Sean Chang")</f>
        <v>Sean Chang</v>
      </c>
      <c r="C19" s="24">
        <f>IFERROR(__xludf.DUMMYFUNCTION("""COMPUTED_VALUE"""),271.0)</f>
        <v>271</v>
      </c>
      <c r="D19" s="24">
        <f>IFERROR(__xludf.DUMMYFUNCTION("""COMPUTED_VALUE"""),22.0)</f>
        <v>22</v>
      </c>
      <c r="E19" s="27">
        <f>IFERROR(__xludf.DUMMYFUNCTION("""COMPUTED_VALUE"""),1.0)</f>
        <v>1</v>
      </c>
      <c r="F19" s="19"/>
      <c r="G19" s="19"/>
      <c r="H19" s="19"/>
      <c r="I19" s="19">
        <f t="shared" si="4"/>
        <v>0</v>
      </c>
      <c r="J19" s="19"/>
      <c r="K19" s="19">
        <f t="shared" si="5"/>
        <v>5</v>
      </c>
      <c r="L19" s="16"/>
      <c r="M19" s="16"/>
      <c r="O19" s="16">
        <f t="shared" ref="O19:Q19" si="39">if(F19=max(F$18:F$21),1,0)</f>
        <v>1</v>
      </c>
      <c r="P19" s="16">
        <f t="shared" si="39"/>
        <v>1</v>
      </c>
      <c r="Q19" s="16">
        <f t="shared" si="39"/>
        <v>1</v>
      </c>
      <c r="R19" s="16">
        <f t="shared" si="7"/>
        <v>3</v>
      </c>
      <c r="AB19" s="22" t="str">
        <f t="shared" ref="AB19:AD19" si="40">if(isna(VLOOKUP(F19,F20:F21,1,false)),"Error","Good")</f>
        <v>Error</v>
      </c>
      <c r="AC19" s="22" t="str">
        <f t="shared" si="40"/>
        <v>Error</v>
      </c>
      <c r="AD19" s="22" t="str">
        <f t="shared" si="40"/>
        <v>Error</v>
      </c>
      <c r="AJ19" s="22" t="s">
        <v>85</v>
      </c>
    </row>
    <row r="20">
      <c r="A20" s="19">
        <v>5.0</v>
      </c>
      <c r="B20" s="16" t="str">
        <f>IFERROR(__xludf.DUMMYFUNCTION("""COMPUTED_VALUE"""),"Manish Anand")</f>
        <v>Manish Anand</v>
      </c>
      <c r="C20" s="24">
        <f>IFERROR(__xludf.DUMMYFUNCTION("""COMPUTED_VALUE"""),247.0)</f>
        <v>247</v>
      </c>
      <c r="D20" s="24">
        <f>IFERROR(__xludf.DUMMYFUNCTION("""COMPUTED_VALUE"""),12.0)</f>
        <v>12</v>
      </c>
      <c r="E20" s="27">
        <f>IFERROR(__xludf.DUMMYFUNCTION("""COMPUTED_VALUE"""),1.0)</f>
        <v>1</v>
      </c>
      <c r="F20" s="19"/>
      <c r="G20" s="19"/>
      <c r="H20" s="19"/>
      <c r="I20" s="19">
        <f t="shared" si="4"/>
        <v>0</v>
      </c>
      <c r="J20" s="19"/>
      <c r="K20" s="19">
        <f t="shared" si="5"/>
        <v>5</v>
      </c>
      <c r="L20" s="16"/>
      <c r="M20" s="16"/>
      <c r="O20" s="16">
        <f t="shared" ref="O20:Q20" si="41">if(F20=max(F$18:F$21),1,0)</f>
        <v>1</v>
      </c>
      <c r="P20" s="16">
        <f t="shared" si="41"/>
        <v>1</v>
      </c>
      <c r="Q20" s="16">
        <f t="shared" si="41"/>
        <v>1</v>
      </c>
      <c r="R20" s="16">
        <f t="shared" si="7"/>
        <v>3</v>
      </c>
      <c r="AB20" s="22" t="str">
        <f t="shared" ref="AB20:AD20" si="42">if(F20=F21,"Good")</f>
        <v>Good</v>
      </c>
      <c r="AC20" s="22" t="str">
        <f t="shared" si="42"/>
        <v>Good</v>
      </c>
      <c r="AD20" s="22" t="str">
        <f t="shared" si="42"/>
        <v>Good</v>
      </c>
      <c r="AJ20" s="22" t="s">
        <v>87</v>
      </c>
    </row>
    <row r="21">
      <c r="A21" s="19">
        <v>5.0</v>
      </c>
      <c r="B21" s="16" t="str">
        <f>IFERROR(__xludf.DUMMYFUNCTION("""COMPUTED_VALUE"""),"Susanta Mishra")</f>
        <v>Susanta Mishra</v>
      </c>
      <c r="C21" s="24">
        <f>IFERROR(__xludf.DUMMYFUNCTION("""COMPUTED_VALUE"""),224.0)</f>
        <v>224</v>
      </c>
      <c r="D21" s="24">
        <f>IFERROR(__xludf.DUMMYFUNCTION("""COMPUTED_VALUE"""),7.0)</f>
        <v>7</v>
      </c>
      <c r="E21" s="27">
        <f>IFERROR(__xludf.DUMMYFUNCTION("""COMPUTED_VALUE"""),1.0)</f>
        <v>1</v>
      </c>
      <c r="F21" s="19"/>
      <c r="G21" s="19"/>
      <c r="H21" s="19"/>
      <c r="I21" s="19">
        <f t="shared" si="4"/>
        <v>0</v>
      </c>
      <c r="J21" s="19"/>
      <c r="K21" s="19">
        <f t="shared" si="5"/>
        <v>5</v>
      </c>
      <c r="L21" s="19"/>
      <c r="M21" s="16"/>
      <c r="O21" s="16">
        <f t="shared" ref="O21:Q21" si="43">if(F21=max(F$18:F$21),1,0)</f>
        <v>1</v>
      </c>
      <c r="P21" s="16">
        <f t="shared" si="43"/>
        <v>1</v>
      </c>
      <c r="Q21" s="16">
        <f t="shared" si="43"/>
        <v>1</v>
      </c>
      <c r="R21" s="16">
        <f t="shared" si="7"/>
        <v>3</v>
      </c>
      <c r="AJ21" s="22" t="s">
        <v>88</v>
      </c>
    </row>
    <row r="22">
      <c r="A22" s="43">
        <v>6.0</v>
      </c>
      <c r="B22" s="44" t="str">
        <f>IFERROR(__xludf.DUMMYFUNCTION("""COMPUTED_VALUE"""),"Luis Hsu")</f>
        <v>Luis Hsu</v>
      </c>
      <c r="C22" s="45">
        <f>IFERROR(__xludf.DUMMYFUNCTION("""COMPUTED_VALUE"""),216.0)</f>
        <v>216</v>
      </c>
      <c r="D22" s="45">
        <f>IFERROR(__xludf.DUMMYFUNCTION("""COMPUTED_VALUE"""),3.0)</f>
        <v>3</v>
      </c>
      <c r="E22" s="46">
        <f>IFERROR(__xludf.DUMMYFUNCTION("""COMPUTED_VALUE"""),1.0)</f>
        <v>1</v>
      </c>
      <c r="F22" s="43"/>
      <c r="G22" s="43"/>
      <c r="H22" s="43"/>
      <c r="I22" s="43">
        <f t="shared" si="4"/>
        <v>0</v>
      </c>
      <c r="J22" s="43"/>
      <c r="K22" s="43">
        <f t="shared" si="5"/>
        <v>6</v>
      </c>
      <c r="L22" s="44"/>
      <c r="M22" s="44"/>
      <c r="O22" s="44">
        <f t="shared" ref="O22:Q22" si="44">if(F22=max(F$22:F$25),1,0)</f>
        <v>1</v>
      </c>
      <c r="P22" s="44">
        <f t="shared" si="44"/>
        <v>1</v>
      </c>
      <c r="Q22" s="44">
        <f t="shared" si="44"/>
        <v>1</v>
      </c>
      <c r="R22" s="44">
        <f t="shared" si="7"/>
        <v>3</v>
      </c>
      <c r="U22" s="22" t="str">
        <f t="shared" ref="U22:W22" si="45">if(COUNTIF(AB22:AB24,"Good")=2,"Good","Error")</f>
        <v>Error</v>
      </c>
      <c r="V22" s="22" t="str">
        <f t="shared" si="45"/>
        <v>Error</v>
      </c>
      <c r="W22" s="22" t="str">
        <f t="shared" si="45"/>
        <v>Error</v>
      </c>
      <c r="Y22" s="22">
        <f>sum(J22:J25)</f>
        <v>0</v>
      </c>
      <c r="Z22" s="22" t="str">
        <f>if(Y22=0,"",if(Y22=6,"Good","ERROR"))</f>
        <v/>
      </c>
      <c r="AB22" s="22" t="str">
        <f t="shared" ref="AB22:AD22" si="46">if(isna(VLOOKUP(F22,F23:F25,1,false)),"Error","Good")</f>
        <v>Error</v>
      </c>
      <c r="AC22" s="22" t="str">
        <f t="shared" si="46"/>
        <v>Error</v>
      </c>
      <c r="AD22" s="22" t="str">
        <f t="shared" si="46"/>
        <v>Error</v>
      </c>
    </row>
    <row r="23">
      <c r="A23" s="43">
        <v>6.0</v>
      </c>
      <c r="B23" s="44" t="str">
        <f>IFERROR(__xludf.DUMMYFUNCTION("""COMPUTED_VALUE"""),"Lloyd Sagar")</f>
        <v>Lloyd Sagar</v>
      </c>
      <c r="C23" s="45">
        <f>IFERROR(__xludf.DUMMYFUNCTION("""COMPUTED_VALUE"""),207.0)</f>
        <v>207</v>
      </c>
      <c r="D23" s="45">
        <f>IFERROR(__xludf.DUMMYFUNCTION("""COMPUTED_VALUE"""),0.0)</f>
        <v>0</v>
      </c>
      <c r="E23" s="46">
        <f>IFERROR(__xludf.DUMMYFUNCTION("""COMPUTED_VALUE"""),1.0)</f>
        <v>1</v>
      </c>
      <c r="F23" s="43"/>
      <c r="G23" s="43"/>
      <c r="H23" s="43"/>
      <c r="I23" s="43">
        <f t="shared" si="4"/>
        <v>0</v>
      </c>
      <c r="J23" s="43"/>
      <c r="K23" s="43">
        <f t="shared" si="5"/>
        <v>6</v>
      </c>
      <c r="L23" s="44"/>
      <c r="M23" s="44"/>
      <c r="O23" s="44">
        <f t="shared" ref="O23:Q23" si="47">if(F23=max(F$22:F$25),1,0)</f>
        <v>1</v>
      </c>
      <c r="P23" s="44">
        <f t="shared" si="47"/>
        <v>1</v>
      </c>
      <c r="Q23" s="44">
        <f t="shared" si="47"/>
        <v>1</v>
      </c>
      <c r="R23" s="44">
        <f t="shared" si="7"/>
        <v>3</v>
      </c>
      <c r="AB23" s="22" t="str">
        <f t="shared" ref="AB23:AD23" si="48">if(isna(VLOOKUP(F23,F24:F25,1,false)),"Error","Good")</f>
        <v>Error</v>
      </c>
      <c r="AC23" s="22" t="str">
        <f t="shared" si="48"/>
        <v>Error</v>
      </c>
      <c r="AD23" s="22" t="str">
        <f t="shared" si="48"/>
        <v>Error</v>
      </c>
    </row>
    <row r="24">
      <c r="A24" s="43">
        <v>6.0</v>
      </c>
      <c r="B24" s="44"/>
      <c r="C24" s="45"/>
      <c r="D24" s="45"/>
      <c r="E24" s="46"/>
      <c r="F24" s="43"/>
      <c r="G24" s="43"/>
      <c r="H24" s="43"/>
      <c r="I24" s="43">
        <f t="shared" si="4"/>
        <v>0</v>
      </c>
      <c r="J24" s="43"/>
      <c r="K24" s="43">
        <f t="shared" si="5"/>
        <v>6</v>
      </c>
      <c r="L24" s="44"/>
      <c r="M24" s="44"/>
      <c r="O24" s="44">
        <f t="shared" ref="O24:Q24" si="49">if(F24=max(F$22:F$25),1,0)</f>
        <v>1</v>
      </c>
      <c r="P24" s="44">
        <f t="shared" si="49"/>
        <v>1</v>
      </c>
      <c r="Q24" s="44">
        <f t="shared" si="49"/>
        <v>1</v>
      </c>
      <c r="R24" s="44">
        <f t="shared" si="7"/>
        <v>3</v>
      </c>
      <c r="AB24" s="22" t="str">
        <f t="shared" ref="AB24:AD24" si="50">if(F24=F25,"Good")</f>
        <v>Good</v>
      </c>
      <c r="AC24" s="22" t="str">
        <f t="shared" si="50"/>
        <v>Good</v>
      </c>
      <c r="AD24" s="22" t="str">
        <f t="shared" si="50"/>
        <v>Good</v>
      </c>
      <c r="AJ24" s="22" t="s">
        <v>91</v>
      </c>
    </row>
    <row r="25">
      <c r="A25" s="43">
        <v>6.0</v>
      </c>
      <c r="B25" s="44"/>
      <c r="C25" s="45"/>
      <c r="D25" s="45"/>
      <c r="E25" s="46"/>
      <c r="F25" s="43"/>
      <c r="G25" s="43"/>
      <c r="H25" s="43"/>
      <c r="I25" s="43">
        <f t="shared" si="4"/>
        <v>0</v>
      </c>
      <c r="J25" s="43"/>
      <c r="K25" s="43">
        <f t="shared" si="5"/>
        <v>6</v>
      </c>
      <c r="L25" s="43"/>
      <c r="M25" s="44"/>
      <c r="O25" s="44">
        <f t="shared" ref="O25:Q25" si="51">if(F25=max(F$22:F$25),1,0)</f>
        <v>1</v>
      </c>
      <c r="P25" s="44">
        <f t="shared" si="51"/>
        <v>1</v>
      </c>
      <c r="Q25" s="44">
        <f t="shared" si="51"/>
        <v>1</v>
      </c>
      <c r="R25" s="44">
        <f t="shared" si="7"/>
        <v>3</v>
      </c>
      <c r="AJ25" s="22" t="s">
        <v>92</v>
      </c>
    </row>
    <row r="26">
      <c r="A26" s="19">
        <v>7.0</v>
      </c>
      <c r="B26" s="16"/>
      <c r="C26" s="24"/>
      <c r="D26" s="24"/>
      <c r="E26" s="27"/>
      <c r="F26" s="19"/>
      <c r="G26" s="19"/>
      <c r="H26" s="19"/>
      <c r="I26" s="19">
        <f t="shared" si="4"/>
        <v>0</v>
      </c>
      <c r="J26" s="19"/>
      <c r="K26" s="19">
        <f t="shared" si="5"/>
        <v>7</v>
      </c>
      <c r="L26" s="19"/>
      <c r="M26" s="19"/>
      <c r="O26" s="16">
        <f t="shared" ref="O26:Q26" si="52">if(F26=max(F$26:F$29),1,0)</f>
        <v>1</v>
      </c>
      <c r="P26" s="16">
        <f t="shared" si="52"/>
        <v>1</v>
      </c>
      <c r="Q26" s="16">
        <f t="shared" si="52"/>
        <v>1</v>
      </c>
      <c r="R26" s="16">
        <f t="shared" si="7"/>
        <v>3</v>
      </c>
      <c r="U26" s="22" t="str">
        <f t="shared" ref="U26:W26" si="53">if(COUNTIF(AB26:AB28,"Good")=2,"Good","Error")</f>
        <v>Error</v>
      </c>
      <c r="V26" s="22" t="str">
        <f t="shared" si="53"/>
        <v>Error</v>
      </c>
      <c r="W26" s="22" t="str">
        <f t="shared" si="53"/>
        <v>Error</v>
      </c>
      <c r="Y26" s="22">
        <f>sum(J26:J29)</f>
        <v>0</v>
      </c>
      <c r="Z26" s="22" t="str">
        <f>if(Y26=0,"",if(Y26=6,"Good","ERROR"))</f>
        <v/>
      </c>
      <c r="AB26" s="22" t="str">
        <f t="shared" ref="AB26:AD26" si="54">if(isna(VLOOKUP(F26,F27:F29,1,false)),"Error","Good")</f>
        <v>Error</v>
      </c>
      <c r="AC26" s="22" t="str">
        <f t="shared" si="54"/>
        <v>Error</v>
      </c>
      <c r="AD26" s="22" t="str">
        <f t="shared" si="54"/>
        <v>Error</v>
      </c>
      <c r="AJ26" s="22" t="s">
        <v>95</v>
      </c>
    </row>
    <row r="27">
      <c r="A27" s="19">
        <v>7.0</v>
      </c>
      <c r="B27" s="16"/>
      <c r="C27" s="24"/>
      <c r="D27" s="24"/>
      <c r="E27" s="27"/>
      <c r="F27" s="19"/>
      <c r="G27" s="19"/>
      <c r="H27" s="19"/>
      <c r="I27" s="19">
        <f t="shared" si="4"/>
        <v>0</v>
      </c>
      <c r="J27" s="19"/>
      <c r="K27" s="19">
        <f t="shared" si="5"/>
        <v>7</v>
      </c>
      <c r="L27" s="16"/>
      <c r="M27" s="16"/>
      <c r="O27" s="16">
        <f t="shared" ref="O27:Q27" si="55">if(F27=max(F$26:F$29),1,0)</f>
        <v>1</v>
      </c>
      <c r="P27" s="16">
        <f t="shared" si="55"/>
        <v>1</v>
      </c>
      <c r="Q27" s="16">
        <f t="shared" si="55"/>
        <v>1</v>
      </c>
      <c r="R27" s="16">
        <f t="shared" si="7"/>
        <v>3</v>
      </c>
      <c r="AB27" s="22" t="str">
        <f t="shared" ref="AB27:AD27" si="56">if(isna(VLOOKUP(F27,F28:F29,1,false)),"Error","Good")</f>
        <v>Error</v>
      </c>
      <c r="AC27" s="22" t="str">
        <f t="shared" si="56"/>
        <v>Error</v>
      </c>
      <c r="AD27" s="22" t="str">
        <f t="shared" si="56"/>
        <v>Error</v>
      </c>
      <c r="AJ27" s="22" t="s">
        <v>97</v>
      </c>
    </row>
    <row r="28">
      <c r="A28" s="19">
        <v>7.0</v>
      </c>
      <c r="B28" s="16"/>
      <c r="C28" s="24"/>
      <c r="D28" s="24"/>
      <c r="E28" s="27"/>
      <c r="F28" s="19"/>
      <c r="G28" s="19"/>
      <c r="H28" s="19"/>
      <c r="I28" s="19">
        <f t="shared" si="4"/>
        <v>0</v>
      </c>
      <c r="J28" s="19"/>
      <c r="K28" s="19">
        <f t="shared" si="5"/>
        <v>7</v>
      </c>
      <c r="L28" s="16"/>
      <c r="M28" s="16"/>
      <c r="O28" s="16">
        <f t="shared" ref="O28:Q28" si="57">if(F28=max(F$26:F$29),1,0)</f>
        <v>1</v>
      </c>
      <c r="P28" s="16">
        <f t="shared" si="57"/>
        <v>1</v>
      </c>
      <c r="Q28" s="16">
        <f t="shared" si="57"/>
        <v>1</v>
      </c>
      <c r="R28" s="16">
        <f t="shared" si="7"/>
        <v>3</v>
      </c>
      <c r="AB28" s="22" t="str">
        <f t="shared" ref="AB28:AD28" si="58">if(F28=F29,"Good")</f>
        <v>Good</v>
      </c>
      <c r="AC28" s="22" t="str">
        <f t="shared" si="58"/>
        <v>Good</v>
      </c>
      <c r="AD28" s="22" t="str">
        <f t="shared" si="58"/>
        <v>Good</v>
      </c>
    </row>
    <row r="29">
      <c r="A29" s="19">
        <v>7.0</v>
      </c>
      <c r="B29" s="16"/>
      <c r="C29" s="24"/>
      <c r="D29" s="24"/>
      <c r="E29" s="27"/>
      <c r="F29" s="19"/>
      <c r="G29" s="19"/>
      <c r="H29" s="19"/>
      <c r="I29" s="19">
        <f t="shared" si="4"/>
        <v>0</v>
      </c>
      <c r="J29" s="19"/>
      <c r="K29" s="19">
        <f t="shared" si="5"/>
        <v>7</v>
      </c>
      <c r="L29" s="19"/>
      <c r="M29" s="16"/>
      <c r="O29" s="16">
        <f t="shared" ref="O29:Q29" si="59">if(F29=max(F$26:F$29),1,0)</f>
        <v>1</v>
      </c>
      <c r="P29" s="16">
        <f t="shared" si="59"/>
        <v>1</v>
      </c>
      <c r="Q29" s="16">
        <f t="shared" si="59"/>
        <v>1</v>
      </c>
      <c r="R29" s="16">
        <f t="shared" si="7"/>
        <v>3</v>
      </c>
    </row>
    <row r="30">
      <c r="A30" s="43">
        <v>8.0</v>
      </c>
      <c r="B30" s="44"/>
      <c r="C30" s="45"/>
      <c r="D30" s="45"/>
      <c r="E30" s="46"/>
      <c r="F30" s="43"/>
      <c r="G30" s="43"/>
      <c r="H30" s="43"/>
      <c r="I30" s="43">
        <f t="shared" si="4"/>
        <v>0</v>
      </c>
      <c r="J30" s="43"/>
      <c r="K30" s="43">
        <f t="shared" si="5"/>
        <v>8</v>
      </c>
      <c r="L30" s="44"/>
      <c r="M30" s="43"/>
      <c r="O30" s="44">
        <f t="shared" ref="O30:Q30" si="60">if(F30=max(F$30:F$33),1,0)</f>
        <v>1</v>
      </c>
      <c r="P30" s="44">
        <f t="shared" si="60"/>
        <v>1</v>
      </c>
      <c r="Q30" s="44">
        <f t="shared" si="60"/>
        <v>1</v>
      </c>
      <c r="R30" s="44">
        <f t="shared" si="7"/>
        <v>3</v>
      </c>
      <c r="U30" s="22" t="str">
        <f t="shared" ref="U30:W30" si="61">if(COUNTIF(AB30:AB32,"Good")=2,"Good","Error")</f>
        <v>Error</v>
      </c>
      <c r="V30" s="22" t="str">
        <f t="shared" si="61"/>
        <v>Error</v>
      </c>
      <c r="W30" s="22" t="str">
        <f t="shared" si="61"/>
        <v>Error</v>
      </c>
      <c r="Y30" s="22">
        <f>sum(J30:J33)</f>
        <v>0</v>
      </c>
      <c r="Z30" s="22" t="str">
        <f>if(Y30=0,"",if(Y30=6,"Good","ERROR"))</f>
        <v/>
      </c>
      <c r="AB30" s="22" t="str">
        <f t="shared" ref="AB30:AD30" si="62">if(isna(VLOOKUP(F30,F31:F33,1,false)),"Error","Good")</f>
        <v>Error</v>
      </c>
      <c r="AC30" s="22" t="str">
        <f t="shared" si="62"/>
        <v>Error</v>
      </c>
      <c r="AD30" s="22" t="str">
        <f t="shared" si="62"/>
        <v>Error</v>
      </c>
    </row>
    <row r="31">
      <c r="A31" s="43">
        <v>8.0</v>
      </c>
      <c r="B31" s="44"/>
      <c r="C31" s="45"/>
      <c r="D31" s="45"/>
      <c r="E31" s="46"/>
      <c r="F31" s="43"/>
      <c r="G31" s="43"/>
      <c r="H31" s="43"/>
      <c r="I31" s="43">
        <f t="shared" si="4"/>
        <v>0</v>
      </c>
      <c r="J31" s="43"/>
      <c r="K31" s="43">
        <f t="shared" si="5"/>
        <v>8</v>
      </c>
      <c r="L31" s="44"/>
      <c r="M31" s="44"/>
      <c r="O31" s="44">
        <f t="shared" ref="O31:Q31" si="63">if(F31=max(F$30:F$33),1,0)</f>
        <v>1</v>
      </c>
      <c r="P31" s="44">
        <f t="shared" si="63"/>
        <v>1</v>
      </c>
      <c r="Q31" s="44">
        <f t="shared" si="63"/>
        <v>1</v>
      </c>
      <c r="R31" s="44">
        <f t="shared" si="7"/>
        <v>3</v>
      </c>
      <c r="AB31" s="22" t="str">
        <f t="shared" ref="AB31:AD31" si="64">if(isna(VLOOKUP(F31,F32:F33,1,false)),"Error","Good")</f>
        <v>Error</v>
      </c>
      <c r="AC31" s="22" t="str">
        <f t="shared" si="64"/>
        <v>Error</v>
      </c>
      <c r="AD31" s="22" t="str">
        <f t="shared" si="64"/>
        <v>Error</v>
      </c>
    </row>
    <row r="32">
      <c r="A32" s="43">
        <v>8.0</v>
      </c>
      <c r="B32" s="44"/>
      <c r="C32" s="45"/>
      <c r="D32" s="45"/>
      <c r="E32" s="46"/>
      <c r="F32" s="43"/>
      <c r="G32" s="43"/>
      <c r="H32" s="43"/>
      <c r="I32" s="43">
        <f t="shared" si="4"/>
        <v>0</v>
      </c>
      <c r="J32" s="43"/>
      <c r="K32" s="43">
        <f t="shared" si="5"/>
        <v>8</v>
      </c>
      <c r="L32" s="44"/>
      <c r="M32" s="44"/>
      <c r="O32" s="44">
        <f t="shared" ref="O32:Q32" si="65">if(F32=max(F$30:F$33),1,0)</f>
        <v>1</v>
      </c>
      <c r="P32" s="44">
        <f t="shared" si="65"/>
        <v>1</v>
      </c>
      <c r="Q32" s="44">
        <f t="shared" si="65"/>
        <v>1</v>
      </c>
      <c r="R32" s="44">
        <f t="shared" si="7"/>
        <v>3</v>
      </c>
      <c r="AB32" s="22" t="str">
        <f t="shared" ref="AB32:AD32" si="66">if(F32=F33,"Good")</f>
        <v>Good</v>
      </c>
      <c r="AC32" s="22" t="str">
        <f t="shared" si="66"/>
        <v>Good</v>
      </c>
      <c r="AD32" s="22" t="str">
        <f t="shared" si="66"/>
        <v>Good</v>
      </c>
    </row>
    <row r="33">
      <c r="A33" s="43">
        <v>8.0</v>
      </c>
      <c r="B33" s="44"/>
      <c r="C33" s="45"/>
      <c r="D33" s="45"/>
      <c r="E33" s="46"/>
      <c r="F33" s="43"/>
      <c r="G33" s="43"/>
      <c r="H33" s="43"/>
      <c r="I33" s="43">
        <f t="shared" si="4"/>
        <v>0</v>
      </c>
      <c r="J33" s="43"/>
      <c r="K33" s="43">
        <f t="shared" si="5"/>
        <v>8</v>
      </c>
      <c r="L33" s="43"/>
      <c r="M33" s="44"/>
      <c r="O33" s="44">
        <f t="shared" ref="O33:Q33" si="67">if(F33=max(F$30:F$33),1,0)</f>
        <v>1</v>
      </c>
      <c r="P33" s="44">
        <f t="shared" si="67"/>
        <v>1</v>
      </c>
      <c r="Q33" s="44">
        <f t="shared" si="67"/>
        <v>1</v>
      </c>
      <c r="R33" s="44">
        <f t="shared" si="7"/>
        <v>3</v>
      </c>
      <c r="AJ33" s="22" t="s">
        <v>50</v>
      </c>
    </row>
    <row r="34">
      <c r="A34" s="19">
        <v>9.0</v>
      </c>
      <c r="B34" s="16"/>
      <c r="C34" s="16"/>
      <c r="D34" s="16"/>
      <c r="E34" s="16"/>
      <c r="F34" s="19"/>
      <c r="G34" s="19"/>
      <c r="H34" s="19"/>
      <c r="I34" s="19">
        <f t="shared" si="4"/>
        <v>0</v>
      </c>
      <c r="J34" s="19"/>
      <c r="K34" s="19">
        <f t="shared" si="5"/>
        <v>9</v>
      </c>
      <c r="L34" s="16"/>
      <c r="M34" s="16"/>
      <c r="O34" s="16">
        <f t="shared" ref="O34:Q34" si="68">if(F34=max(F$34:F$37),1,0)</f>
        <v>1</v>
      </c>
      <c r="P34" s="16">
        <f t="shared" si="68"/>
        <v>1</v>
      </c>
      <c r="Q34" s="16">
        <f t="shared" si="68"/>
        <v>1</v>
      </c>
      <c r="R34" s="16">
        <f t="shared" si="7"/>
        <v>3</v>
      </c>
      <c r="U34" s="22" t="str">
        <f t="shared" ref="U34:W34" si="69">if(COUNTIF(AB34:AB36,"Good")=2,"Good","Error")</f>
        <v>Error</v>
      </c>
      <c r="V34" s="22" t="str">
        <f t="shared" si="69"/>
        <v>Error</v>
      </c>
      <c r="W34" s="22" t="str">
        <f t="shared" si="69"/>
        <v>Error</v>
      </c>
      <c r="Y34" s="22">
        <f>sum(J34:J37)</f>
        <v>0</v>
      </c>
      <c r="Z34" s="22" t="str">
        <f>if(Y34=0,"",if(Y34=6,"Good","ERROR"))</f>
        <v/>
      </c>
      <c r="AB34" s="22" t="str">
        <f t="shared" ref="AB34:AD34" si="70">if(isna(VLOOKUP(F34,F35:F37,1,false)),"Error","Good")</f>
        <v>Error</v>
      </c>
      <c r="AC34" s="22" t="str">
        <f t="shared" si="70"/>
        <v>Error</v>
      </c>
      <c r="AD34" s="22" t="str">
        <f t="shared" si="70"/>
        <v>Error</v>
      </c>
      <c r="AJ34" s="22" t="s">
        <v>100</v>
      </c>
    </row>
    <row r="35">
      <c r="A35" s="19">
        <v>9.0</v>
      </c>
      <c r="B35" s="16"/>
      <c r="C35" s="24"/>
      <c r="D35" s="24"/>
      <c r="E35" s="27"/>
      <c r="F35" s="19"/>
      <c r="G35" s="19"/>
      <c r="H35" s="19"/>
      <c r="I35" s="19">
        <f t="shared" si="4"/>
        <v>0</v>
      </c>
      <c r="J35" s="19"/>
      <c r="K35" s="19">
        <f t="shared" si="5"/>
        <v>9</v>
      </c>
      <c r="L35" s="16"/>
      <c r="M35" s="16"/>
      <c r="O35" s="16">
        <f t="shared" ref="O35:Q35" si="71">if(F35=max(F$34:F$37),1,0)</f>
        <v>1</v>
      </c>
      <c r="P35" s="16">
        <f t="shared" si="71"/>
        <v>1</v>
      </c>
      <c r="Q35" s="16">
        <f t="shared" si="71"/>
        <v>1</v>
      </c>
      <c r="R35" s="16">
        <f t="shared" si="7"/>
        <v>3</v>
      </c>
      <c r="AB35" s="22" t="str">
        <f t="shared" ref="AB35:AD35" si="72">if(isna(VLOOKUP(F35,F36:F37,1,false)),"Error","Good")</f>
        <v>Error</v>
      </c>
      <c r="AC35" s="22" t="str">
        <f t="shared" si="72"/>
        <v>Error</v>
      </c>
      <c r="AD35" s="22" t="str">
        <f t="shared" si="72"/>
        <v>Error</v>
      </c>
      <c r="AJ35" s="22" t="s">
        <v>101</v>
      </c>
    </row>
    <row r="36">
      <c r="A36" s="19">
        <v>9.0</v>
      </c>
      <c r="B36" s="16"/>
      <c r="C36" s="16"/>
      <c r="D36" s="16"/>
      <c r="E36" s="16"/>
      <c r="F36" s="19"/>
      <c r="G36" s="19"/>
      <c r="H36" s="19"/>
      <c r="I36" s="19">
        <f t="shared" si="4"/>
        <v>0</v>
      </c>
      <c r="J36" s="19"/>
      <c r="K36" s="19">
        <f t="shared" si="5"/>
        <v>9</v>
      </c>
      <c r="L36" s="16"/>
      <c r="M36" s="16"/>
      <c r="O36" s="16">
        <f t="shared" ref="O36:Q36" si="73">if(F36=max(F$34:F$37),1,0)</f>
        <v>1</v>
      </c>
      <c r="P36" s="16">
        <f t="shared" si="73"/>
        <v>1</v>
      </c>
      <c r="Q36" s="16">
        <f t="shared" si="73"/>
        <v>1</v>
      </c>
      <c r="R36" s="16">
        <f t="shared" si="7"/>
        <v>3</v>
      </c>
      <c r="AB36" s="22" t="str">
        <f t="shared" ref="AB36:AD36" si="74">if(F36=F37,"Good")</f>
        <v>Good</v>
      </c>
      <c r="AC36" s="22" t="str">
        <f t="shared" si="74"/>
        <v>Good</v>
      </c>
      <c r="AD36" s="22" t="str">
        <f t="shared" si="74"/>
        <v>Good</v>
      </c>
      <c r="AJ36" s="22" t="s">
        <v>75</v>
      </c>
    </row>
    <row r="37">
      <c r="A37" s="19">
        <v>9.0</v>
      </c>
      <c r="B37" s="16"/>
      <c r="C37" s="16"/>
      <c r="D37" s="16"/>
      <c r="E37" s="16"/>
      <c r="F37" s="19"/>
      <c r="G37" s="19"/>
      <c r="H37" s="19"/>
      <c r="I37" s="19">
        <f t="shared" si="4"/>
        <v>0</v>
      </c>
      <c r="J37" s="19"/>
      <c r="K37" s="19">
        <f t="shared" si="5"/>
        <v>9</v>
      </c>
      <c r="L37" s="19"/>
      <c r="M37" s="16"/>
      <c r="O37" s="16">
        <f t="shared" ref="O37:Q37" si="75">if(F37=max(F$34:F$37),1,0)</f>
        <v>1</v>
      </c>
      <c r="P37" s="16">
        <f t="shared" si="75"/>
        <v>1</v>
      </c>
      <c r="Q37" s="16">
        <f t="shared" si="75"/>
        <v>1</v>
      </c>
      <c r="R37" s="16">
        <f t="shared" si="7"/>
        <v>3</v>
      </c>
    </row>
    <row r="38">
      <c r="A38" s="43">
        <v>10.0</v>
      </c>
      <c r="B38" s="44"/>
      <c r="C38" s="45"/>
      <c r="D38" s="45"/>
      <c r="E38" s="46"/>
      <c r="F38" s="43"/>
      <c r="G38" s="43"/>
      <c r="H38" s="43"/>
      <c r="I38" s="43">
        <f t="shared" si="4"/>
        <v>0</v>
      </c>
      <c r="J38" s="43"/>
      <c r="K38" s="43">
        <f t="shared" si="5"/>
        <v>10</v>
      </c>
      <c r="L38" s="44"/>
      <c r="M38" s="43"/>
      <c r="O38" s="44">
        <f t="shared" ref="O38:Q38" si="76">if(F38=max(F$34:F$37),1,0)</f>
        <v>1</v>
      </c>
      <c r="P38" s="44">
        <f t="shared" si="76"/>
        <v>1</v>
      </c>
      <c r="Q38" s="44">
        <f t="shared" si="76"/>
        <v>1</v>
      </c>
      <c r="R38" s="44">
        <f t="shared" si="7"/>
        <v>3</v>
      </c>
      <c r="U38" s="22" t="str">
        <f t="shared" ref="U38:W38" si="77">if(COUNTIF(AB38:AB40,"Good")=2,"Good","Error")</f>
        <v>Error</v>
      </c>
      <c r="V38" s="22" t="str">
        <f t="shared" si="77"/>
        <v>Error</v>
      </c>
      <c r="W38" s="22" t="str">
        <f t="shared" si="77"/>
        <v>Error</v>
      </c>
      <c r="Y38" s="22">
        <f>sum(J38:J41)</f>
        <v>0</v>
      </c>
      <c r="Z38" s="22" t="str">
        <f>if(Y38=0,"",if(Y38=6,"Good","ERROR"))</f>
        <v/>
      </c>
      <c r="AB38" s="22" t="str">
        <f t="shared" ref="AB38:AD38" si="78">if(isna(VLOOKUP(F38,F39:F41,1,false)),"Error","Good")</f>
        <v>Error</v>
      </c>
      <c r="AC38" s="22" t="str">
        <f t="shared" si="78"/>
        <v>Error</v>
      </c>
      <c r="AD38" s="22" t="str">
        <f t="shared" si="78"/>
        <v>Error</v>
      </c>
    </row>
    <row r="39">
      <c r="A39" s="43">
        <v>10.0</v>
      </c>
      <c r="B39" s="44"/>
      <c r="C39" s="45"/>
      <c r="D39" s="45"/>
      <c r="E39" s="46"/>
      <c r="F39" s="43"/>
      <c r="G39" s="43"/>
      <c r="H39" s="43"/>
      <c r="I39" s="43">
        <f t="shared" si="4"/>
        <v>0</v>
      </c>
      <c r="J39" s="43"/>
      <c r="K39" s="43">
        <f t="shared" si="5"/>
        <v>10</v>
      </c>
      <c r="L39" s="44"/>
      <c r="M39" s="44"/>
      <c r="O39" s="44">
        <f t="shared" ref="O39:Q39" si="79">if(F39=max(F$34:F$37),1,0)</f>
        <v>1</v>
      </c>
      <c r="P39" s="44">
        <f t="shared" si="79"/>
        <v>1</v>
      </c>
      <c r="Q39" s="44">
        <f t="shared" si="79"/>
        <v>1</v>
      </c>
      <c r="R39" s="44">
        <f t="shared" si="7"/>
        <v>3</v>
      </c>
      <c r="AB39" s="22" t="str">
        <f t="shared" ref="AB39:AD39" si="80">if(isna(VLOOKUP(F39,F40:F41,1,false)),"Error","Good")</f>
        <v>Error</v>
      </c>
      <c r="AC39" s="22" t="str">
        <f t="shared" si="80"/>
        <v>Error</v>
      </c>
      <c r="AD39" s="22" t="str">
        <f t="shared" si="80"/>
        <v>Error</v>
      </c>
    </row>
    <row r="40">
      <c r="A40" s="43">
        <v>10.0</v>
      </c>
      <c r="B40" s="44"/>
      <c r="C40" s="45"/>
      <c r="D40" s="45"/>
      <c r="E40" s="46"/>
      <c r="F40" s="43"/>
      <c r="G40" s="43"/>
      <c r="H40" s="43"/>
      <c r="I40" s="43">
        <f t="shared" si="4"/>
        <v>0</v>
      </c>
      <c r="J40" s="43"/>
      <c r="K40" s="43">
        <f t="shared" si="5"/>
        <v>10</v>
      </c>
      <c r="L40" s="44"/>
      <c r="M40" s="44"/>
      <c r="O40" s="44">
        <f t="shared" ref="O40:Q40" si="81">if(F40=max(F$34:F$37),1,0)</f>
        <v>1</v>
      </c>
      <c r="P40" s="44">
        <f t="shared" si="81"/>
        <v>1</v>
      </c>
      <c r="Q40" s="44">
        <f t="shared" si="81"/>
        <v>1</v>
      </c>
      <c r="R40" s="44">
        <f t="shared" si="7"/>
        <v>3</v>
      </c>
      <c r="AB40" s="22" t="str">
        <f t="shared" ref="AB40:AD40" si="82">if(F40=F41,"Good")</f>
        <v>Good</v>
      </c>
      <c r="AC40" s="22" t="str">
        <f t="shared" si="82"/>
        <v>Good</v>
      </c>
      <c r="AD40" s="22" t="str">
        <f t="shared" si="82"/>
        <v>Good</v>
      </c>
    </row>
    <row r="41">
      <c r="A41" s="43">
        <v>10.0</v>
      </c>
      <c r="B41" s="44"/>
      <c r="C41" s="45"/>
      <c r="D41" s="45"/>
      <c r="E41" s="46"/>
      <c r="F41" s="43"/>
      <c r="G41" s="43"/>
      <c r="H41" s="43"/>
      <c r="I41" s="43">
        <f t="shared" si="4"/>
        <v>0</v>
      </c>
      <c r="J41" s="43"/>
      <c r="K41" s="43">
        <f t="shared" si="5"/>
        <v>10</v>
      </c>
      <c r="L41" s="43"/>
      <c r="M41" s="43"/>
      <c r="O41" s="44">
        <f t="shared" ref="O41:Q41" si="83">if(F41=max(F$34:F$37),1,0)</f>
        <v>1</v>
      </c>
      <c r="P41" s="44">
        <f t="shared" si="83"/>
        <v>1</v>
      </c>
      <c r="Q41" s="44">
        <f t="shared" si="83"/>
        <v>1</v>
      </c>
      <c r="R41" s="44">
        <f t="shared" si="7"/>
        <v>3</v>
      </c>
    </row>
    <row r="42">
      <c r="A42" s="19">
        <v>11.0</v>
      </c>
      <c r="B42" s="16"/>
      <c r="C42" s="16"/>
      <c r="D42" s="16"/>
      <c r="E42" s="16"/>
      <c r="F42" s="19"/>
      <c r="G42" s="19"/>
      <c r="H42" s="19"/>
      <c r="I42" s="19">
        <f t="shared" si="4"/>
        <v>0</v>
      </c>
      <c r="J42" s="19"/>
      <c r="K42" s="19">
        <f t="shared" si="5"/>
        <v>11</v>
      </c>
      <c r="L42" s="16"/>
      <c r="M42" s="16"/>
      <c r="O42" s="16">
        <f t="shared" ref="O42:Q42" si="84">if(F42=max(F$34:F$37),1,0)</f>
        <v>1</v>
      </c>
      <c r="P42" s="16">
        <f t="shared" si="84"/>
        <v>1</v>
      </c>
      <c r="Q42" s="16">
        <f t="shared" si="84"/>
        <v>1</v>
      </c>
      <c r="R42" s="16">
        <f t="shared" si="7"/>
        <v>3</v>
      </c>
      <c r="U42" s="22" t="str">
        <f t="shared" ref="U42:W42" si="85">if(COUNTIF(AB42:AB44,"Good")=2,"Good","Error")</f>
        <v>Error</v>
      </c>
      <c r="V42" s="22" t="str">
        <f t="shared" si="85"/>
        <v>Error</v>
      </c>
      <c r="W42" s="22" t="str">
        <f t="shared" si="85"/>
        <v>Error</v>
      </c>
      <c r="Y42" s="22">
        <f>sum(J42:J45)</f>
        <v>0</v>
      </c>
      <c r="Z42" s="22" t="str">
        <f>if(Y42=0,"",if(Y42=6,"Good","ERROR"))</f>
        <v/>
      </c>
      <c r="AB42" s="22" t="str">
        <f t="shared" ref="AB42:AD42" si="86">if(isna(VLOOKUP(F42,F43:F45,1,false)),"Error","Good")</f>
        <v>Error</v>
      </c>
      <c r="AC42" s="22" t="str">
        <f t="shared" si="86"/>
        <v>Error</v>
      </c>
      <c r="AD42" s="22" t="str">
        <f t="shared" si="86"/>
        <v>Error</v>
      </c>
    </row>
    <row r="43">
      <c r="A43" s="19">
        <v>11.0</v>
      </c>
      <c r="B43" s="16"/>
      <c r="C43" s="16"/>
      <c r="D43" s="16"/>
      <c r="E43" s="16"/>
      <c r="F43" s="19"/>
      <c r="G43" s="19"/>
      <c r="H43" s="19"/>
      <c r="I43" s="19">
        <f t="shared" si="4"/>
        <v>0</v>
      </c>
      <c r="J43" s="19"/>
      <c r="K43" s="19">
        <f t="shared" si="5"/>
        <v>11</v>
      </c>
      <c r="L43" s="16"/>
      <c r="M43" s="16"/>
      <c r="O43" s="16">
        <f t="shared" ref="O43:Q43" si="87">if(F43=max(F$34:F$37),1,0)</f>
        <v>1</v>
      </c>
      <c r="P43" s="16">
        <f t="shared" si="87"/>
        <v>1</v>
      </c>
      <c r="Q43" s="16">
        <f t="shared" si="87"/>
        <v>1</v>
      </c>
      <c r="R43" s="16">
        <f t="shared" si="7"/>
        <v>3</v>
      </c>
      <c r="AB43" s="22" t="str">
        <f t="shared" ref="AB43:AD43" si="88">if(isna(VLOOKUP(F43,F44:F45,1,false)),"Error","Good")</f>
        <v>Error</v>
      </c>
      <c r="AC43" s="22" t="str">
        <f t="shared" si="88"/>
        <v>Error</v>
      </c>
      <c r="AD43" s="22" t="str">
        <f t="shared" si="88"/>
        <v>Error</v>
      </c>
    </row>
    <row r="44">
      <c r="A44" s="19">
        <v>11.0</v>
      </c>
      <c r="B44" s="16"/>
      <c r="C44" s="16"/>
      <c r="D44" s="16"/>
      <c r="E44" s="16"/>
      <c r="F44" s="19"/>
      <c r="G44" s="19"/>
      <c r="H44" s="19"/>
      <c r="I44" s="19">
        <f t="shared" si="4"/>
        <v>0</v>
      </c>
      <c r="J44" s="19"/>
      <c r="K44" s="19">
        <f t="shared" si="5"/>
        <v>11</v>
      </c>
      <c r="L44" s="16"/>
      <c r="M44" s="16"/>
      <c r="O44" s="16">
        <f t="shared" ref="O44:Q44" si="89">if(F44=max(F$34:F$37),1,0)</f>
        <v>1</v>
      </c>
      <c r="P44" s="16">
        <f t="shared" si="89"/>
        <v>1</v>
      </c>
      <c r="Q44" s="16">
        <f t="shared" si="89"/>
        <v>1</v>
      </c>
      <c r="R44" s="16">
        <f t="shared" si="7"/>
        <v>3</v>
      </c>
      <c r="AB44" s="22" t="str">
        <f t="shared" ref="AB44:AD44" si="90">if(F44=F45,"Good")</f>
        <v>Good</v>
      </c>
      <c r="AC44" s="22" t="str">
        <f t="shared" si="90"/>
        <v>Good</v>
      </c>
      <c r="AD44" s="22" t="str">
        <f t="shared" si="90"/>
        <v>Good</v>
      </c>
    </row>
    <row r="45">
      <c r="A45" s="19">
        <v>11.0</v>
      </c>
      <c r="B45" s="16"/>
      <c r="C45" s="16"/>
      <c r="D45" s="16"/>
      <c r="E45" s="16"/>
      <c r="F45" s="19"/>
      <c r="G45" s="19"/>
      <c r="H45" s="19"/>
      <c r="I45" s="19">
        <f t="shared" si="4"/>
        <v>0</v>
      </c>
      <c r="J45" s="19"/>
      <c r="K45" s="19">
        <f t="shared" si="5"/>
        <v>11</v>
      </c>
      <c r="L45" s="19"/>
      <c r="M45" s="16"/>
      <c r="O45" s="16">
        <f t="shared" ref="O45:Q45" si="91">if(F45=max(F$34:F$37),1,0)</f>
        <v>1</v>
      </c>
      <c r="P45" s="16">
        <f t="shared" si="91"/>
        <v>1</v>
      </c>
      <c r="Q45" s="16">
        <f t="shared" si="91"/>
        <v>1</v>
      </c>
      <c r="R45" s="16">
        <f t="shared" si="7"/>
        <v>3</v>
      </c>
    </row>
    <row r="46">
      <c r="A46" s="75">
        <v>12.0</v>
      </c>
      <c r="B46" s="76"/>
      <c r="C46" s="76"/>
      <c r="D46" s="76"/>
      <c r="E46" s="76"/>
      <c r="F46" s="76"/>
      <c r="G46" s="76"/>
      <c r="H46" s="76"/>
      <c r="I46" s="76">
        <f t="shared" si="4"/>
        <v>0</v>
      </c>
      <c r="J46" s="76"/>
      <c r="K46" s="75">
        <f t="shared" si="5"/>
        <v>12</v>
      </c>
      <c r="L46" s="76"/>
    </row>
    <row r="47">
      <c r="A47" s="75">
        <v>12.0</v>
      </c>
      <c r="B47" s="76"/>
      <c r="C47" s="76"/>
      <c r="D47" s="76"/>
      <c r="E47" s="76"/>
      <c r="F47" s="76"/>
      <c r="G47" s="76"/>
      <c r="H47" s="76"/>
      <c r="I47" s="76">
        <f t="shared" si="4"/>
        <v>0</v>
      </c>
      <c r="J47" s="76"/>
      <c r="K47" s="75">
        <f t="shared" si="5"/>
        <v>12</v>
      </c>
      <c r="L47" s="76"/>
    </row>
    <row r="48">
      <c r="A48" s="75">
        <v>12.0</v>
      </c>
      <c r="B48" s="76"/>
      <c r="C48" s="76"/>
      <c r="D48" s="76"/>
      <c r="E48" s="76"/>
      <c r="F48" s="76"/>
      <c r="G48" s="76"/>
      <c r="H48" s="76"/>
      <c r="I48" s="76">
        <f t="shared" si="4"/>
        <v>0</v>
      </c>
      <c r="J48" s="76"/>
      <c r="K48" s="75">
        <f t="shared" si="5"/>
        <v>12</v>
      </c>
      <c r="L48" s="76"/>
    </row>
    <row r="49">
      <c r="A49" s="75">
        <v>12.0</v>
      </c>
      <c r="B49" s="76"/>
      <c r="C49" s="76"/>
      <c r="D49" s="76"/>
      <c r="E49" s="76"/>
      <c r="F49" s="76"/>
      <c r="G49" s="76"/>
      <c r="H49" s="76"/>
      <c r="I49" s="76">
        <f t="shared" si="4"/>
        <v>0</v>
      </c>
      <c r="J49" s="76"/>
      <c r="K49" s="75">
        <f t="shared" si="5"/>
        <v>12</v>
      </c>
      <c r="L49" s="76"/>
    </row>
    <row r="50">
      <c r="A50" s="75">
        <v>13.0</v>
      </c>
      <c r="B50" s="76"/>
      <c r="C50" s="76"/>
      <c r="D50" s="76"/>
      <c r="E50" s="76"/>
      <c r="F50" s="76"/>
      <c r="G50" s="76"/>
      <c r="H50" s="76"/>
      <c r="I50" s="76">
        <f t="shared" si="4"/>
        <v>0</v>
      </c>
      <c r="J50" s="76"/>
      <c r="K50" s="75">
        <f t="shared" si="5"/>
        <v>13</v>
      </c>
      <c r="L50" s="76"/>
    </row>
    <row r="51">
      <c r="A51" s="75">
        <v>13.0</v>
      </c>
      <c r="B51" s="76"/>
      <c r="C51" s="76"/>
      <c r="D51" s="76"/>
      <c r="E51" s="76"/>
      <c r="F51" s="76"/>
      <c r="G51" s="76"/>
      <c r="H51" s="76"/>
      <c r="I51" s="76">
        <f t="shared" si="4"/>
        <v>0</v>
      </c>
      <c r="J51" s="76"/>
      <c r="K51" s="75">
        <f t="shared" si="5"/>
        <v>13</v>
      </c>
      <c r="L51" s="76"/>
    </row>
    <row r="52">
      <c r="A52" s="75">
        <v>13.0</v>
      </c>
      <c r="B52" s="76"/>
      <c r="C52" s="76"/>
      <c r="D52" s="76"/>
      <c r="E52" s="76"/>
      <c r="F52" s="76"/>
      <c r="G52" s="76"/>
      <c r="H52" s="76"/>
      <c r="I52" s="76">
        <f t="shared" si="4"/>
        <v>0</v>
      </c>
      <c r="J52" s="76"/>
      <c r="K52" s="75">
        <f t="shared" si="5"/>
        <v>13</v>
      </c>
      <c r="L52" s="76"/>
    </row>
    <row r="53">
      <c r="A53" s="75">
        <v>13.0</v>
      </c>
      <c r="B53" s="76"/>
      <c r="C53" s="76"/>
      <c r="D53" s="76"/>
      <c r="E53" s="76"/>
      <c r="F53" s="76"/>
      <c r="G53" s="76"/>
      <c r="H53" s="76"/>
      <c r="I53" s="76">
        <f t="shared" si="4"/>
        <v>0</v>
      </c>
      <c r="J53" s="76"/>
      <c r="K53" s="75">
        <f t="shared" si="5"/>
        <v>13</v>
      </c>
      <c r="L53" s="76"/>
    </row>
    <row r="54">
      <c r="A54" s="75">
        <v>14.0</v>
      </c>
      <c r="B54" s="76"/>
      <c r="C54" s="76"/>
      <c r="D54" s="76"/>
      <c r="E54" s="76"/>
      <c r="F54" s="76"/>
      <c r="G54" s="76"/>
      <c r="H54" s="76"/>
      <c r="I54" s="76">
        <f t="shared" si="4"/>
        <v>0</v>
      </c>
      <c r="J54" s="76"/>
      <c r="K54" s="75">
        <f t="shared" si="5"/>
        <v>14</v>
      </c>
      <c r="L54" s="76"/>
    </row>
    <row r="55">
      <c r="A55" s="75">
        <v>14.0</v>
      </c>
      <c r="B55" s="76"/>
      <c r="C55" s="76"/>
      <c r="D55" s="76"/>
      <c r="E55" s="76"/>
      <c r="F55" s="76"/>
      <c r="G55" s="76"/>
      <c r="H55" s="76"/>
      <c r="I55" s="76">
        <f t="shared" si="4"/>
        <v>0</v>
      </c>
      <c r="J55" s="76"/>
      <c r="K55" s="75">
        <f t="shared" si="5"/>
        <v>14</v>
      </c>
      <c r="L55" s="76"/>
    </row>
    <row r="56">
      <c r="A56" s="75">
        <v>14.0</v>
      </c>
      <c r="B56" s="76"/>
      <c r="C56" s="76"/>
      <c r="D56" s="76"/>
      <c r="E56" s="76"/>
      <c r="F56" s="76"/>
      <c r="G56" s="76"/>
      <c r="H56" s="76"/>
      <c r="I56" s="76">
        <f t="shared" si="4"/>
        <v>0</v>
      </c>
      <c r="J56" s="76"/>
      <c r="K56" s="75">
        <f t="shared" si="5"/>
        <v>14</v>
      </c>
      <c r="L56" s="76"/>
    </row>
    <row r="57">
      <c r="A57" s="75">
        <v>14.0</v>
      </c>
      <c r="B57" s="76"/>
      <c r="C57" s="76"/>
      <c r="D57" s="76"/>
      <c r="E57" s="76"/>
      <c r="F57" s="76"/>
      <c r="G57" s="76"/>
      <c r="H57" s="76"/>
      <c r="I57" s="76">
        <f t="shared" si="4"/>
        <v>0</v>
      </c>
      <c r="J57" s="76"/>
      <c r="K57" s="75">
        <f t="shared" si="5"/>
        <v>14</v>
      </c>
      <c r="L57" s="76"/>
    </row>
    <row r="58">
      <c r="A58" s="75">
        <v>15.0</v>
      </c>
      <c r="B58" s="76"/>
      <c r="C58" s="76"/>
      <c r="D58" s="76"/>
      <c r="E58" s="76"/>
      <c r="F58" s="76"/>
      <c r="G58" s="76"/>
      <c r="H58" s="76"/>
      <c r="I58" s="76">
        <f t="shared" si="4"/>
        <v>0</v>
      </c>
      <c r="J58" s="76"/>
      <c r="K58" s="75">
        <f t="shared" si="5"/>
        <v>15</v>
      </c>
      <c r="L58" s="76"/>
    </row>
    <row r="59">
      <c r="A59" s="75">
        <v>15.0</v>
      </c>
      <c r="B59" s="76"/>
      <c r="C59" s="76"/>
      <c r="D59" s="76"/>
      <c r="E59" s="76"/>
      <c r="F59" s="76"/>
      <c r="G59" s="76"/>
      <c r="H59" s="76"/>
      <c r="I59" s="76">
        <f t="shared" si="4"/>
        <v>0</v>
      </c>
      <c r="J59" s="76"/>
      <c r="K59" s="75">
        <f t="shared" si="5"/>
        <v>15</v>
      </c>
      <c r="L59" s="76"/>
    </row>
    <row r="60">
      <c r="A60" s="75">
        <v>15.0</v>
      </c>
      <c r="B60" s="76"/>
      <c r="C60" s="76"/>
      <c r="D60" s="76"/>
      <c r="E60" s="76"/>
      <c r="F60" s="76"/>
      <c r="G60" s="76"/>
      <c r="H60" s="76"/>
      <c r="I60" s="76">
        <f t="shared" si="4"/>
        <v>0</v>
      </c>
      <c r="J60" s="76"/>
      <c r="K60" s="75">
        <f t="shared" si="5"/>
        <v>15</v>
      </c>
      <c r="L60" s="76"/>
    </row>
    <row r="61">
      <c r="A61" s="75">
        <v>15.0</v>
      </c>
      <c r="B61" s="76"/>
      <c r="C61" s="76"/>
      <c r="D61" s="76"/>
      <c r="E61" s="76"/>
      <c r="F61" s="76"/>
      <c r="G61" s="76"/>
      <c r="H61" s="76"/>
      <c r="I61" s="76">
        <f t="shared" si="4"/>
        <v>0</v>
      </c>
      <c r="J61" s="76"/>
      <c r="K61" s="75">
        <f t="shared" si="5"/>
        <v>15</v>
      </c>
      <c r="L61" s="76"/>
    </row>
    <row r="62">
      <c r="A62" s="75">
        <v>16.0</v>
      </c>
      <c r="B62" s="76"/>
      <c r="C62" s="76"/>
      <c r="D62" s="76"/>
      <c r="E62" s="76"/>
      <c r="F62" s="76"/>
      <c r="G62" s="76"/>
      <c r="H62" s="76"/>
      <c r="I62" s="76">
        <f t="shared" si="4"/>
        <v>0</v>
      </c>
      <c r="J62" s="76"/>
      <c r="K62" s="75">
        <f t="shared" si="5"/>
        <v>16</v>
      </c>
      <c r="L62" s="76"/>
    </row>
    <row r="63">
      <c r="A63" s="75">
        <v>16.0</v>
      </c>
      <c r="B63" s="76"/>
      <c r="C63" s="76"/>
      <c r="D63" s="76"/>
      <c r="E63" s="76"/>
      <c r="F63" s="76"/>
      <c r="G63" s="76"/>
      <c r="H63" s="76"/>
      <c r="I63" s="76">
        <f t="shared" si="4"/>
        <v>0</v>
      </c>
      <c r="J63" s="76"/>
      <c r="K63" s="75">
        <f t="shared" si="5"/>
        <v>16</v>
      </c>
      <c r="L63" s="76"/>
    </row>
    <row r="64">
      <c r="A64" s="75">
        <v>16.0</v>
      </c>
      <c r="B64" s="76"/>
      <c r="C64" s="76"/>
      <c r="D64" s="76"/>
      <c r="E64" s="76"/>
      <c r="F64" s="76"/>
      <c r="G64" s="76"/>
      <c r="H64" s="76"/>
      <c r="I64" s="76">
        <f t="shared" si="4"/>
        <v>0</v>
      </c>
      <c r="J64" s="76"/>
      <c r="K64" s="75">
        <f t="shared" si="5"/>
        <v>16</v>
      </c>
      <c r="L64" s="76"/>
    </row>
    <row r="65">
      <c r="A65" s="75">
        <v>16.0</v>
      </c>
      <c r="B65" s="76"/>
      <c r="C65" s="76"/>
      <c r="D65" s="76"/>
      <c r="E65" s="76"/>
      <c r="F65" s="76"/>
      <c r="G65" s="76"/>
      <c r="H65" s="76"/>
      <c r="I65" s="76">
        <f t="shared" si="4"/>
        <v>0</v>
      </c>
      <c r="J65" s="76"/>
      <c r="K65" s="75">
        <f t="shared" si="5"/>
        <v>16</v>
      </c>
      <c r="L65" s="76"/>
    </row>
    <row r="69">
      <c r="A69" s="77" t="s">
        <v>112</v>
      </c>
      <c r="B69" s="25"/>
      <c r="C69" s="25"/>
      <c r="D69" s="26"/>
    </row>
    <row r="70">
      <c r="A70" s="78" t="s">
        <v>115</v>
      </c>
      <c r="B70" s="25"/>
      <c r="C70" s="25"/>
      <c r="D70" s="26"/>
      <c r="E70" s="79"/>
      <c r="F70" s="79"/>
      <c r="G70" s="79"/>
      <c r="H70" s="79"/>
      <c r="I70" s="79"/>
      <c r="J70" s="79"/>
      <c r="K70" s="80"/>
    </row>
    <row r="71">
      <c r="A71" s="5" t="s">
        <v>1</v>
      </c>
      <c r="B71" s="5" t="s">
        <v>0</v>
      </c>
      <c r="C71" s="7" t="s">
        <v>5</v>
      </c>
      <c r="D71" s="12" t="s">
        <v>7</v>
      </c>
      <c r="E71" s="79"/>
      <c r="F71" s="79"/>
      <c r="G71" s="79"/>
      <c r="H71" s="79"/>
      <c r="I71" s="79"/>
      <c r="J71" s="79"/>
      <c r="K71" s="80"/>
      <c r="L71" s="51" t="s">
        <v>116</v>
      </c>
      <c r="M71" s="81" t="s">
        <v>117</v>
      </c>
      <c r="N71" s="26"/>
      <c r="O71" s="82"/>
      <c r="P71" s="82"/>
      <c r="Q71" s="82"/>
      <c r="R71" s="82"/>
      <c r="S71" s="82"/>
      <c r="T71" s="82"/>
      <c r="U71" s="82"/>
    </row>
    <row r="72">
      <c r="A72" s="16">
        <f>IFERROR(__xludf.DUMMYFUNCTION("QUERY(A2:D45,""Select A, B, C, D where A &gt; 0 and A &lt;= 8"",0)"),1.0)</f>
        <v>1</v>
      </c>
      <c r="B72" s="16" t="str">
        <f>IFERROR(__xludf.DUMMYFUNCTION("""COMPUTED_VALUE"""),"Pulkit Mathur")</f>
        <v>Pulkit Mathur</v>
      </c>
      <c r="C72" s="24">
        <f>IFERROR(__xludf.DUMMYFUNCTION("""COMPUTED_VALUE"""),311.0)</f>
        <v>311</v>
      </c>
      <c r="D72" s="24">
        <f>IFERROR(__xludf.DUMMYFUNCTION("""COMPUTED_VALUE"""),31.0)</f>
        <v>31</v>
      </c>
      <c r="M72" s="83" t="s">
        <v>119</v>
      </c>
      <c r="N72" s="83" t="s">
        <v>120</v>
      </c>
    </row>
    <row r="73">
      <c r="A73" s="16">
        <f>IFERROR(__xludf.DUMMYFUNCTION("""COMPUTED_VALUE"""),1.0)</f>
        <v>1</v>
      </c>
      <c r="B73" s="16" t="str">
        <f>IFERROR(__xludf.DUMMYFUNCTION("""COMPUTED_VALUE"""),"David Shin")</f>
        <v>David Shin</v>
      </c>
      <c r="C73" s="24">
        <f>IFERROR(__xludf.DUMMYFUNCTION("""COMPUTED_VALUE"""),303.0)</f>
        <v>303</v>
      </c>
      <c r="D73" s="24">
        <f>IFERROR(__xludf.DUMMYFUNCTION("""COMPUTED_VALUE"""),27.0)</f>
        <v>27</v>
      </c>
      <c r="M73" s="84">
        <v>45766.0</v>
      </c>
      <c r="N73" s="16" t="s">
        <v>50</v>
      </c>
      <c r="V73" s="16" t="s">
        <v>50</v>
      </c>
    </row>
    <row r="74">
      <c r="A74" s="16">
        <f>IFERROR(__xludf.DUMMYFUNCTION("""COMPUTED_VALUE"""),1.0)</f>
        <v>1</v>
      </c>
      <c r="B74" s="16" t="str">
        <f>IFERROR(__xludf.DUMMYFUNCTION("""COMPUTED_VALUE"""),"Ethan Gu")</f>
        <v>Ethan Gu</v>
      </c>
      <c r="C74" s="24">
        <f>IFERROR(__xludf.DUMMYFUNCTION("""COMPUTED_VALUE"""),301.0)</f>
        <v>301</v>
      </c>
      <c r="D74" s="24">
        <f>IFERROR(__xludf.DUMMYFUNCTION("""COMPUTED_VALUE"""),31.0)</f>
        <v>31</v>
      </c>
      <c r="M74" s="85">
        <f t="shared" ref="M74:M109" si="92">M73+7</f>
        <v>45773</v>
      </c>
      <c r="N74" s="16" t="s">
        <v>103</v>
      </c>
      <c r="V74" s="16" t="s">
        <v>103</v>
      </c>
    </row>
    <row r="75">
      <c r="A75" s="16">
        <f>IFERROR(__xludf.DUMMYFUNCTION("""COMPUTED_VALUE"""),1.0)</f>
        <v>1</v>
      </c>
      <c r="B75" s="16" t="str">
        <f>IFERROR(__xludf.DUMMYFUNCTION("""COMPUTED_VALUE"""),"Joe Luzzi")</f>
        <v>Joe Luzzi</v>
      </c>
      <c r="C75" s="24">
        <f>IFERROR(__xludf.DUMMYFUNCTION("""COMPUTED_VALUE"""),300.0)</f>
        <v>300</v>
      </c>
      <c r="D75" s="24">
        <f>IFERROR(__xludf.DUMMYFUNCTION("""COMPUTED_VALUE"""),21.0)</f>
        <v>21</v>
      </c>
      <c r="M75" s="85">
        <f t="shared" si="92"/>
        <v>45780</v>
      </c>
      <c r="N75" s="16" t="s">
        <v>73</v>
      </c>
      <c r="V75" s="16" t="s">
        <v>73</v>
      </c>
    </row>
    <row r="76">
      <c r="A76" s="44">
        <f>IFERROR(__xludf.DUMMYFUNCTION("""COMPUTED_VALUE"""),2.0)</f>
        <v>2</v>
      </c>
      <c r="B76" s="44" t="str">
        <f>IFERROR(__xludf.DUMMYFUNCTION("""COMPUTED_VALUE"""),"Suleman Alidina")</f>
        <v>Suleman Alidina</v>
      </c>
      <c r="C76" s="45">
        <f>IFERROR(__xludf.DUMMYFUNCTION("""COMPUTED_VALUE"""),293.0)</f>
        <v>293</v>
      </c>
      <c r="D76" s="45">
        <f>IFERROR(__xludf.DUMMYFUNCTION("""COMPUTED_VALUE"""),29.0)</f>
        <v>29</v>
      </c>
      <c r="M76" s="85">
        <f t="shared" si="92"/>
        <v>45787</v>
      </c>
      <c r="N76" s="16" t="s">
        <v>105</v>
      </c>
      <c r="V76" s="16" t="s">
        <v>105</v>
      </c>
    </row>
    <row r="77">
      <c r="A77" s="44">
        <f>IFERROR(__xludf.DUMMYFUNCTION("""COMPUTED_VALUE"""),2.0)</f>
        <v>2</v>
      </c>
      <c r="B77" s="44" t="str">
        <f>IFERROR(__xludf.DUMMYFUNCTION("""COMPUTED_VALUE"""),"Tina Hanson")</f>
        <v>Tina Hanson</v>
      </c>
      <c r="C77" s="45">
        <f>IFERROR(__xludf.DUMMYFUNCTION("""COMPUTED_VALUE"""),292.0)</f>
        <v>292</v>
      </c>
      <c r="D77" s="45">
        <f>IFERROR(__xludf.DUMMYFUNCTION("""COMPUTED_VALUE"""),29.0)</f>
        <v>29</v>
      </c>
      <c r="M77" s="85">
        <f t="shared" si="92"/>
        <v>45794</v>
      </c>
      <c r="N77" s="16" t="s">
        <v>106</v>
      </c>
      <c r="V77" s="16" t="s">
        <v>106</v>
      </c>
    </row>
    <row r="78">
      <c r="A78" s="44">
        <f>IFERROR(__xludf.DUMMYFUNCTION("""COMPUTED_VALUE"""),2.0)</f>
        <v>2</v>
      </c>
      <c r="B78" s="44" t="str">
        <f>IFERROR(__xludf.DUMMYFUNCTION("""COMPUTED_VALUE"""),"Naveen Raj")</f>
        <v>Naveen Raj</v>
      </c>
      <c r="C78" s="45">
        <f>IFERROR(__xludf.DUMMYFUNCTION("""COMPUTED_VALUE"""),288.0)</f>
        <v>288</v>
      </c>
      <c r="D78" s="45">
        <f>IFERROR(__xludf.DUMMYFUNCTION("""COMPUTED_VALUE"""),29.0)</f>
        <v>29</v>
      </c>
      <c r="M78" s="85">
        <f t="shared" si="92"/>
        <v>45801</v>
      </c>
      <c r="N78" s="16" t="s">
        <v>107</v>
      </c>
      <c r="V78" s="16" t="s">
        <v>107</v>
      </c>
    </row>
    <row r="79">
      <c r="A79" s="44">
        <f>IFERROR(__xludf.DUMMYFUNCTION("""COMPUTED_VALUE"""),2.0)</f>
        <v>2</v>
      </c>
      <c r="B79" s="44" t="str">
        <f>IFERROR(__xludf.DUMMYFUNCTION("""COMPUTED_VALUE"""),"Ted Shen")</f>
        <v>Ted Shen</v>
      </c>
      <c r="C79" s="45">
        <f>IFERROR(__xludf.DUMMYFUNCTION("""COMPUTED_VALUE"""),286.0)</f>
        <v>286</v>
      </c>
      <c r="D79" s="45">
        <f>IFERROR(__xludf.DUMMYFUNCTION("""COMPUTED_VALUE"""),27.0)</f>
        <v>27</v>
      </c>
      <c r="M79" s="85">
        <f t="shared" si="92"/>
        <v>45808</v>
      </c>
      <c r="N79" s="16" t="s">
        <v>50</v>
      </c>
    </row>
    <row r="80">
      <c r="A80" s="16">
        <f>IFERROR(__xludf.DUMMYFUNCTION("""COMPUTED_VALUE"""),3.0)</f>
        <v>3</v>
      </c>
      <c r="B80" s="16" t="str">
        <f>IFERROR(__xludf.DUMMYFUNCTION("""COMPUTED_VALUE"""),"Mauricio Palacios")</f>
        <v>Mauricio Palacios</v>
      </c>
      <c r="C80" s="24">
        <f>IFERROR(__xludf.DUMMYFUNCTION("""COMPUTED_VALUE"""),286.0)</f>
        <v>286</v>
      </c>
      <c r="D80" s="24">
        <f>IFERROR(__xludf.DUMMYFUNCTION("""COMPUTED_VALUE"""),22.0)</f>
        <v>22</v>
      </c>
      <c r="M80" s="85">
        <f t="shared" si="92"/>
        <v>45815</v>
      </c>
      <c r="N80" s="16" t="s">
        <v>103</v>
      </c>
    </row>
    <row r="81">
      <c r="A81" s="16">
        <f>IFERROR(__xludf.DUMMYFUNCTION("""COMPUTED_VALUE"""),3.0)</f>
        <v>3</v>
      </c>
      <c r="B81" s="16" t="str">
        <f>IFERROR(__xludf.DUMMYFUNCTION("""COMPUTED_VALUE"""),"Elayaraja Thangaraj")</f>
        <v>Elayaraja Thangaraj</v>
      </c>
      <c r="C81" s="24">
        <f>IFERROR(__xludf.DUMMYFUNCTION("""COMPUTED_VALUE"""),286.0)</f>
        <v>286</v>
      </c>
      <c r="D81" s="24">
        <f>IFERROR(__xludf.DUMMYFUNCTION("""COMPUTED_VALUE"""),21.0)</f>
        <v>21</v>
      </c>
      <c r="M81" s="85">
        <f t="shared" si="92"/>
        <v>45822</v>
      </c>
      <c r="N81" s="16" t="s">
        <v>73</v>
      </c>
    </row>
    <row r="82">
      <c r="A82" s="16">
        <f>IFERROR(__xludf.DUMMYFUNCTION("""COMPUTED_VALUE"""),3.0)</f>
        <v>3</v>
      </c>
      <c r="B82" s="16" t="str">
        <f>IFERROR(__xludf.DUMMYFUNCTION("""COMPUTED_VALUE"""),"Coco Yan")</f>
        <v>Coco Yan</v>
      </c>
      <c r="C82" s="24">
        <f>IFERROR(__xludf.DUMMYFUNCTION("""COMPUTED_VALUE"""),285.0)</f>
        <v>285</v>
      </c>
      <c r="D82" s="24">
        <f>IFERROR(__xludf.DUMMYFUNCTION("""COMPUTED_VALUE"""),22.0)</f>
        <v>22</v>
      </c>
      <c r="M82" s="85">
        <f t="shared" si="92"/>
        <v>45829</v>
      </c>
      <c r="N82" s="16" t="s">
        <v>105</v>
      </c>
    </row>
    <row r="83">
      <c r="A83" s="16">
        <f>IFERROR(__xludf.DUMMYFUNCTION("""COMPUTED_VALUE"""),3.0)</f>
        <v>3</v>
      </c>
      <c r="B83" s="16" t="str">
        <f>IFERROR(__xludf.DUMMYFUNCTION("""COMPUTED_VALUE"""),"Allen Zhang")</f>
        <v>Allen Zhang</v>
      </c>
      <c r="C83" s="24">
        <f>IFERROR(__xludf.DUMMYFUNCTION("""COMPUTED_VALUE"""),284.0)</f>
        <v>284</v>
      </c>
      <c r="D83" s="24">
        <f>IFERROR(__xludf.DUMMYFUNCTION("""COMPUTED_VALUE"""),24.0)</f>
        <v>24</v>
      </c>
      <c r="M83" s="85">
        <f t="shared" si="92"/>
        <v>45836</v>
      </c>
      <c r="N83" s="16" t="s">
        <v>106</v>
      </c>
    </row>
    <row r="84">
      <c r="A84" s="44">
        <f>IFERROR(__xludf.DUMMYFUNCTION("""COMPUTED_VALUE"""),4.0)</f>
        <v>4</v>
      </c>
      <c r="B84" s="44" t="str">
        <f>IFERROR(__xludf.DUMMYFUNCTION("""COMPUTED_VALUE"""),"Jimmy Awolesi")</f>
        <v>Jimmy Awolesi</v>
      </c>
      <c r="C84" s="45">
        <f>IFERROR(__xludf.DUMMYFUNCTION("""COMPUTED_VALUE"""),283.0)</f>
        <v>283</v>
      </c>
      <c r="D84" s="45">
        <f>IFERROR(__xludf.DUMMYFUNCTION("""COMPUTED_VALUE"""),25.0)</f>
        <v>25</v>
      </c>
      <c r="M84" s="87">
        <f t="shared" si="92"/>
        <v>45843</v>
      </c>
      <c r="N84" s="88" t="s">
        <v>107</v>
      </c>
    </row>
    <row r="85">
      <c r="A85" s="44">
        <f>IFERROR(__xludf.DUMMYFUNCTION("""COMPUTED_VALUE"""),4.0)</f>
        <v>4</v>
      </c>
      <c r="B85" s="44" t="str">
        <f>IFERROR(__xludf.DUMMYFUNCTION("""COMPUTED_VALUE"""),"Nicole Ni")</f>
        <v>Nicole Ni</v>
      </c>
      <c r="C85" s="45">
        <f>IFERROR(__xludf.DUMMYFUNCTION("""COMPUTED_VALUE"""),283.0)</f>
        <v>283</v>
      </c>
      <c r="D85" s="45">
        <f>IFERROR(__xludf.DUMMYFUNCTION("""COMPUTED_VALUE"""),23.0)</f>
        <v>23</v>
      </c>
      <c r="L85" s="89">
        <v>10.0</v>
      </c>
      <c r="M85" s="87">
        <f t="shared" si="92"/>
        <v>45850</v>
      </c>
      <c r="N85" s="88" t="s">
        <v>50</v>
      </c>
    </row>
    <row r="86">
      <c r="A86" s="44">
        <f>IFERROR(__xludf.DUMMYFUNCTION("""COMPUTED_VALUE"""),4.0)</f>
        <v>4</v>
      </c>
      <c r="B86" s="44" t="str">
        <f>IFERROR(__xludf.DUMMYFUNCTION("""COMPUTED_VALUE"""),"Erik Hoeckmann")</f>
        <v>Erik Hoeckmann</v>
      </c>
      <c r="C86" s="45">
        <f>IFERROR(__xludf.DUMMYFUNCTION("""COMPUTED_VALUE"""),281.0)</f>
        <v>281</v>
      </c>
      <c r="D86" s="45">
        <f>IFERROR(__xludf.DUMMYFUNCTION("""COMPUTED_VALUE"""),22.0)</f>
        <v>22</v>
      </c>
      <c r="L86" s="42">
        <v>9.0</v>
      </c>
      <c r="M86" s="90">
        <f t="shared" si="92"/>
        <v>45857</v>
      </c>
      <c r="N86" s="91" t="s">
        <v>103</v>
      </c>
    </row>
    <row r="87">
      <c r="A87" s="44">
        <f>IFERROR(__xludf.DUMMYFUNCTION("""COMPUTED_VALUE"""),4.0)</f>
        <v>4</v>
      </c>
      <c r="B87" s="44" t="str">
        <f>IFERROR(__xludf.DUMMYFUNCTION("""COMPUTED_VALUE"""),"Hongyuan Wen")</f>
        <v>Hongyuan Wen</v>
      </c>
      <c r="C87" s="45">
        <f>IFERROR(__xludf.DUMMYFUNCTION("""COMPUTED_VALUE"""),278.0)</f>
        <v>278</v>
      </c>
      <c r="D87" s="45">
        <f>IFERROR(__xludf.DUMMYFUNCTION("""COMPUTED_VALUE"""),19.0)</f>
        <v>19</v>
      </c>
      <c r="L87" s="51">
        <v>8.0</v>
      </c>
      <c r="M87" s="87">
        <f t="shared" si="92"/>
        <v>45864</v>
      </c>
      <c r="N87" s="88" t="s">
        <v>73</v>
      </c>
    </row>
    <row r="88">
      <c r="A88" s="16">
        <f>IFERROR(__xludf.DUMMYFUNCTION("""COMPUTED_VALUE"""),5.0)</f>
        <v>5</v>
      </c>
      <c r="B88" s="16" t="str">
        <f>IFERROR(__xludf.DUMMYFUNCTION("""COMPUTED_VALUE"""),"Jim Miao")</f>
        <v>Jim Miao</v>
      </c>
      <c r="C88" s="24">
        <f>IFERROR(__xludf.DUMMYFUNCTION("""COMPUTED_VALUE"""),275.0)</f>
        <v>275</v>
      </c>
      <c r="D88" s="24">
        <f>IFERROR(__xludf.DUMMYFUNCTION("""COMPUTED_VALUE"""),22.0)</f>
        <v>22</v>
      </c>
      <c r="L88" s="51">
        <v>7.0</v>
      </c>
      <c r="M88" s="87">
        <f t="shared" si="92"/>
        <v>45871</v>
      </c>
      <c r="N88" s="88" t="s">
        <v>107</v>
      </c>
    </row>
    <row r="89">
      <c r="A89" s="16">
        <f>IFERROR(__xludf.DUMMYFUNCTION("""COMPUTED_VALUE"""),5.0)</f>
        <v>5</v>
      </c>
      <c r="B89" s="16" t="str">
        <f>IFERROR(__xludf.DUMMYFUNCTION("""COMPUTED_VALUE"""),"Sean Chang")</f>
        <v>Sean Chang</v>
      </c>
      <c r="C89" s="24">
        <f>IFERROR(__xludf.DUMMYFUNCTION("""COMPUTED_VALUE"""),271.0)</f>
        <v>271</v>
      </c>
      <c r="D89" s="24">
        <f>IFERROR(__xludf.DUMMYFUNCTION("""COMPUTED_VALUE"""),22.0)</f>
        <v>22</v>
      </c>
      <c r="L89" s="51">
        <v>6.0</v>
      </c>
      <c r="M89" s="87">
        <f t="shared" si="92"/>
        <v>45878</v>
      </c>
      <c r="N89" s="88" t="s">
        <v>73</v>
      </c>
    </row>
    <row r="90">
      <c r="A90" s="16">
        <f>IFERROR(__xludf.DUMMYFUNCTION("""COMPUTED_VALUE"""),5.0)</f>
        <v>5</v>
      </c>
      <c r="B90" s="16" t="str">
        <f>IFERROR(__xludf.DUMMYFUNCTION("""COMPUTED_VALUE"""),"Manish Anand")</f>
        <v>Manish Anand</v>
      </c>
      <c r="C90" s="24">
        <f>IFERROR(__xludf.DUMMYFUNCTION("""COMPUTED_VALUE"""),247.0)</f>
        <v>247</v>
      </c>
      <c r="D90" s="24">
        <f>IFERROR(__xludf.DUMMYFUNCTION("""COMPUTED_VALUE"""),12.0)</f>
        <v>12</v>
      </c>
      <c r="L90" s="51">
        <v>5.0</v>
      </c>
      <c r="M90" s="85">
        <f t="shared" si="92"/>
        <v>45885</v>
      </c>
      <c r="N90" s="16" t="s">
        <v>105</v>
      </c>
    </row>
    <row r="91">
      <c r="A91" s="16">
        <f>IFERROR(__xludf.DUMMYFUNCTION("""COMPUTED_VALUE"""),5.0)</f>
        <v>5</v>
      </c>
      <c r="B91" s="16" t="str">
        <f>IFERROR(__xludf.DUMMYFUNCTION("""COMPUTED_VALUE"""),"Susanta Mishra")</f>
        <v>Susanta Mishra</v>
      </c>
      <c r="C91" s="24">
        <f>IFERROR(__xludf.DUMMYFUNCTION("""COMPUTED_VALUE"""),224.0)</f>
        <v>224</v>
      </c>
      <c r="D91" s="24">
        <f>IFERROR(__xludf.DUMMYFUNCTION("""COMPUTED_VALUE"""),7.0)</f>
        <v>7</v>
      </c>
      <c r="L91" s="51">
        <v>4.0</v>
      </c>
      <c r="M91" s="85">
        <f t="shared" si="92"/>
        <v>45892</v>
      </c>
      <c r="N91" s="16" t="s">
        <v>50</v>
      </c>
    </row>
    <row r="92">
      <c r="A92" s="44">
        <f>IFERROR(__xludf.DUMMYFUNCTION("""COMPUTED_VALUE"""),6.0)</f>
        <v>6</v>
      </c>
      <c r="B92" s="44" t="str">
        <f>IFERROR(__xludf.DUMMYFUNCTION("""COMPUTED_VALUE"""),"Luis Hsu")</f>
        <v>Luis Hsu</v>
      </c>
      <c r="C92" s="45">
        <f>IFERROR(__xludf.DUMMYFUNCTION("""COMPUTED_VALUE"""),216.0)</f>
        <v>216</v>
      </c>
      <c r="D92" s="45">
        <f>IFERROR(__xludf.DUMMYFUNCTION("""COMPUTED_VALUE"""),3.0)</f>
        <v>3</v>
      </c>
      <c r="L92" s="51">
        <v>3.0</v>
      </c>
      <c r="M92" s="85">
        <f t="shared" si="92"/>
        <v>45899</v>
      </c>
      <c r="N92" s="16" t="s">
        <v>103</v>
      </c>
    </row>
    <row r="93">
      <c r="A93" s="44">
        <f>IFERROR(__xludf.DUMMYFUNCTION("""COMPUTED_VALUE"""),6.0)</f>
        <v>6</v>
      </c>
      <c r="B93" s="44" t="str">
        <f>IFERROR(__xludf.DUMMYFUNCTION("""COMPUTED_VALUE"""),"Lloyd Sagar")</f>
        <v>Lloyd Sagar</v>
      </c>
      <c r="C93" s="45">
        <f>IFERROR(__xludf.DUMMYFUNCTION("""COMPUTED_VALUE"""),207.0)</f>
        <v>207</v>
      </c>
      <c r="D93" s="45">
        <f>IFERROR(__xludf.DUMMYFUNCTION("""COMPUTED_VALUE"""),0.0)</f>
        <v>0</v>
      </c>
      <c r="L93" s="51">
        <v>2.0</v>
      </c>
      <c r="M93" s="85">
        <f t="shared" si="92"/>
        <v>45906</v>
      </c>
      <c r="N93" s="16" t="s">
        <v>73</v>
      </c>
    </row>
    <row r="94">
      <c r="A94" s="44">
        <f>IFERROR(__xludf.DUMMYFUNCTION("""COMPUTED_VALUE"""),6.0)</f>
        <v>6</v>
      </c>
      <c r="B94" s="44"/>
      <c r="C94" s="45"/>
      <c r="D94" s="45"/>
      <c r="L94" s="51">
        <v>1.0</v>
      </c>
      <c r="M94" s="85">
        <f t="shared" si="92"/>
        <v>45913</v>
      </c>
      <c r="N94" s="16" t="s">
        <v>105</v>
      </c>
    </row>
    <row r="95">
      <c r="A95" s="44">
        <f>IFERROR(__xludf.DUMMYFUNCTION("""COMPUTED_VALUE"""),6.0)</f>
        <v>6</v>
      </c>
      <c r="B95" s="44"/>
      <c r="C95" s="45"/>
      <c r="D95" s="45"/>
      <c r="M95" s="85">
        <f t="shared" si="92"/>
        <v>45920</v>
      </c>
      <c r="N95" s="16" t="s">
        <v>106</v>
      </c>
    </row>
    <row r="96">
      <c r="A96" s="16">
        <f>IFERROR(__xludf.DUMMYFUNCTION("""COMPUTED_VALUE"""),7.0)</f>
        <v>7</v>
      </c>
      <c r="B96" s="16"/>
      <c r="C96" s="24"/>
      <c r="D96" s="24"/>
      <c r="M96" s="85">
        <f t="shared" si="92"/>
        <v>45927</v>
      </c>
      <c r="N96" s="16" t="s">
        <v>107</v>
      </c>
    </row>
    <row r="97">
      <c r="A97" s="16">
        <f>IFERROR(__xludf.DUMMYFUNCTION("""COMPUTED_VALUE"""),7.0)</f>
        <v>7</v>
      </c>
      <c r="B97" s="16"/>
      <c r="C97" s="24"/>
      <c r="D97" s="24"/>
      <c r="M97" s="85">
        <f t="shared" si="92"/>
        <v>45934</v>
      </c>
      <c r="N97" s="16" t="s">
        <v>50</v>
      </c>
    </row>
    <row r="98">
      <c r="A98" s="16">
        <f>IFERROR(__xludf.DUMMYFUNCTION("""COMPUTED_VALUE"""),7.0)</f>
        <v>7</v>
      </c>
      <c r="B98" s="16"/>
      <c r="C98" s="24"/>
      <c r="D98" s="24"/>
      <c r="M98" s="85">
        <f t="shared" si="92"/>
        <v>45941</v>
      </c>
      <c r="N98" s="16" t="s">
        <v>103</v>
      </c>
    </row>
    <row r="99">
      <c r="A99" s="16">
        <f>IFERROR(__xludf.DUMMYFUNCTION("""COMPUTED_VALUE"""),7.0)</f>
        <v>7</v>
      </c>
      <c r="B99" s="16"/>
      <c r="C99" s="24"/>
      <c r="D99" s="24"/>
      <c r="M99" s="85">
        <f t="shared" si="92"/>
        <v>45948</v>
      </c>
      <c r="N99" s="16" t="s">
        <v>73</v>
      </c>
    </row>
    <row r="100">
      <c r="A100" s="44">
        <f>IFERROR(__xludf.DUMMYFUNCTION("""COMPUTED_VALUE"""),8.0)</f>
        <v>8</v>
      </c>
      <c r="B100" s="44"/>
      <c r="C100" s="45"/>
      <c r="D100" s="45"/>
      <c r="M100" s="85">
        <f t="shared" si="92"/>
        <v>45955</v>
      </c>
      <c r="N100" s="16" t="s">
        <v>105</v>
      </c>
    </row>
    <row r="101">
      <c r="A101" s="44">
        <f>IFERROR(__xludf.DUMMYFUNCTION("""COMPUTED_VALUE"""),8.0)</f>
        <v>8</v>
      </c>
      <c r="B101" s="44"/>
      <c r="C101" s="45"/>
      <c r="D101" s="45"/>
      <c r="M101" s="85">
        <f t="shared" si="92"/>
        <v>45962</v>
      </c>
      <c r="N101" s="16" t="s">
        <v>106</v>
      </c>
    </row>
    <row r="102">
      <c r="A102" s="44">
        <f>IFERROR(__xludf.DUMMYFUNCTION("""COMPUTED_VALUE"""),8.0)</f>
        <v>8</v>
      </c>
      <c r="B102" s="44"/>
      <c r="C102" s="45"/>
      <c r="D102" s="45"/>
      <c r="M102" s="85">
        <f t="shared" si="92"/>
        <v>45969</v>
      </c>
      <c r="N102" s="16" t="s">
        <v>107</v>
      </c>
    </row>
    <row r="103">
      <c r="A103" s="44">
        <f>IFERROR(__xludf.DUMMYFUNCTION("""COMPUTED_VALUE"""),8.0)</f>
        <v>8</v>
      </c>
      <c r="B103" s="44"/>
      <c r="C103" s="45"/>
      <c r="D103" s="45"/>
      <c r="M103" s="85">
        <f t="shared" si="92"/>
        <v>45976</v>
      </c>
      <c r="N103" s="16" t="s">
        <v>50</v>
      </c>
    </row>
    <row r="104">
      <c r="M104" s="85">
        <f t="shared" si="92"/>
        <v>45983</v>
      </c>
      <c r="N104" s="16" t="s">
        <v>103</v>
      </c>
    </row>
    <row r="105">
      <c r="M105" s="85">
        <f t="shared" si="92"/>
        <v>45990</v>
      </c>
      <c r="N105" s="16" t="s">
        <v>73</v>
      </c>
    </row>
    <row r="106">
      <c r="M106" s="85">
        <f t="shared" si="92"/>
        <v>45997</v>
      </c>
      <c r="N106" s="16" t="s">
        <v>105</v>
      </c>
    </row>
    <row r="107">
      <c r="M107" s="85">
        <f t="shared" si="92"/>
        <v>46004</v>
      </c>
      <c r="N107" s="16" t="s">
        <v>106</v>
      </c>
    </row>
    <row r="108">
      <c r="A108" s="93" t="s">
        <v>126</v>
      </c>
      <c r="M108" s="85">
        <f t="shared" si="92"/>
        <v>46011</v>
      </c>
      <c r="N108" s="16" t="s">
        <v>107</v>
      </c>
    </row>
    <row r="109">
      <c r="A109" s="94" t="s">
        <v>127</v>
      </c>
      <c r="M109" s="85">
        <f t="shared" si="92"/>
        <v>46018</v>
      </c>
      <c r="N109" s="16" t="s">
        <v>50</v>
      </c>
    </row>
    <row r="110">
      <c r="A110" s="5" t="s">
        <v>1</v>
      </c>
      <c r="B110" s="5" t="s">
        <v>0</v>
      </c>
      <c r="C110" s="7" t="s">
        <v>5</v>
      </c>
      <c r="D110" s="12" t="s">
        <v>7</v>
      </c>
    </row>
    <row r="111">
      <c r="A111" s="16">
        <f>IFERROR(__xludf.DUMMYFUNCTION("QUERY(A2:D45,""Select A, B, C, D where A &gt;= 9 "",0)"),9.0)</f>
        <v>9</v>
      </c>
      <c r="B111" s="16"/>
      <c r="C111" s="24"/>
      <c r="D111" s="24"/>
    </row>
    <row r="112">
      <c r="A112" s="16">
        <f>IFERROR(__xludf.DUMMYFUNCTION("""COMPUTED_VALUE"""),9.0)</f>
        <v>9</v>
      </c>
      <c r="B112" s="16"/>
      <c r="C112" s="24"/>
      <c r="D112" s="24"/>
    </row>
    <row r="113">
      <c r="A113" s="16">
        <f>IFERROR(__xludf.DUMMYFUNCTION("""COMPUTED_VALUE"""),9.0)</f>
        <v>9</v>
      </c>
      <c r="B113" s="16"/>
      <c r="C113" s="24"/>
      <c r="D113" s="24"/>
    </row>
    <row r="114">
      <c r="A114" s="16">
        <f>IFERROR(__xludf.DUMMYFUNCTION("""COMPUTED_VALUE"""),9.0)</f>
        <v>9</v>
      </c>
      <c r="B114" s="16"/>
      <c r="C114" s="24"/>
      <c r="D114" s="24"/>
    </row>
    <row r="115">
      <c r="A115" s="44">
        <f>IFERROR(__xludf.DUMMYFUNCTION("""COMPUTED_VALUE"""),10.0)</f>
        <v>10</v>
      </c>
      <c r="B115" s="44"/>
      <c r="C115" s="45"/>
      <c r="D115" s="45"/>
    </row>
    <row r="116">
      <c r="A116" s="44">
        <f>IFERROR(__xludf.DUMMYFUNCTION("""COMPUTED_VALUE"""),10.0)</f>
        <v>10</v>
      </c>
      <c r="B116" s="44"/>
      <c r="C116" s="45"/>
      <c r="D116" s="45"/>
    </row>
    <row r="117">
      <c r="A117" s="44">
        <f>IFERROR(__xludf.DUMMYFUNCTION("""COMPUTED_VALUE"""),10.0)</f>
        <v>10</v>
      </c>
      <c r="B117" s="44"/>
      <c r="C117" s="45"/>
      <c r="D117" s="45"/>
    </row>
    <row r="118">
      <c r="A118" s="44">
        <f>IFERROR(__xludf.DUMMYFUNCTION("""COMPUTED_VALUE"""),10.0)</f>
        <v>10</v>
      </c>
      <c r="B118" s="44"/>
      <c r="C118" s="45"/>
      <c r="D118" s="45"/>
    </row>
    <row r="119">
      <c r="A119" s="16">
        <f>IFERROR(__xludf.DUMMYFUNCTION("""COMPUTED_VALUE"""),11.0)</f>
        <v>11</v>
      </c>
      <c r="B119" s="16"/>
      <c r="C119" s="24"/>
      <c r="D119" s="24"/>
    </row>
    <row r="120">
      <c r="A120" s="16">
        <f>IFERROR(__xludf.DUMMYFUNCTION("""COMPUTED_VALUE"""),11.0)</f>
        <v>11</v>
      </c>
      <c r="B120" s="16"/>
      <c r="C120" s="24"/>
      <c r="D120" s="24"/>
    </row>
    <row r="121">
      <c r="A121" s="16">
        <f>IFERROR(__xludf.DUMMYFUNCTION("""COMPUTED_VALUE"""),11.0)</f>
        <v>11</v>
      </c>
      <c r="B121" s="16"/>
      <c r="C121" s="24"/>
      <c r="D121" s="24"/>
    </row>
    <row r="122">
      <c r="A122" s="16">
        <f>IFERROR(__xludf.DUMMYFUNCTION("""COMPUTED_VALUE"""),11.0)</f>
        <v>11</v>
      </c>
      <c r="B122" s="16"/>
      <c r="C122" s="24"/>
      <c r="D122" s="24"/>
    </row>
  </sheetData>
  <mergeCells count="6">
    <mergeCell ref="Y1:Z1"/>
    <mergeCell ref="A69:D69"/>
    <mergeCell ref="A70:D70"/>
    <mergeCell ref="M71:N71"/>
    <mergeCell ref="A108:D108"/>
    <mergeCell ref="A109:D109"/>
  </mergeCells>
  <conditionalFormatting sqref="O2:R45 S2:W2 Z2 S6:W6 Z6 S10:W10 Z10 S14:W15 Z14 S18:W18 Z18 S22:W22 Z22 S26:W26 Z26 S30:W30 Z30 S34:W34 Z34 S38:W38 Z38 S42:W42 Z42">
    <cfRule type="containsText" dxfId="2" priority="1" operator="containsText" text="ERROR">
      <formula>NOT(ISERROR(SEARCH(("ERROR"),(O2))))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.38"/>
    <col customWidth="1" min="3" max="4" width="8.88"/>
    <col customWidth="1" min="5" max="5" width="5.13"/>
    <col customWidth="1" min="6" max="6" width="26.63"/>
    <col customWidth="1" min="7" max="7" width="23.63"/>
    <col customWidth="1" min="8" max="8" width="19.25"/>
    <col customWidth="1" min="9" max="9" width="23.75"/>
    <col customWidth="1" min="10" max="10" width="17.25"/>
    <col customWidth="1" min="11" max="11" width="19.75"/>
    <col customWidth="1" min="12" max="12" width="8.5"/>
    <col customWidth="1" min="13" max="13" width="10.25"/>
    <col customWidth="1" min="14" max="14" width="6.0"/>
    <col customWidth="1" min="15" max="15" width="17.25"/>
    <col customWidth="1" min="16" max="16" width="14.88"/>
    <col customWidth="1" min="17" max="17" width="13.63"/>
    <col customWidth="1" min="18" max="18" width="15.0"/>
  </cols>
  <sheetData>
    <row r="1">
      <c r="A1" s="2" t="s">
        <v>0</v>
      </c>
      <c r="B1" s="2" t="s">
        <v>3</v>
      </c>
      <c r="C1" s="6" t="s">
        <v>4</v>
      </c>
      <c r="E1" s="9" t="s">
        <v>6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6" t="s">
        <v>17</v>
      </c>
      <c r="L1" s="6" t="s">
        <v>4</v>
      </c>
      <c r="M1" s="6" t="s">
        <v>19</v>
      </c>
    </row>
    <row r="2">
      <c r="A2" s="16" t="str">
        <f>IFERROR(__xludf.DUMMYFUNCTION("IMPORTRANGE(""1uZFF2o7rrfB0YZtASdZnP52Ef50ZinvtOPb1Tbuq8J4"",""CheckIn!C1:D99"")"),"Adrian Tay")</f>
        <v>Adrian Tay</v>
      </c>
      <c r="B2" s="16">
        <f>IFERROR(__xludf.DUMMYFUNCTION("""COMPUTED_VALUE"""),3.0)</f>
        <v>3</v>
      </c>
      <c r="C2" s="16">
        <f t="shared" ref="C2:C66" si="1">iferror(VLOOKUP(A2,indirect("'" &amp; "Current" &amp; "'!$B:$T"),19,false),"")</f>
        <v>0</v>
      </c>
      <c r="D2" s="22" t="str">
        <f t="shared" ref="D2:D24" si="2">IF(COUNTIF(A:A, A2) &gt; 1, "Duplicate", "")</f>
        <v/>
      </c>
      <c r="E2" s="19">
        <v>1.0</v>
      </c>
      <c r="F2" s="16" t="str">
        <f>IFERROR(__xludf.DUMMYFUNCTION("QUERY(A2:B99, ""Select A  where B = 1   order by A"")"),"Allen Zhang")</f>
        <v>Allen Zhang</v>
      </c>
      <c r="G2" s="16" t="str">
        <f>IFERROR(__xludf.DUMMYFUNCTION("QUERY($A2:$B99, ""Select A where B = 3 order by A"")"),"Adrian Tay")</f>
        <v>Adrian Tay</v>
      </c>
      <c r="H2" s="16" t="str">
        <f>IFERROR(__xludf.DUMMYFUNCTION("QUERY($A2:$B99, ""Select A where B = 4"")"),"#N/A")</f>
        <v>#N/A</v>
      </c>
      <c r="I2" s="16" t="str">
        <f>IFERROR(__xludf.DUMMYFUNCTION("QUERY(Current!B5:F69, ""Select B  where F = 0 order by B"")"),"Balaji Alahari")</f>
        <v>Balaji Alahari</v>
      </c>
      <c r="J2" s="16" t="str">
        <f>IFERROR(__xludf.DUMMYFUNCTION("QUERY($A2:$C99, ""Select A where B = 5 order by C"")"),"Ranjith Doraiswamy")</f>
        <v>Ranjith Doraiswamy</v>
      </c>
      <c r="K2" s="16" t="str">
        <f>IFERROR(__xludf.DUMMYFUNCTION("QUERY($A2:$C99, ""Select A,C where B = 2 order by C"")"),"Camille Jung")</f>
        <v>Camille Jung</v>
      </c>
      <c r="L2" s="16"/>
      <c r="M2" s="16" t="str">
        <f>if(P21&gt;0,1,"")</f>
        <v/>
      </c>
    </row>
    <row r="3">
      <c r="A3" s="16" t="str">
        <f>IFERROR(__xludf.DUMMYFUNCTION("""COMPUTED_VALUE"""),"Wayne Liu")</f>
        <v>Wayne Liu</v>
      </c>
      <c r="B3" s="16">
        <f>IFERROR(__xludf.DUMMYFUNCTION("""COMPUTED_VALUE"""),3.0)</f>
        <v>3</v>
      </c>
      <c r="C3" s="16">
        <f t="shared" si="1"/>
        <v>0</v>
      </c>
      <c r="D3" s="22" t="str">
        <f t="shared" si="2"/>
        <v/>
      </c>
      <c r="E3" s="16">
        <f t="shared" ref="E3:E66" si="3">E2+1</f>
        <v>2</v>
      </c>
      <c r="F3" s="16" t="str">
        <f>IFERROR(__xludf.DUMMYFUNCTION("""COMPUTED_VALUE"""),"Andrew Yao")</f>
        <v>Andrew Yao</v>
      </c>
      <c r="G3" s="16" t="str">
        <f>IFERROR(__xludf.DUMMYFUNCTION("""COMPUTED_VALUE"""),"Alejandro Mejia")</f>
        <v>Alejandro Mejia</v>
      </c>
      <c r="H3" s="16"/>
      <c r="I3" s="16" t="str">
        <f>IFERROR(__xludf.DUMMYFUNCTION("""COMPUTED_VALUE"""),"Barathi Sundaram")</f>
        <v>Barathi Sundaram</v>
      </c>
      <c r="J3" s="16" t="str">
        <f>IFERROR(__xludf.DUMMYFUNCTION("""COMPUTED_VALUE"""),"Scott Li")</f>
        <v>Scott Li</v>
      </c>
      <c r="K3" s="16" t="str">
        <f>IFERROR(__xludf.DUMMYFUNCTION("""COMPUTED_VALUE"""),"Suleman Alidina")</f>
        <v>Suleman Alidina</v>
      </c>
      <c r="L3" s="16">
        <f>IFERROR(__xludf.DUMMYFUNCTION("""COMPUTED_VALUE"""),0.0)</f>
        <v>0</v>
      </c>
      <c r="M3" s="16" t="str">
        <f t="shared" ref="M3:M26" si="4">if(AND(M2&gt;0, counta($K$2:K3)&lt;=$P$21),M2+1,"")</f>
        <v/>
      </c>
    </row>
    <row r="4">
      <c r="A4" s="16" t="str">
        <f>IFERROR(__xludf.DUMMYFUNCTION("""COMPUTED_VALUE"""),"Tom Le")</f>
        <v>Tom Le</v>
      </c>
      <c r="B4" s="16">
        <f>IFERROR(__xludf.DUMMYFUNCTION("""COMPUTED_VALUE"""),3.0)</f>
        <v>3</v>
      </c>
      <c r="C4" s="16">
        <f t="shared" si="1"/>
        <v>1</v>
      </c>
      <c r="D4" s="22" t="str">
        <f t="shared" si="2"/>
        <v/>
      </c>
      <c r="E4" s="16">
        <f t="shared" si="3"/>
        <v>3</v>
      </c>
      <c r="F4" s="16" t="str">
        <f>IFERROR(__xludf.DUMMYFUNCTION("""COMPUTED_VALUE"""),"Coco Yan")</f>
        <v>Coco Yan</v>
      </c>
      <c r="G4" s="16" t="str">
        <f>IFERROR(__xludf.DUMMYFUNCTION("""COMPUTED_VALUE"""),"Alex Hou")</f>
        <v>Alex Hou</v>
      </c>
      <c r="H4" s="16"/>
      <c r="I4" s="16" t="str">
        <f>IFERROR(__xludf.DUMMYFUNCTION("""COMPUTED_VALUE"""),"Hubert J Sung")</f>
        <v>Hubert J Sung</v>
      </c>
      <c r="J4" s="16" t="str">
        <f>IFERROR(__xludf.DUMMYFUNCTION("""COMPUTED_VALUE"""),"Herman Au")</f>
        <v>Herman Au</v>
      </c>
      <c r="K4" s="16"/>
      <c r="L4" s="16"/>
      <c r="M4" s="16" t="str">
        <f t="shared" si="4"/>
        <v/>
      </c>
      <c r="O4" s="39" t="s">
        <v>46</v>
      </c>
      <c r="P4" s="41">
        <f>now()</f>
        <v>46311.69897</v>
      </c>
      <c r="R4" s="42" t="s">
        <v>48</v>
      </c>
    </row>
    <row r="5">
      <c r="A5" s="16" t="str">
        <f>IFERROR(__xludf.DUMMYFUNCTION("""COMPUTED_VALUE"""),"Chinna Ponnaganti")</f>
        <v>Chinna Ponnaganti</v>
      </c>
      <c r="B5" s="16">
        <f>IFERROR(__xludf.DUMMYFUNCTION("""COMPUTED_VALUE"""),3.0)</f>
        <v>3</v>
      </c>
      <c r="C5" s="16">
        <f t="shared" si="1"/>
        <v>0</v>
      </c>
      <c r="D5" s="22" t="str">
        <f t="shared" si="2"/>
        <v/>
      </c>
      <c r="E5" s="16">
        <f t="shared" si="3"/>
        <v>4</v>
      </c>
      <c r="F5" s="16" t="str">
        <f>IFERROR(__xludf.DUMMYFUNCTION("""COMPUTED_VALUE"""),"David Shin")</f>
        <v>David Shin</v>
      </c>
      <c r="G5" s="16" t="str">
        <f>IFERROR(__xludf.DUMMYFUNCTION("""COMPUTED_VALUE"""),"Andrew Wen")</f>
        <v>Andrew Wen</v>
      </c>
      <c r="H5" s="16"/>
      <c r="I5" s="16" t="str">
        <f>IFERROR(__xludf.DUMMYFUNCTION("""COMPUTED_VALUE"""),"James Phan")</f>
        <v>James Phan</v>
      </c>
      <c r="J5" s="16"/>
      <c r="K5" s="16"/>
      <c r="L5" s="16"/>
      <c r="M5" s="16" t="str">
        <f t="shared" si="4"/>
        <v/>
      </c>
    </row>
    <row r="6">
      <c r="A6" s="16" t="str">
        <f>IFERROR(__xludf.DUMMYFUNCTION("""COMPUTED_VALUE"""),"Joyce Zhu")</f>
        <v>Joyce Zhu</v>
      </c>
      <c r="B6" s="16">
        <f>IFERROR(__xludf.DUMMYFUNCTION("""COMPUTED_VALUE"""),3.0)</f>
        <v>3</v>
      </c>
      <c r="C6" s="16">
        <f t="shared" si="1"/>
        <v>0</v>
      </c>
      <c r="D6" s="22" t="str">
        <f t="shared" si="2"/>
        <v/>
      </c>
      <c r="E6" s="16">
        <f t="shared" si="3"/>
        <v>5</v>
      </c>
      <c r="F6" s="16" t="str">
        <f>IFERROR(__xludf.DUMMYFUNCTION("""COMPUTED_VALUE"""),"Elayaraja Thangaraj")</f>
        <v>Elayaraja Thangaraj</v>
      </c>
      <c r="G6" s="16" t="str">
        <f>IFERROR(__xludf.DUMMYFUNCTION("""COMPUTED_VALUE"""),"Art Hui")</f>
        <v>Art Hui</v>
      </c>
      <c r="H6" s="16"/>
      <c r="I6" s="16" t="str">
        <f>IFERROR(__xludf.DUMMYFUNCTION("""COMPUTED_VALUE"""),"Leigh-Anh Nguyen")</f>
        <v>Leigh-Anh Nguyen</v>
      </c>
      <c r="J6" s="16"/>
      <c r="K6" s="16"/>
      <c r="L6" s="16"/>
      <c r="M6" s="16" t="str">
        <f t="shared" si="4"/>
        <v/>
      </c>
      <c r="O6" s="19" t="s">
        <v>52</v>
      </c>
      <c r="P6" s="16">
        <f>if(isna(F2),0,COUNTA(F$2:F$58))</f>
        <v>26</v>
      </c>
      <c r="R6" s="22" t="str">
        <f>CONCATENATE( "*",P$15," Courts Full*")</f>
        <v>*7 Courts Full*</v>
      </c>
    </row>
    <row r="7">
      <c r="A7" s="16" t="str">
        <f>IFERROR(__xludf.DUMMYFUNCTION("""COMPUTED_VALUE"""),"Erik Hoeckmann")</f>
        <v>Erik Hoeckmann</v>
      </c>
      <c r="B7" s="16">
        <f>IFERROR(__xludf.DUMMYFUNCTION("""COMPUTED_VALUE"""),1.0)</f>
        <v>1</v>
      </c>
      <c r="C7" s="16">
        <f t="shared" si="1"/>
        <v>1</v>
      </c>
      <c r="D7" s="22" t="str">
        <f t="shared" si="2"/>
        <v/>
      </c>
      <c r="E7" s="16">
        <f t="shared" si="3"/>
        <v>6</v>
      </c>
      <c r="F7" s="16" t="str">
        <f>IFERROR(__xludf.DUMMYFUNCTION("""COMPUTED_VALUE"""),"Erik Hoeckmann")</f>
        <v>Erik Hoeckmann</v>
      </c>
      <c r="G7" s="16" t="str">
        <f>IFERROR(__xludf.DUMMYFUNCTION("""COMPUTED_VALUE"""),"Basudev Thoppai Vidyasankar")</f>
        <v>Basudev Thoppai Vidyasankar</v>
      </c>
      <c r="H7" s="16"/>
      <c r="I7" s="16" t="str">
        <f>IFERROR(__xludf.DUMMYFUNCTION("""COMPUTED_VALUE"""),"Sandy Weyant")</f>
        <v>Sandy Weyant</v>
      </c>
      <c r="J7" s="16"/>
      <c r="K7" s="16"/>
      <c r="L7" s="16"/>
      <c r="M7" s="16" t="str">
        <f t="shared" si="4"/>
        <v/>
      </c>
      <c r="O7" s="19" t="s">
        <v>53</v>
      </c>
      <c r="P7" s="16">
        <f>if(isna(K2),0,COUNTA(K2:K99))</f>
        <v>2</v>
      </c>
    </row>
    <row r="8">
      <c r="A8" s="16" t="str">
        <f>IFERROR(__xludf.DUMMYFUNCTION("""COMPUTED_VALUE"""),"Joe Luzzi")</f>
        <v>Joe Luzzi</v>
      </c>
      <c r="B8" s="16">
        <f>IFERROR(__xludf.DUMMYFUNCTION("""COMPUTED_VALUE"""),1.0)</f>
        <v>1</v>
      </c>
      <c r="C8" s="16">
        <f t="shared" si="1"/>
        <v>1</v>
      </c>
      <c r="D8" s="22" t="str">
        <f t="shared" si="2"/>
        <v/>
      </c>
      <c r="E8" s="16">
        <f t="shared" si="3"/>
        <v>7</v>
      </c>
      <c r="F8" s="16" t="str">
        <f>IFERROR(__xludf.DUMMYFUNCTION("""COMPUTED_VALUE"""),"Ethan Gu")</f>
        <v>Ethan Gu</v>
      </c>
      <c r="G8" s="16" t="str">
        <f>IFERROR(__xludf.DUMMYFUNCTION("""COMPUTED_VALUE"""),"Chinna Ponnaganti")</f>
        <v>Chinna Ponnaganti</v>
      </c>
      <c r="H8" s="16"/>
      <c r="I8" s="16" t="str">
        <f>IFERROR(__xludf.DUMMYFUNCTION("""COMPUTED_VALUE"""),"Tyler Leong")</f>
        <v>Tyler Leong</v>
      </c>
      <c r="J8" s="16"/>
      <c r="K8" s="16"/>
      <c r="L8" s="16"/>
      <c r="M8" s="16" t="str">
        <f t="shared" si="4"/>
        <v/>
      </c>
      <c r="O8" s="19" t="s">
        <v>55</v>
      </c>
      <c r="P8" s="16">
        <f>if(isna(H2),0,COUNTA(H$2:H$58))</f>
        <v>0</v>
      </c>
      <c r="R8" s="22" t="str">
        <f>CONCATENATE(O$16," -- *",P$16,"*")</f>
        <v>Playing -- *28*</v>
      </c>
    </row>
    <row r="9">
      <c r="A9" s="16" t="str">
        <f>IFERROR(__xludf.DUMMYFUNCTION("""COMPUTED_VALUE"""),"Santosh Sundaresan")</f>
        <v>Santosh Sundaresan</v>
      </c>
      <c r="B9" s="16">
        <f>IFERROR(__xludf.DUMMYFUNCTION("""COMPUTED_VALUE"""),3.0)</f>
        <v>3</v>
      </c>
      <c r="C9" s="16">
        <f t="shared" si="1"/>
        <v>0</v>
      </c>
      <c r="D9" s="22" t="str">
        <f t="shared" si="2"/>
        <v/>
      </c>
      <c r="E9" s="16">
        <f t="shared" si="3"/>
        <v>8</v>
      </c>
      <c r="F9" s="16" t="str">
        <f>IFERROR(__xludf.DUMMYFUNCTION("""COMPUTED_VALUE"""),"Hongyuan Wen")</f>
        <v>Hongyuan Wen</v>
      </c>
      <c r="G9" s="16" t="str">
        <f>IFERROR(__xludf.DUMMYFUNCTION("""COMPUTED_VALUE"""),"Cid Macaraeg")</f>
        <v>Cid Macaraeg</v>
      </c>
      <c r="H9" s="16"/>
      <c r="I9" s="16"/>
      <c r="J9" s="16"/>
      <c r="K9" s="16"/>
      <c r="L9" s="16"/>
      <c r="M9" s="16" t="str">
        <f t="shared" si="4"/>
        <v/>
      </c>
      <c r="O9" s="19" t="s">
        <v>56</v>
      </c>
      <c r="P9" s="16">
        <f>if(isna(G2),0,COUNTA(G$2:G$58))</f>
        <v>36</v>
      </c>
      <c r="R9" s="22" t="str">
        <f>CONCATENATE(O$17," ------ ",P$17)</f>
        <v>Out ------ 36</v>
      </c>
    </row>
    <row r="10">
      <c r="A10" s="16" t="str">
        <f>IFERROR(__xludf.DUMMYFUNCTION("""COMPUTED_VALUE"""),"Sanjaye Elayattu")</f>
        <v>Sanjaye Elayattu</v>
      </c>
      <c r="B10" s="16">
        <f>IFERROR(__xludf.DUMMYFUNCTION("""COMPUTED_VALUE"""),3.0)</f>
        <v>3</v>
      </c>
      <c r="C10" s="16">
        <f t="shared" si="1"/>
        <v>0</v>
      </c>
      <c r="D10" s="22" t="str">
        <f t="shared" si="2"/>
        <v/>
      </c>
      <c r="E10" s="16">
        <f t="shared" si="3"/>
        <v>9</v>
      </c>
      <c r="F10" s="16" t="str">
        <f>IFERROR(__xludf.DUMMYFUNCTION("""COMPUTED_VALUE"""),"Jaya Sogata")</f>
        <v>Jaya Sogata</v>
      </c>
      <c r="G10" s="16" t="str">
        <f>IFERROR(__xludf.DUMMYFUNCTION("""COMPUTED_VALUE"""),"Darren Wong")</f>
        <v>Darren Wong</v>
      </c>
      <c r="H10" s="16"/>
      <c r="I10" s="16"/>
      <c r="J10" s="16"/>
      <c r="K10" s="16"/>
      <c r="L10" s="16"/>
      <c r="M10" s="16" t="str">
        <f t="shared" si="4"/>
        <v/>
      </c>
      <c r="O10" s="19" t="s">
        <v>57</v>
      </c>
      <c r="P10" s="16">
        <f>if(isna(J2),0,COUNTA(J$2:J$29))</f>
        <v>3</v>
      </c>
      <c r="R10" s="22" t="str">
        <f>CONCATENATE(O$18," ------ ",P$18)</f>
        <v>TBD ------ 7</v>
      </c>
    </row>
    <row r="11">
      <c r="A11" s="16" t="str">
        <f>IFERROR(__xludf.DUMMYFUNCTION("""COMPUTED_VALUE"""),"Cid Macaraeg")</f>
        <v>Cid Macaraeg</v>
      </c>
      <c r="B11" s="16">
        <f>IFERROR(__xludf.DUMMYFUNCTION("""COMPUTED_VALUE"""),3.0)</f>
        <v>3</v>
      </c>
      <c r="C11" s="16">
        <f t="shared" si="1"/>
        <v>0</v>
      </c>
      <c r="D11" s="22" t="str">
        <f t="shared" si="2"/>
        <v/>
      </c>
      <c r="E11" s="16">
        <f t="shared" si="3"/>
        <v>10</v>
      </c>
      <c r="F11" s="16" t="str">
        <f>IFERROR(__xludf.DUMMYFUNCTION("""COMPUTED_VALUE"""),"Jim Miao")</f>
        <v>Jim Miao</v>
      </c>
      <c r="G11" s="16" t="str">
        <f>IFERROR(__xludf.DUMMYFUNCTION("""COMPUTED_VALUE"""),"Eric Pan")</f>
        <v>Eric Pan</v>
      </c>
      <c r="H11" s="16"/>
      <c r="I11" s="16"/>
      <c r="J11" s="16"/>
      <c r="K11" s="16"/>
      <c r="L11" s="16"/>
      <c r="M11" s="16" t="str">
        <f t="shared" si="4"/>
        <v/>
      </c>
      <c r="O11" s="19" t="s">
        <v>59</v>
      </c>
      <c r="P11" s="16">
        <f>if(isna(I2),0,COUNTA(I$2:I$99))</f>
        <v>7</v>
      </c>
    </row>
    <row r="12">
      <c r="A12" s="16" t="str">
        <f>IFERROR(__xludf.DUMMYFUNCTION("""COMPUTED_VALUE"""),"Troy Wong")</f>
        <v>Troy Wong</v>
      </c>
      <c r="B12" s="16">
        <f>IFERROR(__xludf.DUMMYFUNCTION("""COMPUTED_VALUE"""),3.0)</f>
        <v>3</v>
      </c>
      <c r="C12" s="16">
        <f t="shared" si="1"/>
        <v>0</v>
      </c>
      <c r="D12" s="22" t="str">
        <f t="shared" si="2"/>
        <v/>
      </c>
      <c r="E12" s="16">
        <f t="shared" si="3"/>
        <v>11</v>
      </c>
      <c r="F12" s="16" t="str">
        <f>IFERROR(__xludf.DUMMYFUNCTION("""COMPUTED_VALUE"""),"Jimmy Awolesi")</f>
        <v>Jimmy Awolesi</v>
      </c>
      <c r="G12" s="16" t="str">
        <f>IFERROR(__xludf.DUMMYFUNCTION("""COMPUTED_VALUE"""),"Eric Tan")</f>
        <v>Eric Tan</v>
      </c>
      <c r="H12" s="16"/>
      <c r="I12" s="16"/>
      <c r="J12" s="16"/>
      <c r="K12" s="16"/>
      <c r="L12" s="16"/>
      <c r="M12" s="16" t="str">
        <f t="shared" si="4"/>
        <v/>
      </c>
      <c r="O12" s="19" t="s">
        <v>61</v>
      </c>
      <c r="P12" s="16">
        <f>sum(P6:P11)</f>
        <v>74</v>
      </c>
      <c r="R12" s="51" t="s">
        <v>62</v>
      </c>
    </row>
    <row r="13">
      <c r="A13" s="16" t="str">
        <f>IFERROR(__xludf.DUMMYFUNCTION("""COMPUTED_VALUE"""),"Eric Tan")</f>
        <v>Eric Tan</v>
      </c>
      <c r="B13" s="16">
        <f>IFERROR(__xludf.DUMMYFUNCTION("""COMPUTED_VALUE"""),3.0)</f>
        <v>3</v>
      </c>
      <c r="C13" s="16">
        <f t="shared" si="1"/>
        <v>0</v>
      </c>
      <c r="D13" s="22" t="str">
        <f t="shared" si="2"/>
        <v/>
      </c>
      <c r="E13" s="16">
        <f t="shared" si="3"/>
        <v>12</v>
      </c>
      <c r="F13" s="16" t="str">
        <f>IFERROR(__xludf.DUMMYFUNCTION("""COMPUTED_VALUE"""),"Joe Luzzi")</f>
        <v>Joe Luzzi</v>
      </c>
      <c r="G13" s="16" t="str">
        <f>IFERROR(__xludf.DUMMYFUNCTION("""COMPUTED_VALUE"""),"Frank Moon")</f>
        <v>Frank Moon</v>
      </c>
      <c r="H13" s="16"/>
      <c r="I13" s="16"/>
      <c r="J13" s="16"/>
      <c r="K13" s="16"/>
      <c r="L13" s="16"/>
      <c r="M13" s="16" t="str">
        <f t="shared" si="4"/>
        <v/>
      </c>
    </row>
    <row r="14">
      <c r="A14" s="16" t="str">
        <f>IFERROR(__xludf.DUMMYFUNCTION("""COMPUTED_VALUE"""),"Trish Newlin")</f>
        <v>Trish Newlin</v>
      </c>
      <c r="B14" s="16">
        <f>IFERROR(__xludf.DUMMYFUNCTION("""COMPUTED_VALUE"""),3.0)</f>
        <v>3</v>
      </c>
      <c r="C14" s="16">
        <f t="shared" si="1"/>
        <v>1</v>
      </c>
      <c r="D14" s="22" t="str">
        <f t="shared" si="2"/>
        <v/>
      </c>
      <c r="E14" s="16">
        <f t="shared" si="3"/>
        <v>13</v>
      </c>
      <c r="F14" s="16" t="str">
        <f>IFERROR(__xludf.DUMMYFUNCTION("""COMPUTED_VALUE"""),"Lloyd Sagar")</f>
        <v>Lloyd Sagar</v>
      </c>
      <c r="G14" s="16" t="str">
        <f>IFERROR(__xludf.DUMMYFUNCTION("""COMPUTED_VALUE"""),"Jonathan Phan")</f>
        <v>Jonathan Phan</v>
      </c>
      <c r="H14" s="16"/>
      <c r="I14" s="16"/>
      <c r="J14" s="16"/>
      <c r="K14" s="16"/>
      <c r="L14" s="16"/>
      <c r="M14" s="16" t="str">
        <f t="shared" si="4"/>
        <v/>
      </c>
    </row>
    <row r="15">
      <c r="A15" s="16" t="str">
        <f>IFERROR(__xludf.DUMMYFUNCTION("""COMPUTED_VALUE"""),"Pavan Akkimsetty")</f>
        <v>Pavan Akkimsetty</v>
      </c>
      <c r="B15" s="16">
        <f>IFERROR(__xludf.DUMMYFUNCTION("""COMPUTED_VALUE"""),3.0)</f>
        <v>3</v>
      </c>
      <c r="C15" s="16">
        <f t="shared" si="1"/>
        <v>0</v>
      </c>
      <c r="D15" s="22" t="str">
        <f t="shared" si="2"/>
        <v/>
      </c>
      <c r="E15" s="16">
        <f t="shared" si="3"/>
        <v>14</v>
      </c>
      <c r="F15" s="16" t="str">
        <f>IFERROR(__xludf.DUMMYFUNCTION("""COMPUTED_VALUE"""),"Luis Hsu")</f>
        <v>Luis Hsu</v>
      </c>
      <c r="G15" s="16" t="str">
        <f>IFERROR(__xludf.DUMMYFUNCTION("""COMPUTED_VALUE"""),"Joyce Zhu")</f>
        <v>Joyce Zhu</v>
      </c>
      <c r="H15" s="16"/>
      <c r="I15" s="16"/>
      <c r="J15" s="16"/>
      <c r="K15" s="16"/>
      <c r="L15" s="16"/>
      <c r="M15" s="16" t="str">
        <f t="shared" si="4"/>
        <v/>
      </c>
      <c r="O15" s="19" t="s">
        <v>63</v>
      </c>
      <c r="P15" s="16">
        <f>rounddown(P16/4,0)</f>
        <v>7</v>
      </c>
      <c r="R15" s="53" t="s">
        <v>64</v>
      </c>
      <c r="T15" s="54"/>
    </row>
    <row r="16">
      <c r="A16" s="16" t="str">
        <f>IFERROR(__xludf.DUMMYFUNCTION("""COMPUTED_VALUE"""),"Sandeep Kamalon")</f>
        <v>Sandeep Kamalon</v>
      </c>
      <c r="B16" s="16">
        <f>IFERROR(__xludf.DUMMYFUNCTION("""COMPUTED_VALUE"""),3.0)</f>
        <v>3</v>
      </c>
      <c r="C16" s="16">
        <f t="shared" si="1"/>
        <v>1</v>
      </c>
      <c r="D16" s="22" t="str">
        <f t="shared" si="2"/>
        <v/>
      </c>
      <c r="E16" s="16">
        <f t="shared" si="3"/>
        <v>15</v>
      </c>
      <c r="F16" s="16" t="str">
        <f>IFERROR(__xludf.DUMMYFUNCTION("""COMPUTED_VALUE"""),"Manish Anand")</f>
        <v>Manish Anand</v>
      </c>
      <c r="G16" s="16" t="str">
        <f>IFERROR(__xludf.DUMMYFUNCTION("""COMPUTED_VALUE"""),"Kumar Palakeel")</f>
        <v>Kumar Palakeel</v>
      </c>
      <c r="H16" s="16"/>
      <c r="I16" s="16"/>
      <c r="J16" s="16"/>
      <c r="K16" s="16"/>
      <c r="L16" s="16"/>
      <c r="M16" s="16" t="str">
        <f t="shared" si="4"/>
        <v/>
      </c>
      <c r="O16" s="19" t="s">
        <v>52</v>
      </c>
      <c r="P16" s="16">
        <f>sum(P6:P7)</f>
        <v>28</v>
      </c>
      <c r="Q16" s="54"/>
      <c r="R16" s="55">
        <v>46018.0</v>
      </c>
      <c r="T16" s="54"/>
    </row>
    <row r="17">
      <c r="A17" s="19" t="str">
        <f>IFERROR(__xludf.DUMMYFUNCTION("""COMPUTED_VALUE"""),"Robert Chang")</f>
        <v>Robert Chang</v>
      </c>
      <c r="B17" s="16">
        <f>IFERROR(__xludf.DUMMYFUNCTION("""COMPUTED_VALUE"""),3.0)</f>
        <v>3</v>
      </c>
      <c r="C17" s="16">
        <f t="shared" si="1"/>
        <v>0</v>
      </c>
      <c r="D17" s="22" t="str">
        <f t="shared" si="2"/>
        <v/>
      </c>
      <c r="E17" s="16">
        <f t="shared" si="3"/>
        <v>16</v>
      </c>
      <c r="F17" s="16" t="str">
        <f>IFERROR(__xludf.DUMMYFUNCTION("""COMPUTED_VALUE"""),"Mauricio Palacios")</f>
        <v>Mauricio Palacios</v>
      </c>
      <c r="G17" s="16" t="str">
        <f>IFERROR(__xludf.DUMMYFUNCTION("""COMPUTED_VALUE"""),"Lam Bui")</f>
        <v>Lam Bui</v>
      </c>
      <c r="H17" s="16"/>
      <c r="I17" s="16"/>
      <c r="J17" s="16"/>
      <c r="K17" s="16"/>
      <c r="L17" s="16"/>
      <c r="M17" s="16" t="str">
        <f t="shared" si="4"/>
        <v/>
      </c>
      <c r="O17" s="19" t="s">
        <v>56</v>
      </c>
      <c r="P17" s="16">
        <f>P9+P8</f>
        <v>36</v>
      </c>
      <c r="Q17" s="54"/>
    </row>
    <row r="18">
      <c r="A18" s="16" t="str">
        <f>IFERROR(__xludf.DUMMYFUNCTION("""COMPUTED_VALUE"""),"Oscar Bonilla")</f>
        <v>Oscar Bonilla</v>
      </c>
      <c r="B18" s="16">
        <f>IFERROR(__xludf.DUMMYFUNCTION("""COMPUTED_VALUE"""),3.0)</f>
        <v>3</v>
      </c>
      <c r="C18" s="16">
        <f t="shared" si="1"/>
        <v>0</v>
      </c>
      <c r="D18" s="22" t="str">
        <f t="shared" si="2"/>
        <v/>
      </c>
      <c r="E18" s="16">
        <f t="shared" si="3"/>
        <v>17</v>
      </c>
      <c r="F18" s="16" t="str">
        <f>IFERROR(__xludf.DUMMYFUNCTION("""COMPUTED_VALUE"""),"Naveen Raj")</f>
        <v>Naveen Raj</v>
      </c>
      <c r="G18" s="16" t="str">
        <f>IFERROR(__xludf.DUMMYFUNCTION("""COMPUTED_VALUE"""),"Lenin Belangonda")</f>
        <v>Lenin Belangonda</v>
      </c>
      <c r="H18" s="16"/>
      <c r="I18" s="16"/>
      <c r="J18" s="16"/>
      <c r="K18" s="16"/>
      <c r="L18" s="16"/>
      <c r="M18" s="16" t="str">
        <f t="shared" si="4"/>
        <v/>
      </c>
      <c r="O18" s="19" t="s">
        <v>59</v>
      </c>
      <c r="P18" s="16">
        <f>P11</f>
        <v>7</v>
      </c>
      <c r="Q18" s="54"/>
    </row>
    <row r="19">
      <c r="A19" s="16" t="str">
        <f>IFERROR(__xludf.DUMMYFUNCTION("""COMPUTED_VALUE"""),"Jim Miao")</f>
        <v>Jim Miao</v>
      </c>
      <c r="B19" s="16">
        <f>IFERROR(__xludf.DUMMYFUNCTION("""COMPUTED_VALUE"""),1.0)</f>
        <v>1</v>
      </c>
      <c r="C19" s="16">
        <f t="shared" si="1"/>
        <v>0</v>
      </c>
      <c r="D19" s="22" t="str">
        <f t="shared" si="2"/>
        <v/>
      </c>
      <c r="E19" s="16">
        <f t="shared" si="3"/>
        <v>18</v>
      </c>
      <c r="F19" s="16" t="str">
        <f>IFERROR(__xludf.DUMMYFUNCTION("""COMPUTED_VALUE"""),"Nicole Ni")</f>
        <v>Nicole Ni</v>
      </c>
      <c r="G19" s="16" t="str">
        <f>IFERROR(__xludf.DUMMYFUNCTION("""COMPUTED_VALUE"""),"Manuel Rivera")</f>
        <v>Manuel Rivera</v>
      </c>
      <c r="H19" s="16"/>
      <c r="I19" s="16"/>
      <c r="J19" s="16"/>
      <c r="K19" s="16"/>
      <c r="L19" s="16"/>
      <c r="M19" s="16" t="str">
        <f t="shared" si="4"/>
        <v/>
      </c>
      <c r="O19" s="19" t="s">
        <v>61</v>
      </c>
      <c r="P19" s="16">
        <f>sum(P16:P18)</f>
        <v>71</v>
      </c>
      <c r="Q19" s="22" t="str">
        <f>if(P19&gt;65,"Check duplicates","")</f>
        <v>Check duplicates</v>
      </c>
      <c r="R19" s="53" t="s">
        <v>70</v>
      </c>
    </row>
    <row r="20">
      <c r="A20" s="16" t="str">
        <f>IFERROR(__xludf.DUMMYFUNCTION("""COMPUTED_VALUE"""),"Coco Yan")</f>
        <v>Coco Yan</v>
      </c>
      <c r="B20" s="16">
        <f>IFERROR(__xludf.DUMMYFUNCTION("""COMPUTED_VALUE"""),1.0)</f>
        <v>1</v>
      </c>
      <c r="C20" s="16">
        <f t="shared" si="1"/>
        <v>0</v>
      </c>
      <c r="D20" s="22" t="str">
        <f t="shared" si="2"/>
        <v/>
      </c>
      <c r="E20" s="16">
        <f t="shared" si="3"/>
        <v>19</v>
      </c>
      <c r="F20" s="16" t="str">
        <f>IFERROR(__xludf.DUMMYFUNCTION("""COMPUTED_VALUE"""),"Pulkit Mathur")</f>
        <v>Pulkit Mathur</v>
      </c>
      <c r="G20" s="16" t="str">
        <f>IFERROR(__xludf.DUMMYFUNCTION("""COMPUTED_VALUE"""),"Matthew Huang")</f>
        <v>Matthew Huang</v>
      </c>
      <c r="H20" s="16"/>
      <c r="I20" s="16"/>
      <c r="J20" s="16"/>
      <c r="K20" s="16"/>
      <c r="L20" s="16"/>
      <c r="M20" s="16" t="str">
        <f t="shared" si="4"/>
        <v/>
      </c>
      <c r="R20" s="57">
        <f>TODAY() + IF(MOD(7 - WEEKDAY(TODAY()), 7) = 0, 7, MOD(7 - WEEKDAY(TODAY()), 7))</f>
        <v>46312</v>
      </c>
    </row>
    <row r="21">
      <c r="A21" s="16" t="str">
        <f>IFERROR(__xludf.DUMMYFUNCTION("""COMPUTED_VALUE"""),"Kumar Palakeel")</f>
        <v>Kumar Palakeel</v>
      </c>
      <c r="B21" s="16">
        <f>IFERROR(__xludf.DUMMYFUNCTION("""COMPUTED_VALUE"""),3.0)</f>
        <v>3</v>
      </c>
      <c r="C21" s="16">
        <f t="shared" si="1"/>
        <v>0</v>
      </c>
      <c r="D21" s="22" t="str">
        <f t="shared" si="2"/>
        <v/>
      </c>
      <c r="E21" s="16">
        <f t="shared" si="3"/>
        <v>20</v>
      </c>
      <c r="F21" s="16" t="str">
        <f>IFERROR(__xludf.DUMMYFUNCTION("""COMPUTED_VALUE"""),"Ruben Ron")</f>
        <v>Ruben Ron</v>
      </c>
      <c r="G21" s="16" t="str">
        <f>IFERROR(__xludf.DUMMYFUNCTION("""COMPUTED_VALUE"""),"Oscar Bonilla")</f>
        <v>Oscar Bonilla</v>
      </c>
      <c r="H21" s="16"/>
      <c r="I21" s="16"/>
      <c r="J21" s="16"/>
      <c r="K21" s="16"/>
      <c r="L21" s="16"/>
      <c r="M21" s="16" t="str">
        <f t="shared" si="4"/>
        <v/>
      </c>
      <c r="O21" s="58" t="s">
        <v>74</v>
      </c>
      <c r="P21" s="16">
        <f>max(mod(P16,4),P16-44)</f>
        <v>0</v>
      </c>
    </row>
    <row r="22">
      <c r="A22" s="16" t="str">
        <f>IFERROR(__xludf.DUMMYFUNCTION("""COMPUTED_VALUE"""),"Vicki Martinet")</f>
        <v>Vicki Martinet</v>
      </c>
      <c r="B22" s="16">
        <f>IFERROR(__xludf.DUMMYFUNCTION("""COMPUTED_VALUE"""),3.0)</f>
        <v>3</v>
      </c>
      <c r="C22" s="16">
        <f t="shared" si="1"/>
        <v>1</v>
      </c>
      <c r="D22" s="22" t="str">
        <f t="shared" si="2"/>
        <v/>
      </c>
      <c r="E22" s="16">
        <f t="shared" si="3"/>
        <v>21</v>
      </c>
      <c r="F22" s="16" t="str">
        <f>IFERROR(__xludf.DUMMYFUNCTION("""COMPUTED_VALUE"""),"Rudy Tatang")</f>
        <v>Rudy Tatang</v>
      </c>
      <c r="G22" s="16" t="str">
        <f>IFERROR(__xludf.DUMMYFUNCTION("""COMPUTED_VALUE"""),"Pavan Akkimsetty")</f>
        <v>Pavan Akkimsetty</v>
      </c>
      <c r="H22" s="16"/>
      <c r="I22" s="16"/>
      <c r="J22" s="16"/>
      <c r="K22" s="16"/>
      <c r="L22" s="16"/>
      <c r="M22" s="16" t="str">
        <f t="shared" si="4"/>
        <v/>
      </c>
    </row>
    <row r="23">
      <c r="A23" s="16" t="str">
        <f>IFERROR(__xludf.DUMMYFUNCTION("""COMPUTED_VALUE"""),"Scott Li")</f>
        <v>Scott Li</v>
      </c>
      <c r="B23" s="16">
        <f>IFERROR(__xludf.DUMMYFUNCTION("""COMPUTED_VALUE"""),5.0)</f>
        <v>5</v>
      </c>
      <c r="C23" s="16">
        <f t="shared" si="1"/>
        <v>2</v>
      </c>
      <c r="D23" s="22" t="str">
        <f t="shared" si="2"/>
        <v/>
      </c>
      <c r="E23" s="16">
        <f t="shared" si="3"/>
        <v>22</v>
      </c>
      <c r="F23" s="16" t="str">
        <f>IFERROR(__xludf.DUMMYFUNCTION("""COMPUTED_VALUE"""),"Sean Chang")</f>
        <v>Sean Chang</v>
      </c>
      <c r="G23" s="16" t="str">
        <f>IFERROR(__xludf.DUMMYFUNCTION("""COMPUTED_VALUE"""),"Rajasekar Ramasamy")</f>
        <v>Rajasekar Ramasamy</v>
      </c>
      <c r="H23" s="16"/>
      <c r="I23" s="16"/>
      <c r="J23" s="16"/>
      <c r="K23" s="16"/>
      <c r="L23" s="16"/>
      <c r="M23" s="16" t="str">
        <f t="shared" si="4"/>
        <v/>
      </c>
      <c r="O23" s="59" t="s">
        <v>76</v>
      </c>
    </row>
    <row r="24">
      <c r="A24" s="16" t="str">
        <f>IFERROR(__xludf.DUMMYFUNCTION("""COMPUTED_VALUE"""),"Eric Pan")</f>
        <v>Eric Pan</v>
      </c>
      <c r="B24" s="16">
        <f>IFERROR(__xludf.DUMMYFUNCTION("""COMPUTED_VALUE"""),3.0)</f>
        <v>3</v>
      </c>
      <c r="C24" s="16">
        <f t="shared" si="1"/>
        <v>1</v>
      </c>
      <c r="D24" s="22" t="str">
        <f t="shared" si="2"/>
        <v/>
      </c>
      <c r="E24" s="16">
        <f t="shared" si="3"/>
        <v>23</v>
      </c>
      <c r="F24" s="16" t="str">
        <f>IFERROR(__xludf.DUMMYFUNCTION("""COMPUTED_VALUE"""),"Susanta Mishra")</f>
        <v>Susanta Mishra</v>
      </c>
      <c r="G24" s="16" t="str">
        <f>IFERROR(__xludf.DUMMYFUNCTION("""COMPUTED_VALUE"""),"Rajesh Dorairaj")</f>
        <v>Rajesh Dorairaj</v>
      </c>
      <c r="H24" s="16"/>
      <c r="I24" s="16"/>
      <c r="J24" s="16"/>
      <c r="K24" s="16"/>
      <c r="L24" s="60"/>
      <c r="M24" s="16" t="str">
        <f t="shared" si="4"/>
        <v/>
      </c>
      <c r="O24" s="61" t="s">
        <v>77</v>
      </c>
      <c r="P24" s="61" t="s">
        <v>78</v>
      </c>
      <c r="Q24" s="61" t="s">
        <v>79</v>
      </c>
      <c r="R24" s="61" t="s">
        <v>80</v>
      </c>
      <c r="S24" s="61" t="s">
        <v>81</v>
      </c>
      <c r="T24" s="61" t="s">
        <v>82</v>
      </c>
    </row>
    <row r="25">
      <c r="A25" s="16" t="str">
        <f>IFERROR(__xludf.DUMMYFUNCTION("""COMPUTED_VALUE"""),"Susanta Mishra")</f>
        <v>Susanta Mishra</v>
      </c>
      <c r="B25" s="16">
        <f>IFERROR(__xludf.DUMMYFUNCTION("""COMPUTED_VALUE"""),1.0)</f>
        <v>1</v>
      </c>
      <c r="C25" s="16">
        <f t="shared" si="1"/>
        <v>0</v>
      </c>
      <c r="E25" s="16">
        <f t="shared" si="3"/>
        <v>24</v>
      </c>
      <c r="F25" s="16" t="str">
        <f>IFERROR(__xludf.DUMMYFUNCTION("""COMPUTED_VALUE"""),"Ted Shen")</f>
        <v>Ted Shen</v>
      </c>
      <c r="G25" s="16" t="str">
        <f>IFERROR(__xludf.DUMMYFUNCTION("""COMPUTED_VALUE"""),"Ramesh Bandaru")</f>
        <v>Ramesh Bandaru</v>
      </c>
      <c r="H25" s="16"/>
      <c r="I25" s="16"/>
      <c r="J25" s="16"/>
      <c r="K25" s="16"/>
      <c r="L25" s="16"/>
      <c r="M25" s="16" t="str">
        <f t="shared" si="4"/>
        <v/>
      </c>
      <c r="O25" s="62" t="str">
        <f>IFERROR(__xludf.DUMMYFUNCTION("Query(IMPORTRANGE(""1uZFF2o7rrfB0YZtASdZnP52Ef50ZinvtOPb1Tbuq8J4"",""Vacations!B1:E9999""),""Select Col1,Col2, Col3, Col4 where Col3 &lt;= date '"" &amp;TEXT(R20, ""YYYY-MM-DD"")&amp; ""' and Col4 &gt;= date '"" &amp;TEXT(R20, ""YYYY-MM-DD"")&amp; ""'   "")"),"Player")</f>
        <v>Player</v>
      </c>
      <c r="P25" s="63" t="str">
        <f>IFERROR(__xludf.DUMMYFUNCTION("""COMPUTED_VALUE"""),"Phone")</f>
        <v>Phone</v>
      </c>
      <c r="Q25" s="55" t="str">
        <f>IFERROR(__xludf.DUMMYFUNCTION("""COMPUTED_VALUE"""),"From")</f>
        <v>From</v>
      </c>
      <c r="R25" s="55" t="str">
        <f>IFERROR(__xludf.DUMMYFUNCTION("""COMPUTED_VALUE"""),"To")</f>
        <v>To</v>
      </c>
      <c r="S25" s="64" t="str">
        <f t="shared" ref="S25:S49" si="5">if(isblank(O25),"",if(AND($R$20 &gt;= Q25, $R$20 &lt;= R25),"Yes","No"))</f>
        <v>No</v>
      </c>
      <c r="T25" s="64" t="str">
        <f t="shared" ref="T25:T49" si="6">if(isblank(O25),"",if(isna(vlookup(O25,A$2:A$66,1,false)),"No","Yes"))</f>
        <v>No</v>
      </c>
    </row>
    <row r="26">
      <c r="A26" s="16" t="str">
        <f>IFERROR(__xludf.DUMMYFUNCTION("""COMPUTED_VALUE"""),"Vinotkumar Nagappan")</f>
        <v>Vinotkumar Nagappan</v>
      </c>
      <c r="B26" s="16">
        <f>IFERROR(__xludf.DUMMYFUNCTION("""COMPUTED_VALUE"""),1.0)</f>
        <v>1</v>
      </c>
      <c r="C26" s="16" t="str">
        <f t="shared" si="1"/>
        <v/>
      </c>
      <c r="E26" s="16">
        <f t="shared" si="3"/>
        <v>25</v>
      </c>
      <c r="F26" s="16" t="str">
        <f>IFERROR(__xludf.DUMMYFUNCTION("""COMPUTED_VALUE"""),"Tina Hanson")</f>
        <v>Tina Hanson</v>
      </c>
      <c r="G26" s="16" t="str">
        <f>IFERROR(__xludf.DUMMYFUNCTION("""COMPUTED_VALUE"""),"Robert Chang")</f>
        <v>Robert Chang</v>
      </c>
      <c r="H26" s="16"/>
      <c r="I26" s="16"/>
      <c r="J26" s="16"/>
      <c r="K26" s="16"/>
      <c r="L26" s="16"/>
      <c r="M26" s="16" t="str">
        <f t="shared" si="4"/>
        <v/>
      </c>
      <c r="O26" s="16" t="str">
        <f>IFERROR(__xludf.DUMMYFUNCTION("""COMPUTED_VALUE"""),"Adrian Tay")</f>
        <v>Adrian Tay</v>
      </c>
      <c r="P26" s="64">
        <f>IFERROR(__xludf.DUMMYFUNCTION("""COMPUTED_VALUE"""),9.099797212E9)</f>
        <v>9099797212</v>
      </c>
      <c r="Q26" s="55">
        <f>IFERROR(__xludf.DUMMYFUNCTION("""COMPUTED_VALUE"""),46160.0)</f>
        <v>46160</v>
      </c>
      <c r="R26" s="55">
        <f>IFERROR(__xludf.DUMMYFUNCTION("""COMPUTED_VALUE"""),46387.0)</f>
        <v>46387</v>
      </c>
      <c r="S26" s="64" t="str">
        <f t="shared" si="5"/>
        <v>Yes</v>
      </c>
      <c r="T26" s="64" t="str">
        <f t="shared" si="6"/>
        <v>Yes</v>
      </c>
    </row>
    <row r="27">
      <c r="A27" s="16" t="str">
        <f>IFERROR(__xludf.DUMMYFUNCTION("""COMPUTED_VALUE"""),"Ted Shen")</f>
        <v>Ted Shen</v>
      </c>
      <c r="B27" s="16">
        <f>IFERROR(__xludf.DUMMYFUNCTION("""COMPUTED_VALUE"""),1.0)</f>
        <v>1</v>
      </c>
      <c r="C27" s="16">
        <f t="shared" si="1"/>
        <v>0</v>
      </c>
      <c r="D27" s="22" t="str">
        <f t="shared" ref="D27:D66" si="7">IF(COUNTIF(A:A, A27) &gt; 1, "Duplicate", "")</f>
        <v/>
      </c>
      <c r="E27" s="16">
        <f t="shared" si="3"/>
        <v>26</v>
      </c>
      <c r="F27" s="16" t="str">
        <f>IFERROR(__xludf.DUMMYFUNCTION("""COMPUTED_VALUE"""),"Vinotkumar Nagappan")</f>
        <v>Vinotkumar Nagappan</v>
      </c>
      <c r="G27" s="16" t="str">
        <f>IFERROR(__xludf.DUMMYFUNCTION("""COMPUTED_VALUE"""),"Sandeep Kamalon")</f>
        <v>Sandeep Kamalon</v>
      </c>
      <c r="H27" s="16"/>
      <c r="I27" s="16"/>
      <c r="J27" s="16"/>
      <c r="K27" s="16"/>
      <c r="L27" s="16"/>
      <c r="M27" s="16"/>
      <c r="O27" s="19" t="str">
        <f>IFERROR(__xludf.DUMMYFUNCTION("""COMPUTED_VALUE"""),"Wayne Liu")</f>
        <v>Wayne Liu</v>
      </c>
      <c r="P27" s="65">
        <f>IFERROR(__xludf.DUMMYFUNCTION("""COMPUTED_VALUE"""),9.098020743E9)</f>
        <v>9098020743</v>
      </c>
      <c r="Q27" s="55">
        <f>IFERROR(__xludf.DUMMYFUNCTION("""COMPUTED_VALUE"""),46286.0)</f>
        <v>46286</v>
      </c>
      <c r="R27" s="55">
        <f>IFERROR(__xludf.DUMMYFUNCTION("""COMPUTED_VALUE"""),46384.0)</f>
        <v>46384</v>
      </c>
      <c r="S27" s="64" t="str">
        <f t="shared" si="5"/>
        <v>Yes</v>
      </c>
      <c r="T27" s="64" t="str">
        <f t="shared" si="6"/>
        <v>Yes</v>
      </c>
    </row>
    <row r="28">
      <c r="A28" s="16" t="str">
        <f>IFERROR(__xludf.DUMMYFUNCTION("""COMPUTED_VALUE"""),"Pulkit Mathur")</f>
        <v>Pulkit Mathur</v>
      </c>
      <c r="B28" s="16">
        <f>IFERROR(__xludf.DUMMYFUNCTION("""COMPUTED_VALUE"""),1.0)</f>
        <v>1</v>
      </c>
      <c r="C28" s="16">
        <f t="shared" si="1"/>
        <v>0</v>
      </c>
      <c r="D28" s="22" t="str">
        <f t="shared" si="7"/>
        <v/>
      </c>
      <c r="E28" s="16">
        <f t="shared" si="3"/>
        <v>27</v>
      </c>
      <c r="F28" s="16"/>
      <c r="G28" s="16" t="str">
        <f>IFERROR(__xludf.DUMMYFUNCTION("""COMPUTED_VALUE"""),"Sanjaye Elayattu")</f>
        <v>Sanjaye Elayattu</v>
      </c>
      <c r="H28" s="16"/>
      <c r="I28" s="16"/>
      <c r="J28" s="16"/>
      <c r="K28" s="16"/>
      <c r="L28" s="16"/>
      <c r="M28" s="16"/>
      <c r="O28" s="16" t="str">
        <f>IFERROR(__xludf.DUMMYFUNCTION("""COMPUTED_VALUE"""),"Basudev Thoppai Vidyasankar")</f>
        <v>Basudev Thoppai Vidyasankar</v>
      </c>
      <c r="P28" s="64">
        <f>IFERROR(__xludf.DUMMYFUNCTION("""COMPUTED_VALUE"""),4.846824818E9)</f>
        <v>4846824818</v>
      </c>
      <c r="Q28" s="55">
        <f>IFERROR(__xludf.DUMMYFUNCTION("""COMPUTED_VALUE"""),46311.0)</f>
        <v>46311</v>
      </c>
      <c r="R28" s="55">
        <f>IFERROR(__xludf.DUMMYFUNCTION("""COMPUTED_VALUE"""),46327.0)</f>
        <v>46327</v>
      </c>
      <c r="S28" s="64" t="str">
        <f t="shared" si="5"/>
        <v>Yes</v>
      </c>
      <c r="T28" s="64" t="str">
        <f t="shared" si="6"/>
        <v>Yes</v>
      </c>
    </row>
    <row r="29">
      <c r="A29" s="16" t="str">
        <f>IFERROR(__xludf.DUMMYFUNCTION("""COMPUTED_VALUE"""),"Art Hui")</f>
        <v>Art Hui</v>
      </c>
      <c r="B29" s="16">
        <f>IFERROR(__xludf.DUMMYFUNCTION("""COMPUTED_VALUE"""),3.0)</f>
        <v>3</v>
      </c>
      <c r="C29" s="16" t="str">
        <f t="shared" si="1"/>
        <v/>
      </c>
      <c r="D29" s="22" t="str">
        <f t="shared" si="7"/>
        <v/>
      </c>
      <c r="E29" s="16">
        <f t="shared" si="3"/>
        <v>28</v>
      </c>
      <c r="F29" s="16"/>
      <c r="G29" s="16" t="str">
        <f>IFERROR(__xludf.DUMMYFUNCTION("""COMPUTED_VALUE"""),"Santosh Sundaresan")</f>
        <v>Santosh Sundaresan</v>
      </c>
      <c r="H29" s="16"/>
      <c r="I29" s="16"/>
      <c r="J29" s="16"/>
      <c r="K29" s="16"/>
      <c r="L29" s="16"/>
      <c r="M29" s="16"/>
      <c r="O29" s="19" t="str">
        <f>IFERROR(__xludf.DUMMYFUNCTION("""COMPUTED_VALUE"""),"Tom Le")</f>
        <v>Tom Le</v>
      </c>
      <c r="P29" s="66">
        <f>IFERROR(__xludf.DUMMYFUNCTION("""COMPUTED_VALUE"""),6.262510666E9)</f>
        <v>6262510666</v>
      </c>
      <c r="Q29" s="55">
        <f>IFERROR(__xludf.DUMMYFUNCTION("""COMPUTED_VALUE"""),46309.0)</f>
        <v>46309</v>
      </c>
      <c r="R29" s="55">
        <f>IFERROR(__xludf.DUMMYFUNCTION("""COMPUTED_VALUE"""),46323.0)</f>
        <v>46323</v>
      </c>
      <c r="S29" s="64" t="str">
        <f t="shared" si="5"/>
        <v>Yes</v>
      </c>
      <c r="T29" s="64" t="str">
        <f t="shared" si="6"/>
        <v>Yes</v>
      </c>
    </row>
    <row r="30">
      <c r="A30" s="16" t="str">
        <f>IFERROR(__xludf.DUMMYFUNCTION("""COMPUTED_VALUE"""),"Ramesh Bandaru")</f>
        <v>Ramesh Bandaru</v>
      </c>
      <c r="B30" s="16">
        <f>IFERROR(__xludf.DUMMYFUNCTION("""COMPUTED_VALUE"""),3.0)</f>
        <v>3</v>
      </c>
      <c r="C30" s="16">
        <f t="shared" si="1"/>
        <v>0</v>
      </c>
      <c r="D30" s="22" t="str">
        <f t="shared" si="7"/>
        <v/>
      </c>
      <c r="E30" s="16">
        <f t="shared" si="3"/>
        <v>29</v>
      </c>
      <c r="F30" s="16"/>
      <c r="G30" s="16" t="str">
        <f>IFERROR(__xludf.DUMMYFUNCTION("""COMPUTED_VALUE"""),"Saravanan Veerapandian")</f>
        <v>Saravanan Veerapandian</v>
      </c>
      <c r="H30" s="16"/>
      <c r="I30" s="16"/>
      <c r="J30" s="16"/>
      <c r="K30" s="16"/>
      <c r="L30" s="16"/>
      <c r="M30" s="16"/>
      <c r="O30" s="16" t="str">
        <f>IFERROR(__xludf.DUMMYFUNCTION("""COMPUTED_VALUE"""),"Lam Bui")</f>
        <v>Lam Bui</v>
      </c>
      <c r="P30" s="64">
        <f>IFERROR(__xludf.DUMMYFUNCTION("""COMPUTED_VALUE"""),6.262336142E9)</f>
        <v>6262336142</v>
      </c>
      <c r="Q30" s="55">
        <f>IFERROR(__xludf.DUMMYFUNCTION("""COMPUTED_VALUE"""),46311.0)</f>
        <v>46311</v>
      </c>
      <c r="R30" s="55">
        <f>IFERROR(__xludf.DUMMYFUNCTION("""COMPUTED_VALUE"""),46321.0)</f>
        <v>46321</v>
      </c>
      <c r="S30" s="64" t="str">
        <f t="shared" si="5"/>
        <v>Yes</v>
      </c>
      <c r="T30" s="64" t="str">
        <f t="shared" si="6"/>
        <v>Yes</v>
      </c>
    </row>
    <row r="31">
      <c r="A31" s="16" t="str">
        <f>IFERROR(__xludf.DUMMYFUNCTION("""COMPUTED_VALUE"""),"Vishnu Amarnath")</f>
        <v>Vishnu Amarnath</v>
      </c>
      <c r="B31" s="16">
        <f>IFERROR(__xludf.DUMMYFUNCTION("""COMPUTED_VALUE"""),3.0)</f>
        <v>3</v>
      </c>
      <c r="C31" s="16">
        <f t="shared" si="1"/>
        <v>1</v>
      </c>
      <c r="D31" s="22" t="str">
        <f t="shared" si="7"/>
        <v/>
      </c>
      <c r="E31" s="16">
        <f t="shared" si="3"/>
        <v>30</v>
      </c>
      <c r="F31" s="16"/>
      <c r="G31" s="16" t="str">
        <f>IFERROR(__xludf.DUMMYFUNCTION("""COMPUTED_VALUE"""),"Tom Le")</f>
        <v>Tom Le</v>
      </c>
      <c r="H31" s="16"/>
      <c r="I31" s="16"/>
      <c r="J31" s="16"/>
      <c r="K31" s="16"/>
      <c r="L31" s="16"/>
      <c r="M31" s="16"/>
      <c r="O31" s="16" t="str">
        <f>IFERROR(__xludf.DUMMYFUNCTION("""COMPUTED_VALUE"""),"Robert Chang")</f>
        <v>Robert Chang</v>
      </c>
      <c r="P31" s="64">
        <f>IFERROR(__xludf.DUMMYFUNCTION("""COMPUTED_VALUE"""),9.092256768E9)</f>
        <v>9092256768</v>
      </c>
      <c r="Q31" s="55">
        <f>IFERROR(__xludf.DUMMYFUNCTION("""COMPUTED_VALUE"""),46311.0)</f>
        <v>46311</v>
      </c>
      <c r="R31" s="55">
        <f>IFERROR(__xludf.DUMMYFUNCTION("""COMPUTED_VALUE"""),46320.0)</f>
        <v>46320</v>
      </c>
      <c r="S31" s="64" t="str">
        <f t="shared" si="5"/>
        <v>Yes</v>
      </c>
      <c r="T31" s="64" t="str">
        <f t="shared" si="6"/>
        <v>Yes</v>
      </c>
    </row>
    <row r="32">
      <c r="A32" s="16" t="str">
        <f>IFERROR(__xludf.DUMMYFUNCTION("""COMPUTED_VALUE"""),"Basudev Thoppai Vidyasankar")</f>
        <v>Basudev Thoppai Vidyasankar</v>
      </c>
      <c r="B32" s="16">
        <f>IFERROR(__xludf.DUMMYFUNCTION("""COMPUTED_VALUE"""),3.0)</f>
        <v>3</v>
      </c>
      <c r="C32" s="16">
        <f t="shared" si="1"/>
        <v>0</v>
      </c>
      <c r="D32" s="22" t="str">
        <f t="shared" si="7"/>
        <v/>
      </c>
      <c r="E32" s="16">
        <f t="shared" si="3"/>
        <v>31</v>
      </c>
      <c r="F32" s="16"/>
      <c r="G32" s="16" t="str">
        <f>IFERROR(__xludf.DUMMYFUNCTION("""COMPUTED_VALUE"""),"Trish Newlin")</f>
        <v>Trish Newlin</v>
      </c>
      <c r="H32" s="16"/>
      <c r="I32" s="16"/>
      <c r="J32" s="16"/>
      <c r="K32" s="16"/>
      <c r="L32" s="16"/>
      <c r="M32" s="16"/>
      <c r="O32" s="19" t="str">
        <f>IFERROR(__xludf.DUMMYFUNCTION("""COMPUTED_VALUE"""),"Lam Bui")</f>
        <v>Lam Bui</v>
      </c>
      <c r="P32" s="64">
        <f>IFERROR(__xludf.DUMMYFUNCTION("""COMPUTED_VALUE"""),6.262336142E9)</f>
        <v>6262336142</v>
      </c>
      <c r="Q32" s="55">
        <f>IFERROR(__xludf.DUMMYFUNCTION("""COMPUTED_VALUE"""),46312.0)</f>
        <v>46312</v>
      </c>
      <c r="R32" s="55">
        <f>IFERROR(__xludf.DUMMYFUNCTION("""COMPUTED_VALUE"""),46319.0)</f>
        <v>46319</v>
      </c>
      <c r="S32" s="64" t="str">
        <f t="shared" si="5"/>
        <v>Yes</v>
      </c>
      <c r="T32" s="64" t="str">
        <f t="shared" si="6"/>
        <v>Yes</v>
      </c>
    </row>
    <row r="33">
      <c r="A33" s="16" t="str">
        <f>IFERROR(__xludf.DUMMYFUNCTION("""COMPUTED_VALUE"""),"Allen Zhang")</f>
        <v>Allen Zhang</v>
      </c>
      <c r="B33" s="16">
        <f>IFERROR(__xludf.DUMMYFUNCTION("""COMPUTED_VALUE"""),1.0)</f>
        <v>1</v>
      </c>
      <c r="C33" s="16">
        <f t="shared" si="1"/>
        <v>0</v>
      </c>
      <c r="D33" s="22" t="str">
        <f t="shared" si="7"/>
        <v/>
      </c>
      <c r="E33" s="16">
        <f t="shared" si="3"/>
        <v>32</v>
      </c>
      <c r="F33" s="16"/>
      <c r="G33" s="16" t="str">
        <f>IFERROR(__xludf.DUMMYFUNCTION("""COMPUTED_VALUE"""),"Troy Wong")</f>
        <v>Troy Wong</v>
      </c>
      <c r="H33" s="16"/>
      <c r="I33" s="16"/>
      <c r="J33" s="16"/>
      <c r="K33" s="16"/>
      <c r="L33" s="16"/>
      <c r="M33" s="16"/>
      <c r="O33" s="16" t="str">
        <f>IFERROR(__xludf.DUMMYFUNCTION("""COMPUTED_VALUE"""),"Chinna Ponnaganti")</f>
        <v>Chinna Ponnaganti</v>
      </c>
      <c r="P33" s="67">
        <f>IFERROR(__xludf.DUMMYFUNCTION("""COMPUTED_VALUE"""),9.096100085E9)</f>
        <v>9096100085</v>
      </c>
      <c r="Q33" s="55">
        <f>IFERROR(__xludf.DUMMYFUNCTION("""COMPUTED_VALUE"""),46311.0)</f>
        <v>46311</v>
      </c>
      <c r="R33" s="55">
        <f>IFERROR(__xludf.DUMMYFUNCTION("""COMPUTED_VALUE"""),46314.0)</f>
        <v>46314</v>
      </c>
      <c r="S33" s="64" t="str">
        <f t="shared" si="5"/>
        <v>Yes</v>
      </c>
      <c r="T33" s="64" t="str">
        <f t="shared" si="6"/>
        <v>Yes</v>
      </c>
    </row>
    <row r="34">
      <c r="A34" s="16" t="str">
        <f>IFERROR(__xludf.DUMMYFUNCTION("""COMPUTED_VALUE"""),"Ethan Gu")</f>
        <v>Ethan Gu</v>
      </c>
      <c r="B34" s="16">
        <f>IFERROR(__xludf.DUMMYFUNCTION("""COMPUTED_VALUE"""),1.0)</f>
        <v>1</v>
      </c>
      <c r="C34" s="16">
        <f t="shared" si="1"/>
        <v>0</v>
      </c>
      <c r="D34" s="22" t="str">
        <f t="shared" si="7"/>
        <v/>
      </c>
      <c r="E34" s="16">
        <f t="shared" si="3"/>
        <v>33</v>
      </c>
      <c r="F34" s="16"/>
      <c r="G34" s="16" t="str">
        <f>IFERROR(__xludf.DUMMYFUNCTION("""COMPUTED_VALUE"""),"Vicki Martinet")</f>
        <v>Vicki Martinet</v>
      </c>
      <c r="H34" s="16"/>
      <c r="I34" s="16"/>
      <c r="J34" s="16"/>
      <c r="K34" s="16"/>
      <c r="L34" s="16"/>
      <c r="M34" s="16"/>
      <c r="O34" s="16"/>
      <c r="P34" s="64"/>
      <c r="Q34" s="55"/>
      <c r="R34" s="55"/>
      <c r="S34" s="64" t="str">
        <f t="shared" si="5"/>
        <v/>
      </c>
      <c r="T34" s="64" t="str">
        <f t="shared" si="6"/>
        <v/>
      </c>
    </row>
    <row r="35">
      <c r="A35" s="16" t="str">
        <f>IFERROR(__xludf.DUMMYFUNCTION("""COMPUTED_VALUE"""),"Herman Au")</f>
        <v>Herman Au</v>
      </c>
      <c r="B35" s="16">
        <f>IFERROR(__xludf.DUMMYFUNCTION("""COMPUTED_VALUE"""),5.0)</f>
        <v>5</v>
      </c>
      <c r="C35" s="16">
        <f t="shared" si="1"/>
        <v>2</v>
      </c>
      <c r="D35" s="22" t="str">
        <f t="shared" si="7"/>
        <v/>
      </c>
      <c r="E35" s="16">
        <f t="shared" si="3"/>
        <v>34</v>
      </c>
      <c r="F35" s="16"/>
      <c r="G35" s="16" t="str">
        <f>IFERROR(__xludf.DUMMYFUNCTION("""COMPUTED_VALUE"""),"Vinaya Kajla")</f>
        <v>Vinaya Kajla</v>
      </c>
      <c r="H35" s="16"/>
      <c r="I35" s="16"/>
      <c r="J35" s="16"/>
      <c r="K35" s="16"/>
      <c r="L35" s="16"/>
      <c r="M35" s="16"/>
      <c r="O35" s="16"/>
      <c r="P35" s="64"/>
      <c r="Q35" s="55"/>
      <c r="R35" s="55"/>
      <c r="S35" s="64" t="str">
        <f t="shared" si="5"/>
        <v/>
      </c>
      <c r="T35" s="64" t="str">
        <f t="shared" si="6"/>
        <v/>
      </c>
    </row>
    <row r="36">
      <c r="A36" s="16" t="str">
        <f>IFERROR(__xludf.DUMMYFUNCTION("""COMPUTED_VALUE"""),"Nicole Ni")</f>
        <v>Nicole Ni</v>
      </c>
      <c r="B36" s="16">
        <f>IFERROR(__xludf.DUMMYFUNCTION("""COMPUTED_VALUE"""),1.0)</f>
        <v>1</v>
      </c>
      <c r="C36" s="16">
        <f t="shared" si="1"/>
        <v>1</v>
      </c>
      <c r="D36" s="22" t="str">
        <f t="shared" si="7"/>
        <v/>
      </c>
      <c r="E36" s="16">
        <f t="shared" si="3"/>
        <v>35</v>
      </c>
      <c r="F36" s="16"/>
      <c r="G36" s="16" t="str">
        <f>IFERROR(__xludf.DUMMYFUNCTION("""COMPUTED_VALUE"""),"Vishnu Amarnath")</f>
        <v>Vishnu Amarnath</v>
      </c>
      <c r="H36" s="16"/>
      <c r="I36" s="16"/>
      <c r="J36" s="16"/>
      <c r="K36" s="16"/>
      <c r="L36" s="16"/>
      <c r="M36" s="16"/>
      <c r="O36" s="16"/>
      <c r="P36" s="64"/>
      <c r="Q36" s="55"/>
      <c r="R36" s="55"/>
      <c r="S36" s="64" t="str">
        <f t="shared" si="5"/>
        <v/>
      </c>
      <c r="T36" s="64" t="str">
        <f t="shared" si="6"/>
        <v/>
      </c>
    </row>
    <row r="37">
      <c r="A37" s="16" t="str">
        <f>IFERROR(__xludf.DUMMYFUNCTION("""COMPUTED_VALUE"""),"Alejandro Mejia")</f>
        <v>Alejandro Mejia</v>
      </c>
      <c r="B37" s="16">
        <f>IFERROR(__xludf.DUMMYFUNCTION("""COMPUTED_VALUE"""),3.0)</f>
        <v>3</v>
      </c>
      <c r="C37" s="16">
        <f t="shared" si="1"/>
        <v>0</v>
      </c>
      <c r="D37" s="22" t="str">
        <f t="shared" si="7"/>
        <v/>
      </c>
      <c r="E37" s="16">
        <f t="shared" si="3"/>
        <v>36</v>
      </c>
      <c r="F37" s="16"/>
      <c r="G37" s="16" t="str">
        <f>IFERROR(__xludf.DUMMYFUNCTION("""COMPUTED_VALUE"""),"Wayne Liu")</f>
        <v>Wayne Liu</v>
      </c>
      <c r="H37" s="16"/>
      <c r="I37" s="16"/>
      <c r="J37" s="16"/>
      <c r="K37" s="16"/>
      <c r="L37" s="16"/>
      <c r="M37" s="16"/>
      <c r="O37" s="16"/>
      <c r="P37" s="64"/>
      <c r="Q37" s="55"/>
      <c r="R37" s="55"/>
      <c r="S37" s="64" t="str">
        <f t="shared" si="5"/>
        <v/>
      </c>
      <c r="T37" s="64" t="str">
        <f t="shared" si="6"/>
        <v/>
      </c>
    </row>
    <row r="38">
      <c r="A38" s="16" t="str">
        <f>IFERROR(__xludf.DUMMYFUNCTION("""COMPUTED_VALUE"""),"Rajesh Dorairaj")</f>
        <v>Rajesh Dorairaj</v>
      </c>
      <c r="B38" s="16">
        <f>IFERROR(__xludf.DUMMYFUNCTION("""COMPUTED_VALUE"""),3.0)</f>
        <v>3</v>
      </c>
      <c r="C38" s="16">
        <f t="shared" si="1"/>
        <v>0</v>
      </c>
      <c r="D38" s="22" t="str">
        <f t="shared" si="7"/>
        <v/>
      </c>
      <c r="E38" s="16">
        <f t="shared" si="3"/>
        <v>37</v>
      </c>
      <c r="F38" s="16"/>
      <c r="G38" s="16"/>
      <c r="H38" s="16"/>
      <c r="I38" s="16"/>
      <c r="J38" s="16"/>
      <c r="K38" s="16"/>
      <c r="L38" s="16"/>
      <c r="M38" s="16"/>
      <c r="O38" s="16"/>
      <c r="P38" s="64"/>
      <c r="Q38" s="55"/>
      <c r="R38" s="55"/>
      <c r="S38" s="64" t="str">
        <f t="shared" si="5"/>
        <v/>
      </c>
      <c r="T38" s="64" t="str">
        <f t="shared" si="6"/>
        <v/>
      </c>
    </row>
    <row r="39">
      <c r="A39" s="16" t="str">
        <f>IFERROR(__xludf.DUMMYFUNCTION("""COMPUTED_VALUE"""),"Sean Chang")</f>
        <v>Sean Chang</v>
      </c>
      <c r="B39" s="16">
        <f>IFERROR(__xludf.DUMMYFUNCTION("""COMPUTED_VALUE"""),1.0)</f>
        <v>1</v>
      </c>
      <c r="C39" s="16">
        <f t="shared" si="1"/>
        <v>1</v>
      </c>
      <c r="D39" s="22" t="str">
        <f t="shared" si="7"/>
        <v/>
      </c>
      <c r="E39" s="16">
        <f t="shared" si="3"/>
        <v>38</v>
      </c>
      <c r="F39" s="16"/>
      <c r="G39" s="16"/>
      <c r="H39" s="16"/>
      <c r="I39" s="16"/>
      <c r="J39" s="16"/>
      <c r="K39" s="16"/>
      <c r="L39" s="16"/>
      <c r="M39" s="16"/>
      <c r="O39" s="16"/>
      <c r="P39" s="64"/>
      <c r="Q39" s="55"/>
      <c r="R39" s="55"/>
      <c r="S39" s="64" t="str">
        <f t="shared" si="5"/>
        <v/>
      </c>
      <c r="T39" s="64" t="str">
        <f t="shared" si="6"/>
        <v/>
      </c>
    </row>
    <row r="40">
      <c r="A40" s="16" t="str">
        <f>IFERROR(__xludf.DUMMYFUNCTION("""COMPUTED_VALUE"""),"Jaya Sogata")</f>
        <v>Jaya Sogata</v>
      </c>
      <c r="B40" s="16">
        <f>IFERROR(__xludf.DUMMYFUNCTION("""COMPUTED_VALUE"""),1.0)</f>
        <v>1</v>
      </c>
      <c r="C40" s="16" t="str">
        <f t="shared" si="1"/>
        <v/>
      </c>
      <c r="D40" s="22" t="str">
        <f t="shared" si="7"/>
        <v/>
      </c>
      <c r="E40" s="16">
        <f t="shared" si="3"/>
        <v>39</v>
      </c>
      <c r="F40" s="16"/>
      <c r="G40" s="16"/>
      <c r="H40" s="16"/>
      <c r="I40" s="16"/>
      <c r="J40" s="16"/>
      <c r="K40" s="16"/>
      <c r="L40" s="16"/>
      <c r="M40" s="16"/>
      <c r="O40" s="16"/>
      <c r="P40" s="64"/>
      <c r="Q40" s="64"/>
      <c r="R40" s="64"/>
      <c r="S40" s="64" t="str">
        <f t="shared" si="5"/>
        <v/>
      </c>
      <c r="T40" s="64" t="str">
        <f t="shared" si="6"/>
        <v/>
      </c>
    </row>
    <row r="41">
      <c r="A41" s="16" t="str">
        <f>IFERROR(__xludf.DUMMYFUNCTION("""COMPUTED_VALUE"""),"Hongyuan Wen")</f>
        <v>Hongyuan Wen</v>
      </c>
      <c r="B41" s="16">
        <f>IFERROR(__xludf.DUMMYFUNCTION("""COMPUTED_VALUE"""),1.0)</f>
        <v>1</v>
      </c>
      <c r="C41" s="16">
        <f t="shared" si="1"/>
        <v>1</v>
      </c>
      <c r="D41" s="22" t="str">
        <f t="shared" si="7"/>
        <v/>
      </c>
      <c r="E41" s="16">
        <f t="shared" si="3"/>
        <v>40</v>
      </c>
      <c r="F41" s="16"/>
      <c r="G41" s="16"/>
      <c r="H41" s="16"/>
      <c r="I41" s="16"/>
      <c r="J41" s="16"/>
      <c r="K41" s="16"/>
      <c r="L41" s="16"/>
      <c r="M41" s="16"/>
      <c r="O41" s="16"/>
      <c r="P41" s="64"/>
      <c r="Q41" s="64"/>
      <c r="R41" s="64"/>
      <c r="S41" s="64" t="str">
        <f t="shared" si="5"/>
        <v/>
      </c>
      <c r="T41" s="64" t="str">
        <f t="shared" si="6"/>
        <v/>
      </c>
    </row>
    <row r="42">
      <c r="A42" s="16" t="str">
        <f>IFERROR(__xludf.DUMMYFUNCTION("""COMPUTED_VALUE"""),"Manish Anand")</f>
        <v>Manish Anand</v>
      </c>
      <c r="B42" s="16">
        <f>IFERROR(__xludf.DUMMYFUNCTION("""COMPUTED_VALUE"""),1.0)</f>
        <v>1</v>
      </c>
      <c r="C42" s="16">
        <f t="shared" si="1"/>
        <v>0</v>
      </c>
      <c r="D42" s="22" t="str">
        <f t="shared" si="7"/>
        <v/>
      </c>
      <c r="E42" s="16">
        <f t="shared" si="3"/>
        <v>41</v>
      </c>
      <c r="F42" s="16"/>
      <c r="G42" s="16"/>
      <c r="H42" s="16"/>
      <c r="I42" s="16"/>
      <c r="J42" s="16"/>
      <c r="K42" s="16"/>
      <c r="L42" s="16"/>
      <c r="M42" s="16"/>
      <c r="O42" s="16"/>
      <c r="P42" s="64"/>
      <c r="Q42" s="64"/>
      <c r="R42" s="64"/>
      <c r="S42" s="64" t="str">
        <f t="shared" si="5"/>
        <v/>
      </c>
      <c r="T42" s="64" t="str">
        <f t="shared" si="6"/>
        <v/>
      </c>
    </row>
    <row r="43">
      <c r="A43" s="16" t="str">
        <f>IFERROR(__xludf.DUMMYFUNCTION("""COMPUTED_VALUE"""),"Jonathan Phan")</f>
        <v>Jonathan Phan</v>
      </c>
      <c r="B43" s="16">
        <f>IFERROR(__xludf.DUMMYFUNCTION("""COMPUTED_VALUE"""),3.0)</f>
        <v>3</v>
      </c>
      <c r="C43" s="16">
        <f t="shared" si="1"/>
        <v>0</v>
      </c>
      <c r="D43" s="22" t="str">
        <f t="shared" si="7"/>
        <v/>
      </c>
      <c r="E43" s="16">
        <f t="shared" si="3"/>
        <v>42</v>
      </c>
      <c r="F43" s="16"/>
      <c r="G43" s="16"/>
      <c r="H43" s="16"/>
      <c r="I43" s="16"/>
      <c r="J43" s="16"/>
      <c r="K43" s="16"/>
      <c r="L43" s="16"/>
      <c r="M43" s="16"/>
      <c r="O43" s="16"/>
      <c r="P43" s="64"/>
      <c r="Q43" s="64"/>
      <c r="R43" s="64"/>
      <c r="S43" s="64" t="str">
        <f t="shared" si="5"/>
        <v/>
      </c>
      <c r="T43" s="64" t="str">
        <f t="shared" si="6"/>
        <v/>
      </c>
    </row>
    <row r="44">
      <c r="A44" s="16" t="str">
        <f>IFERROR(__xludf.DUMMYFUNCTION("""COMPUTED_VALUE"""),"Jimmy Awolesi")</f>
        <v>Jimmy Awolesi</v>
      </c>
      <c r="B44" s="16">
        <f>IFERROR(__xludf.DUMMYFUNCTION("""COMPUTED_VALUE"""),1.0)</f>
        <v>1</v>
      </c>
      <c r="C44" s="16">
        <f t="shared" si="1"/>
        <v>0</v>
      </c>
      <c r="D44" s="22" t="str">
        <f t="shared" si="7"/>
        <v/>
      </c>
      <c r="E44" s="16">
        <f t="shared" si="3"/>
        <v>43</v>
      </c>
      <c r="F44" s="16"/>
      <c r="G44" s="16"/>
      <c r="H44" s="16"/>
      <c r="I44" s="16"/>
      <c r="J44" s="16"/>
      <c r="K44" s="16"/>
      <c r="L44" s="16"/>
      <c r="M44" s="16"/>
      <c r="O44" s="16"/>
      <c r="P44" s="64"/>
      <c r="Q44" s="64"/>
      <c r="R44" s="64"/>
      <c r="S44" s="64" t="str">
        <f t="shared" si="5"/>
        <v/>
      </c>
      <c r="T44" s="64" t="str">
        <f t="shared" si="6"/>
        <v/>
      </c>
    </row>
    <row r="45">
      <c r="A45" s="16" t="str">
        <f>IFERROR(__xludf.DUMMYFUNCTION("""COMPUTED_VALUE"""),"Andrew Yao")</f>
        <v>Andrew Yao</v>
      </c>
      <c r="B45" s="16">
        <f>IFERROR(__xludf.DUMMYFUNCTION("""COMPUTED_VALUE"""),1.0)</f>
        <v>1</v>
      </c>
      <c r="C45" s="16" t="str">
        <f t="shared" si="1"/>
        <v/>
      </c>
      <c r="D45" s="22" t="str">
        <f t="shared" si="7"/>
        <v/>
      </c>
      <c r="E45" s="16">
        <f t="shared" si="3"/>
        <v>44</v>
      </c>
      <c r="F45" s="16"/>
      <c r="G45" s="16"/>
      <c r="H45" s="16"/>
      <c r="I45" s="16"/>
      <c r="J45" s="16"/>
      <c r="K45" s="16"/>
      <c r="L45" s="16"/>
      <c r="M45" s="16"/>
      <c r="O45" s="16"/>
      <c r="P45" s="64"/>
      <c r="Q45" s="64"/>
      <c r="R45" s="64"/>
      <c r="S45" s="64" t="str">
        <f t="shared" si="5"/>
        <v/>
      </c>
      <c r="T45" s="64" t="str">
        <f t="shared" si="6"/>
        <v/>
      </c>
    </row>
    <row r="46">
      <c r="A46" s="16" t="str">
        <f>IFERROR(__xludf.DUMMYFUNCTION("""COMPUTED_VALUE"""),"Alex Hou")</f>
        <v>Alex Hou</v>
      </c>
      <c r="B46" s="16">
        <f>IFERROR(__xludf.DUMMYFUNCTION("""COMPUTED_VALUE"""),3.0)</f>
        <v>3</v>
      </c>
      <c r="C46" s="16">
        <f t="shared" si="1"/>
        <v>0</v>
      </c>
      <c r="D46" s="22" t="str">
        <f t="shared" si="7"/>
        <v/>
      </c>
      <c r="E46" s="16">
        <f t="shared" si="3"/>
        <v>45</v>
      </c>
      <c r="F46" s="16"/>
      <c r="G46" s="16"/>
      <c r="H46" s="16"/>
      <c r="I46" s="16"/>
      <c r="J46" s="16"/>
      <c r="K46" s="16"/>
      <c r="L46" s="16"/>
      <c r="M46" s="16"/>
      <c r="O46" s="16"/>
      <c r="P46" s="64"/>
      <c r="Q46" s="64"/>
      <c r="R46" s="64"/>
      <c r="S46" s="64" t="str">
        <f t="shared" si="5"/>
        <v/>
      </c>
      <c r="T46" s="64" t="str">
        <f t="shared" si="6"/>
        <v/>
      </c>
    </row>
    <row r="47">
      <c r="A47" s="16" t="str">
        <f>IFERROR(__xludf.DUMMYFUNCTION("""COMPUTED_VALUE"""),"Darren Wong")</f>
        <v>Darren Wong</v>
      </c>
      <c r="B47" s="16">
        <f>IFERROR(__xludf.DUMMYFUNCTION("""COMPUTED_VALUE"""),3.0)</f>
        <v>3</v>
      </c>
      <c r="C47" s="16">
        <f t="shared" si="1"/>
        <v>1</v>
      </c>
      <c r="D47" s="22" t="str">
        <f t="shared" si="7"/>
        <v/>
      </c>
      <c r="E47" s="16">
        <f t="shared" si="3"/>
        <v>46</v>
      </c>
      <c r="F47" s="16"/>
      <c r="G47" s="16"/>
      <c r="H47" s="16"/>
      <c r="I47" s="16"/>
      <c r="J47" s="16"/>
      <c r="K47" s="16"/>
      <c r="L47" s="16"/>
      <c r="M47" s="16"/>
      <c r="O47" s="16"/>
      <c r="P47" s="64"/>
      <c r="Q47" s="64"/>
      <c r="R47" s="64"/>
      <c r="S47" s="64" t="str">
        <f t="shared" si="5"/>
        <v/>
      </c>
      <c r="T47" s="64" t="str">
        <f t="shared" si="6"/>
        <v/>
      </c>
    </row>
    <row r="48">
      <c r="A48" s="16" t="str">
        <f>IFERROR(__xludf.DUMMYFUNCTION("""COMPUTED_VALUE"""),"Vinaya Kajla")</f>
        <v>Vinaya Kajla</v>
      </c>
      <c r="B48" s="16">
        <f>IFERROR(__xludf.DUMMYFUNCTION("""COMPUTED_VALUE"""),3.0)</f>
        <v>3</v>
      </c>
      <c r="C48" s="16">
        <f t="shared" si="1"/>
        <v>0</v>
      </c>
      <c r="D48" s="22" t="str">
        <f t="shared" si="7"/>
        <v/>
      </c>
      <c r="E48" s="16">
        <f t="shared" si="3"/>
        <v>47</v>
      </c>
      <c r="F48" s="16"/>
      <c r="G48" s="16"/>
      <c r="H48" s="16"/>
      <c r="I48" s="16"/>
      <c r="J48" s="16"/>
      <c r="K48" s="16"/>
      <c r="L48" s="16"/>
      <c r="M48" s="16"/>
      <c r="O48" s="16"/>
      <c r="P48" s="64"/>
      <c r="Q48" s="64"/>
      <c r="R48" s="64"/>
      <c r="S48" s="64" t="str">
        <f t="shared" si="5"/>
        <v/>
      </c>
      <c r="T48" s="64" t="str">
        <f t="shared" si="6"/>
        <v/>
      </c>
    </row>
    <row r="49">
      <c r="A49" s="16" t="str">
        <f>IFERROR(__xludf.DUMMYFUNCTION("""COMPUTED_VALUE"""),"Ruben Ron")</f>
        <v>Ruben Ron</v>
      </c>
      <c r="B49" s="16">
        <f>IFERROR(__xludf.DUMMYFUNCTION("""COMPUTED_VALUE"""),1.0)</f>
        <v>1</v>
      </c>
      <c r="C49" s="16" t="str">
        <f t="shared" si="1"/>
        <v/>
      </c>
      <c r="D49" s="22" t="str">
        <f t="shared" si="7"/>
        <v/>
      </c>
      <c r="E49" s="16">
        <f t="shared" si="3"/>
        <v>48</v>
      </c>
      <c r="F49" s="16"/>
      <c r="G49" s="16"/>
      <c r="H49" s="16"/>
      <c r="I49" s="16"/>
      <c r="J49" s="16"/>
      <c r="K49" s="16"/>
      <c r="L49" s="16"/>
      <c r="M49" s="16"/>
      <c r="O49" s="16"/>
      <c r="P49" s="64"/>
      <c r="Q49" s="64"/>
      <c r="R49" s="64"/>
      <c r="S49" s="64" t="str">
        <f t="shared" si="5"/>
        <v/>
      </c>
      <c r="T49" s="64" t="str">
        <f t="shared" si="6"/>
        <v/>
      </c>
    </row>
    <row r="50">
      <c r="A50" s="16" t="str">
        <f>IFERROR(__xludf.DUMMYFUNCTION("""COMPUTED_VALUE"""),"Rudy Tatang")</f>
        <v>Rudy Tatang</v>
      </c>
      <c r="B50" s="16">
        <f>IFERROR(__xludf.DUMMYFUNCTION("""COMPUTED_VALUE"""),1.0)</f>
        <v>1</v>
      </c>
      <c r="C50" s="16" t="str">
        <f t="shared" si="1"/>
        <v/>
      </c>
      <c r="D50" s="22" t="str">
        <f t="shared" si="7"/>
        <v/>
      </c>
      <c r="E50" s="16">
        <f t="shared" si="3"/>
        <v>49</v>
      </c>
      <c r="F50" s="16"/>
      <c r="G50" s="16"/>
      <c r="H50" s="16"/>
      <c r="I50" s="16"/>
      <c r="J50" s="16"/>
      <c r="K50" s="16"/>
      <c r="L50" s="16"/>
      <c r="M50" s="16"/>
    </row>
    <row r="51">
      <c r="A51" s="16" t="str">
        <f>IFERROR(__xludf.DUMMYFUNCTION("""COMPUTED_VALUE"""),"David Shin")</f>
        <v>David Shin</v>
      </c>
      <c r="B51" s="16">
        <f>IFERROR(__xludf.DUMMYFUNCTION("""COMPUTED_VALUE"""),1.0)</f>
        <v>1</v>
      </c>
      <c r="C51" s="16">
        <f t="shared" si="1"/>
        <v>0</v>
      </c>
      <c r="D51" s="22" t="str">
        <f t="shared" si="7"/>
        <v/>
      </c>
      <c r="E51" s="16">
        <f t="shared" si="3"/>
        <v>50</v>
      </c>
      <c r="F51" s="16"/>
      <c r="G51" s="16"/>
      <c r="H51" s="16"/>
      <c r="I51" s="16"/>
      <c r="J51" s="16"/>
      <c r="K51" s="16"/>
      <c r="L51" s="16"/>
      <c r="M51" s="16"/>
    </row>
    <row r="52">
      <c r="A52" s="16" t="str">
        <f>IFERROR(__xludf.DUMMYFUNCTION("""COMPUTED_VALUE"""),"Luis Hsu")</f>
        <v>Luis Hsu</v>
      </c>
      <c r="B52" s="16">
        <f>IFERROR(__xludf.DUMMYFUNCTION("""COMPUTED_VALUE"""),1.0)</f>
        <v>1</v>
      </c>
      <c r="C52" s="16">
        <f t="shared" si="1"/>
        <v>0</v>
      </c>
      <c r="D52" s="22" t="str">
        <f t="shared" si="7"/>
        <v/>
      </c>
      <c r="E52" s="16">
        <f t="shared" si="3"/>
        <v>51</v>
      </c>
      <c r="F52" s="16"/>
      <c r="G52" s="16"/>
      <c r="H52" s="16"/>
      <c r="I52" s="16"/>
      <c r="J52" s="16"/>
      <c r="K52" s="16"/>
      <c r="L52" s="16"/>
      <c r="M52" s="16"/>
    </row>
    <row r="53">
      <c r="A53" s="16" t="str">
        <f>IFERROR(__xludf.DUMMYFUNCTION("""COMPUTED_VALUE"""),"Tina Hanson")</f>
        <v>Tina Hanson</v>
      </c>
      <c r="B53" s="16">
        <f>IFERROR(__xludf.DUMMYFUNCTION("""COMPUTED_VALUE"""),1.0)</f>
        <v>1</v>
      </c>
      <c r="C53" s="16">
        <f t="shared" si="1"/>
        <v>0</v>
      </c>
      <c r="D53" s="22" t="str">
        <f t="shared" si="7"/>
        <v/>
      </c>
      <c r="E53" s="16">
        <f t="shared" si="3"/>
        <v>52</v>
      </c>
      <c r="F53" s="16"/>
      <c r="G53" s="16"/>
      <c r="H53" s="16"/>
      <c r="I53" s="16"/>
      <c r="J53" s="16"/>
      <c r="K53" s="16"/>
      <c r="L53" s="16"/>
      <c r="M53" s="16"/>
    </row>
    <row r="54">
      <c r="A54" s="16" t="str">
        <f>IFERROR(__xludf.DUMMYFUNCTION("""COMPUTED_VALUE"""),"Camille Jung")</f>
        <v>Camille Jung</v>
      </c>
      <c r="B54" s="16">
        <f>IFERROR(__xludf.DUMMYFUNCTION("""COMPUTED_VALUE"""),2.0)</f>
        <v>2</v>
      </c>
      <c r="C54" s="16" t="str">
        <f t="shared" si="1"/>
        <v/>
      </c>
      <c r="D54" s="22" t="str">
        <f t="shared" si="7"/>
        <v/>
      </c>
      <c r="E54" s="16">
        <f t="shared" si="3"/>
        <v>53</v>
      </c>
      <c r="F54" s="16"/>
      <c r="G54" s="16"/>
      <c r="H54" s="16"/>
      <c r="I54" s="16"/>
      <c r="J54" s="16"/>
      <c r="K54" s="16"/>
      <c r="L54" s="16"/>
      <c r="M54" s="16"/>
    </row>
    <row r="55">
      <c r="A55" s="16" t="str">
        <f>IFERROR(__xludf.DUMMYFUNCTION("""COMPUTED_VALUE"""),"Saravanan Veerapandian")</f>
        <v>Saravanan Veerapandian</v>
      </c>
      <c r="B55" s="16">
        <f>IFERROR(__xludf.DUMMYFUNCTION("""COMPUTED_VALUE"""),3.0)</f>
        <v>3</v>
      </c>
      <c r="C55" s="16">
        <f t="shared" si="1"/>
        <v>0</v>
      </c>
      <c r="D55" s="22" t="str">
        <f t="shared" si="7"/>
        <v/>
      </c>
      <c r="E55" s="16">
        <f t="shared" si="3"/>
        <v>54</v>
      </c>
      <c r="F55" s="16"/>
      <c r="G55" s="16"/>
      <c r="H55" s="16"/>
      <c r="I55" s="16"/>
      <c r="J55" s="16"/>
      <c r="K55" s="16"/>
      <c r="L55" s="16"/>
      <c r="M55" s="16"/>
    </row>
    <row r="56">
      <c r="A56" s="16" t="str">
        <f>IFERROR(__xludf.DUMMYFUNCTION("""COMPUTED_VALUE"""),"Lloyd Sagar")</f>
        <v>Lloyd Sagar</v>
      </c>
      <c r="B56" s="16">
        <f>IFERROR(__xludf.DUMMYFUNCTION("""COMPUTED_VALUE"""),1.0)</f>
        <v>1</v>
      </c>
      <c r="C56" s="16">
        <f t="shared" si="1"/>
        <v>0</v>
      </c>
      <c r="D56" s="22" t="str">
        <f t="shared" si="7"/>
        <v/>
      </c>
      <c r="E56" s="16">
        <f t="shared" si="3"/>
        <v>55</v>
      </c>
      <c r="F56" s="16"/>
      <c r="G56" s="16"/>
      <c r="H56" s="16"/>
      <c r="I56" s="16"/>
      <c r="J56" s="16"/>
      <c r="K56" s="16"/>
      <c r="L56" s="16"/>
      <c r="M56" s="16"/>
    </row>
    <row r="57">
      <c r="A57" s="16" t="str">
        <f>IFERROR(__xludf.DUMMYFUNCTION("""COMPUTED_VALUE"""),"Frank Moon")</f>
        <v>Frank Moon</v>
      </c>
      <c r="B57" s="16">
        <f>IFERROR(__xludf.DUMMYFUNCTION("""COMPUTED_VALUE"""),3.0)</f>
        <v>3</v>
      </c>
      <c r="C57" s="16">
        <f t="shared" si="1"/>
        <v>0</v>
      </c>
      <c r="D57" s="22" t="str">
        <f t="shared" si="7"/>
        <v/>
      </c>
      <c r="E57" s="16">
        <f t="shared" si="3"/>
        <v>56</v>
      </c>
      <c r="F57" s="16"/>
      <c r="G57" s="16"/>
      <c r="H57" s="16"/>
      <c r="I57" s="16"/>
      <c r="J57" s="16"/>
      <c r="K57" s="16"/>
      <c r="L57" s="16"/>
      <c r="M57" s="16"/>
    </row>
    <row r="58">
      <c r="A58" s="16" t="str">
        <f>IFERROR(__xludf.DUMMYFUNCTION("""COMPUTED_VALUE"""),"Manuel Rivera")</f>
        <v>Manuel Rivera</v>
      </c>
      <c r="B58" s="16">
        <f>IFERROR(__xludf.DUMMYFUNCTION("""COMPUTED_VALUE"""),3.0)</f>
        <v>3</v>
      </c>
      <c r="C58" s="16">
        <f t="shared" si="1"/>
        <v>1</v>
      </c>
      <c r="D58" s="22" t="str">
        <f t="shared" si="7"/>
        <v/>
      </c>
      <c r="E58" s="16">
        <f t="shared" si="3"/>
        <v>57</v>
      </c>
      <c r="F58" s="16"/>
      <c r="G58" s="16"/>
      <c r="H58" s="16"/>
      <c r="I58" s="16"/>
      <c r="J58" s="16"/>
      <c r="K58" s="16"/>
      <c r="L58" s="16"/>
      <c r="M58" s="16"/>
    </row>
    <row r="59">
      <c r="A59" s="16" t="str">
        <f>IFERROR(__xludf.DUMMYFUNCTION("""COMPUTED_VALUE"""),"Lam Bui")</f>
        <v>Lam Bui</v>
      </c>
      <c r="B59" s="16">
        <f>IFERROR(__xludf.DUMMYFUNCTION("""COMPUTED_VALUE"""),3.0)</f>
        <v>3</v>
      </c>
      <c r="C59" s="16">
        <f t="shared" si="1"/>
        <v>0</v>
      </c>
      <c r="D59" s="22" t="str">
        <f t="shared" si="7"/>
        <v/>
      </c>
      <c r="E59" s="16">
        <f t="shared" si="3"/>
        <v>58</v>
      </c>
      <c r="F59" s="16"/>
      <c r="G59" s="16"/>
      <c r="H59" s="16"/>
      <c r="I59" s="16"/>
      <c r="J59" s="16"/>
      <c r="K59" s="16"/>
      <c r="L59" s="16"/>
      <c r="M59" s="16"/>
    </row>
    <row r="60">
      <c r="A60" s="16" t="str">
        <f>IFERROR(__xludf.DUMMYFUNCTION("""COMPUTED_VALUE"""),"Naveen Raj")</f>
        <v>Naveen Raj</v>
      </c>
      <c r="B60" s="16">
        <f>IFERROR(__xludf.DUMMYFUNCTION("""COMPUTED_VALUE"""),1.0)</f>
        <v>1</v>
      </c>
      <c r="C60" s="16">
        <f t="shared" si="1"/>
        <v>0</v>
      </c>
      <c r="D60" s="22" t="str">
        <f t="shared" si="7"/>
        <v/>
      </c>
      <c r="E60" s="16">
        <f t="shared" si="3"/>
        <v>59</v>
      </c>
      <c r="F60" s="16"/>
      <c r="G60" s="16"/>
      <c r="H60" s="16"/>
      <c r="I60" s="16"/>
      <c r="J60" s="16"/>
      <c r="K60" s="16"/>
      <c r="L60" s="16"/>
      <c r="M60" s="16"/>
      <c r="O60" s="68"/>
      <c r="P60" s="69"/>
      <c r="R60" s="70"/>
    </row>
    <row r="61">
      <c r="A61" s="16" t="str">
        <f>IFERROR(__xludf.DUMMYFUNCTION("""COMPUTED_VALUE"""),"Andrew Wen")</f>
        <v>Andrew Wen</v>
      </c>
      <c r="B61" s="16">
        <f>IFERROR(__xludf.DUMMYFUNCTION("""COMPUTED_VALUE"""),3.0)</f>
        <v>3</v>
      </c>
      <c r="C61" s="16">
        <f t="shared" si="1"/>
        <v>1</v>
      </c>
      <c r="D61" s="22" t="str">
        <f t="shared" si="7"/>
        <v/>
      </c>
      <c r="E61" s="16">
        <f t="shared" si="3"/>
        <v>60</v>
      </c>
      <c r="F61" s="16"/>
      <c r="G61" s="16"/>
      <c r="H61" s="16"/>
      <c r="I61" s="16"/>
      <c r="J61" s="16"/>
      <c r="K61" s="16"/>
      <c r="L61" s="16"/>
      <c r="M61" s="16"/>
      <c r="Q61" s="71"/>
      <c r="R61" s="70"/>
    </row>
    <row r="62">
      <c r="A62" s="16" t="str">
        <f>IFERROR(__xludf.DUMMYFUNCTION("""COMPUTED_VALUE"""),"Elayaraja Thangaraj")</f>
        <v>Elayaraja Thangaraj</v>
      </c>
      <c r="B62" s="16">
        <f>IFERROR(__xludf.DUMMYFUNCTION("""COMPUTED_VALUE"""),1.0)</f>
        <v>1</v>
      </c>
      <c r="C62" s="16">
        <f t="shared" si="1"/>
        <v>1</v>
      </c>
      <c r="D62" s="22" t="str">
        <f t="shared" si="7"/>
        <v/>
      </c>
      <c r="E62" s="16">
        <f t="shared" si="3"/>
        <v>61</v>
      </c>
      <c r="F62" s="16"/>
      <c r="G62" s="16"/>
      <c r="H62" s="16"/>
      <c r="I62" s="16"/>
      <c r="J62" s="16"/>
      <c r="K62" s="16"/>
      <c r="L62" s="16"/>
      <c r="M62" s="16"/>
      <c r="O62" s="51"/>
      <c r="P62" s="72"/>
      <c r="Q62" s="71"/>
      <c r="R62" s="70"/>
    </row>
    <row r="63">
      <c r="A63" s="16" t="str">
        <f>IFERROR(__xludf.DUMMYFUNCTION("""COMPUTED_VALUE"""),"Rajasekar Ramasamy")</f>
        <v>Rajasekar Ramasamy</v>
      </c>
      <c r="B63" s="16">
        <f>IFERROR(__xludf.DUMMYFUNCTION("""COMPUTED_VALUE"""),3.0)</f>
        <v>3</v>
      </c>
      <c r="C63" s="16">
        <f t="shared" si="1"/>
        <v>1</v>
      </c>
      <c r="D63" s="22" t="str">
        <f t="shared" si="7"/>
        <v/>
      </c>
      <c r="E63" s="16">
        <f t="shared" si="3"/>
        <v>62</v>
      </c>
      <c r="F63" s="16"/>
      <c r="G63" s="16"/>
      <c r="H63" s="16"/>
      <c r="I63" s="16"/>
      <c r="J63" s="16"/>
      <c r="K63" s="16"/>
      <c r="L63" s="16"/>
      <c r="M63" s="16"/>
      <c r="Q63" s="71"/>
      <c r="R63" s="70"/>
    </row>
    <row r="64">
      <c r="A64" s="16" t="str">
        <f>IFERROR(__xludf.DUMMYFUNCTION("""COMPUTED_VALUE"""),"Mauricio Palacios")</f>
        <v>Mauricio Palacios</v>
      </c>
      <c r="B64" s="16">
        <f>IFERROR(__xludf.DUMMYFUNCTION("""COMPUTED_VALUE"""),1.0)</f>
        <v>1</v>
      </c>
      <c r="C64" s="16">
        <f t="shared" si="1"/>
        <v>0</v>
      </c>
      <c r="D64" s="22" t="str">
        <f t="shared" si="7"/>
        <v/>
      </c>
      <c r="E64" s="16">
        <f t="shared" si="3"/>
        <v>63</v>
      </c>
      <c r="F64" s="16"/>
      <c r="G64" s="16"/>
      <c r="H64" s="16"/>
      <c r="I64" s="16"/>
      <c r="J64" s="16"/>
      <c r="K64" s="16"/>
      <c r="L64" s="16"/>
      <c r="M64" s="16"/>
      <c r="O64" s="51"/>
      <c r="P64" s="73"/>
      <c r="Q64" s="71"/>
      <c r="R64" s="70"/>
    </row>
    <row r="65">
      <c r="A65" s="16" t="str">
        <f>IFERROR(__xludf.DUMMYFUNCTION("""COMPUTED_VALUE"""),"Suleman Alidina")</f>
        <v>Suleman Alidina</v>
      </c>
      <c r="B65" s="16">
        <f>IFERROR(__xludf.DUMMYFUNCTION("""COMPUTED_VALUE"""),2.0)</f>
        <v>2</v>
      </c>
      <c r="C65" s="16">
        <f t="shared" si="1"/>
        <v>0</v>
      </c>
      <c r="D65" s="22" t="str">
        <f t="shared" si="7"/>
        <v/>
      </c>
      <c r="E65" s="16">
        <f t="shared" si="3"/>
        <v>64</v>
      </c>
      <c r="F65" s="16"/>
      <c r="G65" s="16"/>
      <c r="H65" s="16"/>
      <c r="I65" s="16"/>
      <c r="J65" s="16"/>
      <c r="K65" s="16"/>
      <c r="L65" s="16"/>
      <c r="M65" s="16"/>
      <c r="Q65" s="71"/>
      <c r="R65" s="74"/>
    </row>
    <row r="66">
      <c r="A66" s="16" t="str">
        <f>IFERROR(__xludf.DUMMYFUNCTION("""COMPUTED_VALUE"""),"Ranjith Doraiswamy")</f>
        <v>Ranjith Doraiswamy</v>
      </c>
      <c r="B66" s="16">
        <f>IFERROR(__xludf.DUMMYFUNCTION("""COMPUTED_VALUE"""),5.0)</f>
        <v>5</v>
      </c>
      <c r="C66" s="16" t="str">
        <f t="shared" si="1"/>
        <v/>
      </c>
      <c r="D66" s="22" t="str">
        <f t="shared" si="7"/>
        <v/>
      </c>
      <c r="E66" s="16">
        <f t="shared" si="3"/>
        <v>65</v>
      </c>
      <c r="F66" s="16"/>
      <c r="G66" s="16"/>
      <c r="H66" s="16"/>
      <c r="I66" s="16"/>
      <c r="J66" s="16"/>
      <c r="K66" s="16"/>
      <c r="L66" s="16"/>
      <c r="M66" s="16"/>
      <c r="Q66" s="74"/>
      <c r="R66" s="74"/>
    </row>
    <row r="67">
      <c r="A67" s="22" t="str">
        <f>IFERROR(__xludf.DUMMYFUNCTION("""COMPUTED_VALUE"""),"Matthew Huang")</f>
        <v>Matthew Huang</v>
      </c>
      <c r="B67" s="22">
        <f>IFERROR(__xludf.DUMMYFUNCTION("""COMPUTED_VALUE"""),3.0)</f>
        <v>3</v>
      </c>
    </row>
    <row r="68">
      <c r="A68" s="22" t="str">
        <f>IFERROR(__xludf.DUMMYFUNCTION("""COMPUTED_VALUE"""),"Lenin Belangonda")</f>
        <v>Lenin Belangonda</v>
      </c>
      <c r="B68" s="22">
        <f>IFERROR(__xludf.DUMMYFUNCTION("""COMPUTED_VALUE"""),3.0)</f>
        <v>3</v>
      </c>
    </row>
    <row r="69">
      <c r="A69" s="22"/>
      <c r="B69" s="22"/>
    </row>
    <row r="70">
      <c r="A70" s="22"/>
      <c r="B70" s="22"/>
    </row>
    <row r="71">
      <c r="A71" s="22"/>
      <c r="B71" s="22"/>
    </row>
    <row r="72">
      <c r="A72" s="22"/>
      <c r="B72" s="22"/>
    </row>
    <row r="73">
      <c r="A73" s="22"/>
      <c r="B73" s="22"/>
    </row>
    <row r="74">
      <c r="A74" s="22"/>
      <c r="B74" s="22"/>
    </row>
    <row r="75">
      <c r="A75" s="22"/>
      <c r="B75" s="22"/>
      <c r="O75" s="59" t="s">
        <v>102</v>
      </c>
    </row>
    <row r="76">
      <c r="A76" s="22"/>
      <c r="B76" s="22"/>
      <c r="O76" s="16" t="s">
        <v>50</v>
      </c>
    </row>
    <row r="77">
      <c r="A77" s="22"/>
      <c r="B77" s="22"/>
      <c r="O77" s="16" t="s">
        <v>103</v>
      </c>
    </row>
    <row r="78">
      <c r="A78" s="22"/>
      <c r="B78" s="22"/>
      <c r="O78" s="16" t="s">
        <v>73</v>
      </c>
    </row>
    <row r="79">
      <c r="A79" s="22"/>
      <c r="B79" s="22"/>
      <c r="O79" s="16" t="s">
        <v>104</v>
      </c>
    </row>
    <row r="80">
      <c r="A80" s="22"/>
      <c r="B80" s="22"/>
      <c r="O80" s="16" t="s">
        <v>105</v>
      </c>
    </row>
    <row r="81">
      <c r="A81" s="22"/>
      <c r="B81" s="22"/>
      <c r="O81" s="16" t="s">
        <v>106</v>
      </c>
    </row>
    <row r="82">
      <c r="A82" s="22"/>
      <c r="B82" s="22"/>
      <c r="O82" s="16" t="s">
        <v>107</v>
      </c>
    </row>
    <row r="83">
      <c r="A83" s="22"/>
      <c r="B83" s="22"/>
    </row>
    <row r="84">
      <c r="A84" s="22"/>
      <c r="B84" s="22"/>
    </row>
    <row r="85">
      <c r="A85" s="22"/>
      <c r="B85" s="22"/>
    </row>
    <row r="86">
      <c r="A86" s="22"/>
      <c r="B86" s="22"/>
    </row>
    <row r="87">
      <c r="A87" s="22"/>
      <c r="B87" s="22"/>
    </row>
    <row r="88">
      <c r="A88" s="22"/>
      <c r="B88" s="22"/>
    </row>
    <row r="89">
      <c r="A89" s="22"/>
      <c r="B89" s="22"/>
    </row>
    <row r="90">
      <c r="A90" s="22"/>
      <c r="B90" s="22"/>
    </row>
    <row r="91">
      <c r="A91" s="22"/>
      <c r="B91" s="22"/>
    </row>
    <row r="92">
      <c r="A92" s="22"/>
      <c r="B92" s="22"/>
    </row>
    <row r="93">
      <c r="A93" s="22"/>
      <c r="B93" s="22"/>
    </row>
    <row r="94">
      <c r="A94" s="22"/>
      <c r="B94" s="22"/>
    </row>
    <row r="95">
      <c r="A95" s="22"/>
      <c r="B95" s="22"/>
    </row>
    <row r="96">
      <c r="A96" s="22"/>
      <c r="B96" s="22"/>
    </row>
    <row r="97">
      <c r="A97" s="22"/>
      <c r="B97" s="22"/>
    </row>
    <row r="98">
      <c r="A98" s="22"/>
      <c r="B98" s="22"/>
    </row>
    <row r="99">
      <c r="A99" s="22"/>
      <c r="B99" s="22"/>
    </row>
    <row r="100">
      <c r="A100" s="22"/>
      <c r="B100" s="22"/>
    </row>
  </sheetData>
  <conditionalFormatting sqref="J2:K2">
    <cfRule type="expression" dxfId="0" priority="1">
      <formula>L2&lt;&gt;""</formula>
    </cfRule>
  </conditionalFormatting>
  <conditionalFormatting sqref="K3">
    <cfRule type="expression" dxfId="0" priority="2">
      <formula>M3&lt;&gt;""</formula>
    </cfRule>
  </conditionalFormatting>
  <conditionalFormatting sqref="K4">
    <cfRule type="expression" dxfId="0" priority="3">
      <formula>M4&lt;&gt;""</formula>
    </cfRule>
  </conditionalFormatting>
  <conditionalFormatting sqref="K5">
    <cfRule type="expression" dxfId="0" priority="4">
      <formula>M5&lt;&gt;""</formula>
    </cfRule>
  </conditionalFormatting>
  <conditionalFormatting sqref="K6">
    <cfRule type="expression" dxfId="0" priority="5">
      <formula>M6&lt;&gt;""</formula>
    </cfRule>
  </conditionalFormatting>
  <conditionalFormatting sqref="K7">
    <cfRule type="expression" dxfId="0" priority="6">
      <formula>M7&lt;&gt;""</formula>
    </cfRule>
  </conditionalFormatting>
  <conditionalFormatting sqref="K8">
    <cfRule type="expression" dxfId="0" priority="7">
      <formula>M8&lt;&gt;""</formula>
    </cfRule>
  </conditionalFormatting>
  <conditionalFormatting sqref="K9">
    <cfRule type="expression" dxfId="0" priority="8">
      <formula>M9&lt;&gt;""</formula>
    </cfRule>
  </conditionalFormatting>
  <conditionalFormatting sqref="K10:K20">
    <cfRule type="expression" dxfId="0" priority="9">
      <formula>M10&lt;&gt;""</formula>
    </cfRule>
  </conditionalFormatting>
  <conditionalFormatting sqref="K11">
    <cfRule type="expression" dxfId="0" priority="10">
      <formula>M11&lt;&gt;""</formula>
    </cfRule>
  </conditionalFormatting>
  <conditionalFormatting sqref="K12">
    <cfRule type="expression" dxfId="0" priority="11">
      <formula>M12&lt;&gt;""</formula>
    </cfRule>
  </conditionalFormatting>
  <conditionalFormatting sqref="K13">
    <cfRule type="expression" dxfId="0" priority="12">
      <formula>M13&lt;&gt;""</formula>
    </cfRule>
  </conditionalFormatting>
  <conditionalFormatting sqref="K14">
    <cfRule type="expression" dxfId="0" priority="13">
      <formula>M14&lt;&gt;""</formula>
    </cfRule>
  </conditionalFormatting>
  <conditionalFormatting sqref="K15">
    <cfRule type="expression" dxfId="1" priority="14">
      <formula>M15&lt;&gt;""</formula>
    </cfRule>
  </conditionalFormatting>
  <conditionalFormatting sqref="K16">
    <cfRule type="expression" dxfId="0" priority="15">
      <formula>M16&lt;&gt;""</formula>
    </cfRule>
  </conditionalFormatting>
  <conditionalFormatting sqref="K17">
    <cfRule type="expression" dxfId="0" priority="16">
      <formula>M17&lt;&gt;""</formula>
    </cfRule>
  </conditionalFormatting>
  <conditionalFormatting sqref="K18">
    <cfRule type="expression" dxfId="0" priority="17">
      <formula>M18&lt;&gt;""</formula>
    </cfRule>
  </conditionalFormatting>
  <conditionalFormatting sqref="K19">
    <cfRule type="expression" dxfId="0" priority="18">
      <formula>M19&lt;&gt;""</formula>
    </cfRule>
  </conditionalFormatting>
  <conditionalFormatting sqref="K20">
    <cfRule type="expression" dxfId="0" priority="19">
      <formula>M20&lt;&gt;""</formula>
    </cfRule>
  </conditionalFormatting>
  <conditionalFormatting sqref="Q19">
    <cfRule type="notContainsBlanks" dxfId="2" priority="20">
      <formula>LEN(TRIM(Q19))&gt;0</formula>
    </cfRule>
  </conditionalFormatting>
  <conditionalFormatting sqref="P8">
    <cfRule type="cellIs" dxfId="3" priority="21" operator="greaterThan">
      <formula>0</formula>
    </cfRule>
  </conditionalFormatting>
  <conditionalFormatting sqref="H2:H21">
    <cfRule type="notContainsBlanks" dxfId="3" priority="22">
      <formula>LEN(TRIM(H2))&gt;0</formula>
    </cfRule>
  </conditionalFormatting>
  <conditionalFormatting sqref="A1:A978">
    <cfRule type="expression" dxfId="2" priority="23">
      <formula>COUNTIF(A:A, A1) &gt; 1</formula>
    </cfRule>
  </conditionalFormatting>
  <conditionalFormatting sqref="S24:T49">
    <cfRule type="beginsWith" dxfId="0" priority="24" operator="beginsWith" text="Y">
      <formula>LEFT((S24),LEN("Y"))=("Y")</formula>
    </cfRule>
  </conditionalFormatting>
  <conditionalFormatting sqref="S24:T49">
    <cfRule type="beginsWith" dxfId="2" priority="25" operator="beginsWith" text="N">
      <formula>LEFT((S24),LEN("N"))=("N")</formula>
    </cfRule>
  </conditionalFormatting>
  <conditionalFormatting sqref="F78:F85">
    <cfRule type="expression" dxfId="1" priority="26">
      <formula>SUMPRODUCT(--($G$78:$G$80&lt;&gt;""), --ISNUMBER( SEARCH($G$78:$G$80, F78) ) )&gt;0</formula>
    </cfRule>
  </conditionalFormatting>
  <conditionalFormatting sqref="F2:K66">
    <cfRule type="expression" dxfId="4" priority="27">
      <formula>SUMPRODUCT(--($O$76:$O$82&lt;&gt;""), --ISNUMBER( SEARCH($O$76:$O$82, F2) ) 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13" max="13" width="10.13"/>
    <col customWidth="1" min="15" max="15" width="10.13"/>
    <col customWidth="1" min="24" max="24" width="12.13"/>
    <col customWidth="1" min="28" max="28" width="12.13"/>
  </cols>
  <sheetData>
    <row r="1">
      <c r="A1" s="18" t="s">
        <v>22</v>
      </c>
      <c r="B1" s="18" t="s">
        <v>25</v>
      </c>
      <c r="C1" s="20">
        <v>45843.0</v>
      </c>
      <c r="D1" s="20">
        <f t="shared" ref="D1:AB1" si="1">C1+7</f>
        <v>45850</v>
      </c>
      <c r="E1" s="20">
        <f t="shared" si="1"/>
        <v>45857</v>
      </c>
      <c r="F1" s="20">
        <f t="shared" si="1"/>
        <v>45864</v>
      </c>
      <c r="G1" s="20">
        <f t="shared" si="1"/>
        <v>45871</v>
      </c>
      <c r="H1" s="20">
        <f t="shared" si="1"/>
        <v>45878</v>
      </c>
      <c r="I1" s="20">
        <f t="shared" si="1"/>
        <v>45885</v>
      </c>
      <c r="J1" s="20">
        <f t="shared" si="1"/>
        <v>45892</v>
      </c>
      <c r="K1" s="20">
        <f t="shared" si="1"/>
        <v>45899</v>
      </c>
      <c r="L1" s="20">
        <f t="shared" si="1"/>
        <v>45906</v>
      </c>
      <c r="M1" s="20">
        <f t="shared" si="1"/>
        <v>45913</v>
      </c>
      <c r="N1" s="20">
        <f t="shared" si="1"/>
        <v>45920</v>
      </c>
      <c r="O1" s="20">
        <f t="shared" si="1"/>
        <v>45927</v>
      </c>
      <c r="P1" s="20">
        <f t="shared" si="1"/>
        <v>45934</v>
      </c>
      <c r="Q1" s="20">
        <f t="shared" si="1"/>
        <v>45941</v>
      </c>
      <c r="R1" s="20">
        <f t="shared" si="1"/>
        <v>45948</v>
      </c>
      <c r="S1" s="20">
        <f t="shared" si="1"/>
        <v>45955</v>
      </c>
      <c r="T1" s="20">
        <f t="shared" si="1"/>
        <v>45962</v>
      </c>
      <c r="U1" s="20">
        <f t="shared" si="1"/>
        <v>45969</v>
      </c>
      <c r="V1" s="20">
        <f t="shared" si="1"/>
        <v>45976</v>
      </c>
      <c r="W1" s="20">
        <f t="shared" si="1"/>
        <v>45983</v>
      </c>
      <c r="X1" s="20">
        <f t="shared" si="1"/>
        <v>45990</v>
      </c>
      <c r="Y1" s="20">
        <f t="shared" si="1"/>
        <v>45997</v>
      </c>
      <c r="Z1" s="20">
        <f t="shared" si="1"/>
        <v>46004</v>
      </c>
      <c r="AA1" s="20">
        <f t="shared" si="1"/>
        <v>46011</v>
      </c>
      <c r="AB1" s="20">
        <f t="shared" si="1"/>
        <v>46018</v>
      </c>
    </row>
    <row r="2">
      <c r="A2" s="37">
        <v>1.0</v>
      </c>
      <c r="B2" s="33" t="s">
        <v>45</v>
      </c>
      <c r="C2" s="32">
        <f t="shared" ref="C2:AB2" si="2">IFERROR(VLOOKUP($B2,indirect(text(C$1,"mm/dd/yy")&amp;"!B:L"),11,false),"Not played")</f>
        <v>17</v>
      </c>
      <c r="D2" s="32">
        <f t="shared" si="2"/>
        <v>9</v>
      </c>
      <c r="E2" s="32">
        <f t="shared" si="2"/>
        <v>9</v>
      </c>
      <c r="F2" s="32">
        <f t="shared" si="2"/>
        <v>9</v>
      </c>
      <c r="G2" s="32">
        <f t="shared" si="2"/>
        <v>18</v>
      </c>
      <c r="H2" s="32">
        <f t="shared" si="2"/>
        <v>13</v>
      </c>
      <c r="I2" s="32">
        <f t="shared" si="2"/>
        <v>19</v>
      </c>
      <c r="J2" s="32">
        <f t="shared" si="2"/>
        <v>9</v>
      </c>
      <c r="K2" s="32">
        <f t="shared" si="2"/>
        <v>9</v>
      </c>
      <c r="L2" s="32">
        <f t="shared" si="2"/>
        <v>18</v>
      </c>
      <c r="M2" s="32">
        <f t="shared" si="2"/>
        <v>20</v>
      </c>
      <c r="N2" s="32">
        <f t="shared" si="2"/>
        <v>18</v>
      </c>
      <c r="O2" s="32">
        <f t="shared" si="2"/>
        <v>19</v>
      </c>
      <c r="P2" s="32">
        <f t="shared" si="2"/>
        <v>18</v>
      </c>
      <c r="Q2" s="32">
        <f t="shared" si="2"/>
        <v>19</v>
      </c>
      <c r="R2" s="32">
        <f t="shared" si="2"/>
        <v>18</v>
      </c>
      <c r="S2" s="32">
        <f t="shared" si="2"/>
        <v>18</v>
      </c>
      <c r="T2" s="32">
        <f t="shared" si="2"/>
        <v>9</v>
      </c>
      <c r="U2" s="32">
        <f t="shared" si="2"/>
        <v>9</v>
      </c>
      <c r="V2" s="32" t="str">
        <f t="shared" si="2"/>
        <v/>
      </c>
      <c r="W2" s="32">
        <f t="shared" si="2"/>
        <v>12</v>
      </c>
      <c r="X2" s="32">
        <f t="shared" si="2"/>
        <v>18</v>
      </c>
      <c r="Y2" s="32">
        <f t="shared" si="2"/>
        <v>13</v>
      </c>
      <c r="Z2" s="32">
        <f t="shared" si="2"/>
        <v>5</v>
      </c>
      <c r="AA2" s="32" t="str">
        <f t="shared" si="2"/>
        <v>Not played</v>
      </c>
      <c r="AB2" s="32" t="str">
        <f t="shared" si="2"/>
        <v>Not played</v>
      </c>
    </row>
    <row r="3">
      <c r="A3" s="37">
        <f t="shared" ref="A3:A66" si="4">A2+1</f>
        <v>2</v>
      </c>
      <c r="B3" s="33" t="s">
        <v>47</v>
      </c>
      <c r="C3" s="32">
        <f t="shared" ref="C3:AB3" si="3">IFERROR(VLOOKUP($B3,indirect(text(C$1,"mm/dd/yy")&amp;"!B:L"),11,false),"Not played")</f>
        <v>9</v>
      </c>
      <c r="D3" s="32">
        <f t="shared" si="3"/>
        <v>9</v>
      </c>
      <c r="E3" s="32">
        <f t="shared" si="3"/>
        <v>9</v>
      </c>
      <c r="F3" s="32">
        <f t="shared" si="3"/>
        <v>9</v>
      </c>
      <c r="G3" s="32">
        <f t="shared" si="3"/>
        <v>16</v>
      </c>
      <c r="H3" s="32">
        <f t="shared" si="3"/>
        <v>9</v>
      </c>
      <c r="I3" s="32">
        <f t="shared" si="3"/>
        <v>18</v>
      </c>
      <c r="J3" s="32">
        <f t="shared" si="3"/>
        <v>18</v>
      </c>
      <c r="K3" s="32">
        <f t="shared" si="3"/>
        <v>9</v>
      </c>
      <c r="L3" s="32">
        <f t="shared" si="3"/>
        <v>9</v>
      </c>
      <c r="M3" s="32">
        <f t="shared" si="3"/>
        <v>9</v>
      </c>
      <c r="N3" s="32">
        <f t="shared" si="3"/>
        <v>9</v>
      </c>
      <c r="O3" s="32">
        <f t="shared" si="3"/>
        <v>9</v>
      </c>
      <c r="P3" s="32">
        <f t="shared" si="3"/>
        <v>9</v>
      </c>
      <c r="Q3" s="32">
        <f t="shared" si="3"/>
        <v>9</v>
      </c>
      <c r="R3" s="32">
        <f t="shared" si="3"/>
        <v>9</v>
      </c>
      <c r="S3" s="32">
        <f t="shared" si="3"/>
        <v>9</v>
      </c>
      <c r="T3" s="32">
        <f t="shared" si="3"/>
        <v>9</v>
      </c>
      <c r="U3" s="32">
        <f t="shared" si="3"/>
        <v>9</v>
      </c>
      <c r="V3" s="32" t="str">
        <f t="shared" si="3"/>
        <v/>
      </c>
      <c r="W3" s="32">
        <f t="shared" si="3"/>
        <v>9</v>
      </c>
      <c r="X3" s="32">
        <f t="shared" si="3"/>
        <v>9</v>
      </c>
      <c r="Y3" s="32">
        <f t="shared" si="3"/>
        <v>9</v>
      </c>
      <c r="Z3" s="32">
        <f t="shared" si="3"/>
        <v>9</v>
      </c>
      <c r="AA3" s="32" t="str">
        <f t="shared" si="3"/>
        <v>Not played</v>
      </c>
      <c r="AB3" s="32" t="str">
        <f t="shared" si="3"/>
        <v>Not played</v>
      </c>
    </row>
    <row r="4">
      <c r="A4" s="37">
        <f t="shared" si="4"/>
        <v>3</v>
      </c>
      <c r="B4" s="33" t="s">
        <v>60</v>
      </c>
      <c r="C4" s="32">
        <f t="shared" ref="C4:AB4" si="5">IFERROR(VLOOKUP($B4,indirect(text(C$1,"mm/dd/yy")&amp;"!B:L"),11,false),"Not played")</f>
        <v>11</v>
      </c>
      <c r="D4" s="32">
        <f t="shared" si="5"/>
        <v>11</v>
      </c>
      <c r="E4" s="32">
        <f t="shared" si="5"/>
        <v>16</v>
      </c>
      <c r="F4" s="32">
        <f t="shared" si="5"/>
        <v>14</v>
      </c>
      <c r="G4" s="32">
        <f t="shared" si="5"/>
        <v>11</v>
      </c>
      <c r="H4" s="32">
        <f t="shared" si="5"/>
        <v>15</v>
      </c>
      <c r="I4" s="32">
        <f t="shared" si="5"/>
        <v>12</v>
      </c>
      <c r="J4" s="32">
        <f t="shared" si="5"/>
        <v>11</v>
      </c>
      <c r="K4" s="32">
        <f t="shared" si="5"/>
        <v>12</v>
      </c>
      <c r="L4" s="32">
        <f t="shared" si="5"/>
        <v>6</v>
      </c>
      <c r="M4" s="32">
        <f t="shared" si="5"/>
        <v>9</v>
      </c>
      <c r="N4" s="32">
        <f t="shared" si="5"/>
        <v>9</v>
      </c>
      <c r="O4" s="32">
        <f t="shared" si="5"/>
        <v>14</v>
      </c>
      <c r="P4" s="32">
        <f t="shared" si="5"/>
        <v>15</v>
      </c>
      <c r="Q4" s="32">
        <f t="shared" si="5"/>
        <v>10</v>
      </c>
      <c r="R4" s="32">
        <f t="shared" si="5"/>
        <v>9</v>
      </c>
      <c r="S4" s="32">
        <f t="shared" si="5"/>
        <v>14</v>
      </c>
      <c r="T4" s="32">
        <f t="shared" si="5"/>
        <v>15</v>
      </c>
      <c r="U4" s="32">
        <f t="shared" si="5"/>
        <v>9</v>
      </c>
      <c r="V4" s="32" t="str">
        <f t="shared" si="5"/>
        <v/>
      </c>
      <c r="W4" s="32">
        <f t="shared" si="5"/>
        <v>12</v>
      </c>
      <c r="X4" s="32">
        <f t="shared" si="5"/>
        <v>18</v>
      </c>
      <c r="Y4" s="32">
        <f t="shared" si="5"/>
        <v>13</v>
      </c>
      <c r="Z4" s="32">
        <f t="shared" si="5"/>
        <v>15</v>
      </c>
      <c r="AA4" s="32" t="str">
        <f t="shared" si="5"/>
        <v>Not played</v>
      </c>
      <c r="AB4" s="32" t="str">
        <f t="shared" si="5"/>
        <v>Not played</v>
      </c>
    </row>
    <row r="5">
      <c r="A5" s="37">
        <f t="shared" si="4"/>
        <v>4</v>
      </c>
      <c r="B5" s="33" t="s">
        <v>66</v>
      </c>
      <c r="C5" s="32">
        <f t="shared" ref="C5:AB5" si="6">IFERROR(VLOOKUP($B5,indirect(text(C$1,"mm/dd/yy")&amp;"!B:L"),11,false),"Not played")</f>
        <v>9</v>
      </c>
      <c r="D5" s="32">
        <f t="shared" si="6"/>
        <v>17</v>
      </c>
      <c r="E5" s="32">
        <f t="shared" si="6"/>
        <v>13</v>
      </c>
      <c r="F5" s="32">
        <f t="shared" si="6"/>
        <v>4</v>
      </c>
      <c r="G5" s="32">
        <f t="shared" si="6"/>
        <v>14</v>
      </c>
      <c r="H5" s="32">
        <f t="shared" si="6"/>
        <v>15</v>
      </c>
      <c r="I5" s="32">
        <f t="shared" si="6"/>
        <v>15</v>
      </c>
      <c r="J5" s="32">
        <f t="shared" si="6"/>
        <v>9</v>
      </c>
      <c r="K5" s="32">
        <f t="shared" si="6"/>
        <v>12</v>
      </c>
      <c r="L5" s="32">
        <f t="shared" si="6"/>
        <v>13</v>
      </c>
      <c r="M5" s="32">
        <f t="shared" si="6"/>
        <v>15</v>
      </c>
      <c r="N5" s="32">
        <f t="shared" si="6"/>
        <v>7</v>
      </c>
      <c r="O5" s="32">
        <f t="shared" si="6"/>
        <v>19</v>
      </c>
      <c r="P5" s="32">
        <f t="shared" si="6"/>
        <v>11</v>
      </c>
      <c r="Q5" s="32">
        <f t="shared" si="6"/>
        <v>18</v>
      </c>
      <c r="R5" s="32">
        <f t="shared" si="6"/>
        <v>7</v>
      </c>
      <c r="S5" s="32">
        <f t="shared" si="6"/>
        <v>16</v>
      </c>
      <c r="T5" s="32">
        <f t="shared" si="6"/>
        <v>9</v>
      </c>
      <c r="U5" s="32">
        <f t="shared" si="6"/>
        <v>9</v>
      </c>
      <c r="V5" s="32" t="str">
        <f t="shared" si="6"/>
        <v/>
      </c>
      <c r="W5" s="32">
        <f t="shared" si="6"/>
        <v>14</v>
      </c>
      <c r="X5" s="32">
        <f t="shared" si="6"/>
        <v>11</v>
      </c>
      <c r="Y5" s="32">
        <f t="shared" si="6"/>
        <v>18</v>
      </c>
      <c r="Z5" s="32">
        <f t="shared" si="6"/>
        <v>9</v>
      </c>
      <c r="AA5" s="32" t="str">
        <f t="shared" si="6"/>
        <v>Not played</v>
      </c>
      <c r="AB5" s="32" t="str">
        <f t="shared" si="6"/>
        <v>Not played</v>
      </c>
    </row>
    <row r="6">
      <c r="A6" s="37">
        <f t="shared" si="4"/>
        <v>5</v>
      </c>
      <c r="B6" s="33" t="s">
        <v>72</v>
      </c>
      <c r="C6" s="32">
        <f t="shared" ref="C6:AB6" si="7">IFERROR(VLOOKUP($B6,indirect(text(C$1,"mm/dd/yy")&amp;"!B:L"),11,false),"Not played")</f>
        <v>7</v>
      </c>
      <c r="D6" s="32">
        <f t="shared" si="7"/>
        <v>9</v>
      </c>
      <c r="E6" s="32">
        <f t="shared" si="7"/>
        <v>12</v>
      </c>
      <c r="F6" s="32">
        <f t="shared" si="7"/>
        <v>15</v>
      </c>
      <c r="G6" s="32">
        <f t="shared" si="7"/>
        <v>16</v>
      </c>
      <c r="H6" s="32">
        <f t="shared" si="7"/>
        <v>11</v>
      </c>
      <c r="I6" s="32">
        <f t="shared" si="7"/>
        <v>9</v>
      </c>
      <c r="J6" s="32">
        <f t="shared" si="7"/>
        <v>13</v>
      </c>
      <c r="K6" s="32">
        <f t="shared" si="7"/>
        <v>9</v>
      </c>
      <c r="L6" s="32">
        <f t="shared" si="7"/>
        <v>9</v>
      </c>
      <c r="M6" s="32">
        <f t="shared" si="7"/>
        <v>9</v>
      </c>
      <c r="N6" s="32">
        <f t="shared" si="7"/>
        <v>9</v>
      </c>
      <c r="O6" s="32">
        <f t="shared" si="7"/>
        <v>13</v>
      </c>
      <c r="P6" s="32">
        <f t="shared" si="7"/>
        <v>9</v>
      </c>
      <c r="Q6" s="32">
        <f t="shared" si="7"/>
        <v>16</v>
      </c>
      <c r="R6" s="32">
        <f t="shared" si="7"/>
        <v>15</v>
      </c>
      <c r="S6" s="32">
        <f t="shared" si="7"/>
        <v>9</v>
      </c>
      <c r="T6" s="32">
        <f t="shared" si="7"/>
        <v>14</v>
      </c>
      <c r="U6" s="32">
        <f t="shared" si="7"/>
        <v>9</v>
      </c>
      <c r="V6" s="32" t="str">
        <f t="shared" si="7"/>
        <v/>
      </c>
      <c r="W6" s="32">
        <f t="shared" si="7"/>
        <v>9</v>
      </c>
      <c r="X6" s="32">
        <f t="shared" si="7"/>
        <v>9</v>
      </c>
      <c r="Y6" s="32">
        <f t="shared" si="7"/>
        <v>9</v>
      </c>
      <c r="Z6" s="32">
        <f t="shared" si="7"/>
        <v>9</v>
      </c>
      <c r="AA6" s="32" t="str">
        <f t="shared" si="7"/>
        <v>Not played</v>
      </c>
      <c r="AB6" s="32" t="str">
        <f t="shared" si="7"/>
        <v>Not played</v>
      </c>
    </row>
    <row r="7">
      <c r="A7" s="37">
        <f t="shared" si="4"/>
        <v>6</v>
      </c>
      <c r="B7" s="33" t="s">
        <v>75</v>
      </c>
      <c r="C7" s="32">
        <f t="shared" ref="C7:AB7" si="8">IFERROR(VLOOKUP($B7,indirect(text(C$1,"mm/dd/yy")&amp;"!B:L"),11,false),"Not played")</f>
        <v>9</v>
      </c>
      <c r="D7" s="32">
        <f t="shared" si="8"/>
        <v>9</v>
      </c>
      <c r="E7" s="32">
        <f t="shared" si="8"/>
        <v>9</v>
      </c>
      <c r="F7" s="32">
        <f t="shared" si="8"/>
        <v>9</v>
      </c>
      <c r="G7" s="32">
        <f t="shared" si="8"/>
        <v>9</v>
      </c>
      <c r="H7" s="32">
        <f t="shared" si="8"/>
        <v>9</v>
      </c>
      <c r="I7" s="32">
        <f t="shared" si="8"/>
        <v>9</v>
      </c>
      <c r="J7" s="32">
        <f t="shared" si="8"/>
        <v>9</v>
      </c>
      <c r="K7" s="32">
        <f t="shared" si="8"/>
        <v>9</v>
      </c>
      <c r="L7" s="32">
        <f t="shared" si="8"/>
        <v>13</v>
      </c>
      <c r="M7" s="32">
        <f t="shared" si="8"/>
        <v>15</v>
      </c>
      <c r="N7" s="32">
        <f t="shared" si="8"/>
        <v>17</v>
      </c>
      <c r="O7" s="32">
        <f t="shared" si="8"/>
        <v>18</v>
      </c>
      <c r="P7" s="32">
        <f t="shared" si="8"/>
        <v>10</v>
      </c>
      <c r="Q7" s="32">
        <f t="shared" si="8"/>
        <v>9</v>
      </c>
      <c r="R7" s="32">
        <f t="shared" si="8"/>
        <v>9</v>
      </c>
      <c r="S7" s="32">
        <f t="shared" si="8"/>
        <v>9</v>
      </c>
      <c r="T7" s="32">
        <f t="shared" si="8"/>
        <v>14</v>
      </c>
      <c r="U7" s="32">
        <f t="shared" si="8"/>
        <v>18</v>
      </c>
      <c r="V7" s="32" t="str">
        <f t="shared" si="8"/>
        <v/>
      </c>
      <c r="W7" s="32">
        <f t="shared" si="8"/>
        <v>9</v>
      </c>
      <c r="X7" s="32">
        <f t="shared" si="8"/>
        <v>9</v>
      </c>
      <c r="Y7" s="32">
        <f t="shared" si="8"/>
        <v>9</v>
      </c>
      <c r="Z7" s="32">
        <f t="shared" si="8"/>
        <v>14</v>
      </c>
      <c r="AA7" s="32" t="str">
        <f t="shared" si="8"/>
        <v>Not played</v>
      </c>
      <c r="AB7" s="32" t="str">
        <f t="shared" si="8"/>
        <v>Not played</v>
      </c>
    </row>
    <row r="8">
      <c r="A8" s="37">
        <f t="shared" si="4"/>
        <v>7</v>
      </c>
      <c r="B8" s="33" t="s">
        <v>86</v>
      </c>
      <c r="C8" s="32">
        <f t="shared" ref="C8:AB8" si="9">IFERROR(VLOOKUP($B8,indirect(text(C$1,"mm/dd/yy")&amp;"!B:L"),11,false),"Not played")</f>
        <v>9</v>
      </c>
      <c r="D8" s="32">
        <f t="shared" si="9"/>
        <v>4</v>
      </c>
      <c r="E8" s="32">
        <f t="shared" si="9"/>
        <v>6</v>
      </c>
      <c r="F8" s="32">
        <f t="shared" si="9"/>
        <v>9</v>
      </c>
      <c r="G8" s="32">
        <f t="shared" si="9"/>
        <v>9</v>
      </c>
      <c r="H8" s="32">
        <f t="shared" si="9"/>
        <v>9</v>
      </c>
      <c r="I8" s="32">
        <f t="shared" si="9"/>
        <v>9</v>
      </c>
      <c r="J8" s="32">
        <f t="shared" si="9"/>
        <v>9</v>
      </c>
      <c r="K8" s="32">
        <f t="shared" si="9"/>
        <v>9</v>
      </c>
      <c r="L8" s="32">
        <f t="shared" si="9"/>
        <v>9</v>
      </c>
      <c r="M8" s="32">
        <f t="shared" si="9"/>
        <v>9</v>
      </c>
      <c r="N8" s="32">
        <f t="shared" si="9"/>
        <v>9</v>
      </c>
      <c r="O8" s="32">
        <f t="shared" si="9"/>
        <v>9</v>
      </c>
      <c r="P8" s="32">
        <f t="shared" si="9"/>
        <v>9</v>
      </c>
      <c r="Q8" s="32">
        <f t="shared" si="9"/>
        <v>9</v>
      </c>
      <c r="R8" s="32">
        <f t="shared" si="9"/>
        <v>3</v>
      </c>
      <c r="S8" s="32">
        <f t="shared" si="9"/>
        <v>9</v>
      </c>
      <c r="T8" s="32">
        <f t="shared" si="9"/>
        <v>9</v>
      </c>
      <c r="U8" s="32">
        <f t="shared" si="9"/>
        <v>9</v>
      </c>
      <c r="V8" s="32" t="str">
        <f t="shared" si="9"/>
        <v/>
      </c>
      <c r="W8" s="32">
        <f t="shared" si="9"/>
        <v>9</v>
      </c>
      <c r="X8" s="32">
        <f t="shared" si="9"/>
        <v>9</v>
      </c>
      <c r="Y8" s="32">
        <f t="shared" si="9"/>
        <v>8</v>
      </c>
      <c r="Z8" s="32">
        <f t="shared" si="9"/>
        <v>9</v>
      </c>
      <c r="AA8" s="32" t="str">
        <f t="shared" si="9"/>
        <v>Not played</v>
      </c>
      <c r="AB8" s="32" t="str">
        <f t="shared" si="9"/>
        <v>Not played</v>
      </c>
    </row>
    <row r="9">
      <c r="A9" s="37">
        <f t="shared" si="4"/>
        <v>8</v>
      </c>
      <c r="B9" s="33" t="s">
        <v>89</v>
      </c>
      <c r="C9" s="32">
        <f t="shared" ref="C9:AB9" si="10">IFERROR(VLOOKUP($B9,indirect(text(C$1,"mm/dd/yy")&amp;"!B:L"),11,false),"Not played")</f>
        <v>12</v>
      </c>
      <c r="D9" s="32">
        <f t="shared" si="10"/>
        <v>18</v>
      </c>
      <c r="E9" s="32">
        <f t="shared" si="10"/>
        <v>9</v>
      </c>
      <c r="F9" s="32">
        <f t="shared" si="10"/>
        <v>15</v>
      </c>
      <c r="G9" s="32">
        <f t="shared" si="10"/>
        <v>10</v>
      </c>
      <c r="H9" s="32">
        <f t="shared" si="10"/>
        <v>9</v>
      </c>
      <c r="I9" s="32">
        <f t="shared" si="10"/>
        <v>13</v>
      </c>
      <c r="J9" s="32">
        <f t="shared" si="10"/>
        <v>19</v>
      </c>
      <c r="K9" s="32">
        <f t="shared" si="10"/>
        <v>15</v>
      </c>
      <c r="L9" s="32">
        <f t="shared" si="10"/>
        <v>11</v>
      </c>
      <c r="M9" s="32">
        <f t="shared" si="10"/>
        <v>9</v>
      </c>
      <c r="N9" s="32">
        <f t="shared" si="10"/>
        <v>9</v>
      </c>
      <c r="O9" s="32">
        <f t="shared" si="10"/>
        <v>9</v>
      </c>
      <c r="P9" s="32">
        <f t="shared" si="10"/>
        <v>18</v>
      </c>
      <c r="Q9" s="32">
        <f t="shared" si="10"/>
        <v>9</v>
      </c>
      <c r="R9" s="32">
        <f t="shared" si="10"/>
        <v>14</v>
      </c>
      <c r="S9" s="32">
        <f t="shared" si="10"/>
        <v>9</v>
      </c>
      <c r="T9" s="32">
        <f t="shared" si="10"/>
        <v>9</v>
      </c>
      <c r="U9" s="32">
        <f t="shared" si="10"/>
        <v>18</v>
      </c>
      <c r="V9" s="32" t="str">
        <f t="shared" si="10"/>
        <v/>
      </c>
      <c r="W9" s="32">
        <f t="shared" si="10"/>
        <v>9</v>
      </c>
      <c r="X9" s="32">
        <f t="shared" si="10"/>
        <v>9</v>
      </c>
      <c r="Y9" s="32">
        <f t="shared" si="10"/>
        <v>9</v>
      </c>
      <c r="Z9" s="32">
        <f t="shared" si="10"/>
        <v>9</v>
      </c>
      <c r="AA9" s="32" t="str">
        <f t="shared" si="10"/>
        <v>Not played</v>
      </c>
      <c r="AB9" s="32" t="str">
        <f t="shared" si="10"/>
        <v>Not played</v>
      </c>
    </row>
    <row r="10">
      <c r="A10" s="37">
        <f t="shared" si="4"/>
        <v>9</v>
      </c>
      <c r="B10" s="33" t="s">
        <v>50</v>
      </c>
      <c r="C10" s="32">
        <f t="shared" ref="C10:AB10" si="11">IFERROR(VLOOKUP($B10,indirect(text(C$1,"mm/dd/yy")&amp;"!B:L"),11,false),"Not played")</f>
        <v>13</v>
      </c>
      <c r="D10" s="32">
        <f t="shared" si="11"/>
        <v>7</v>
      </c>
      <c r="E10" s="32">
        <f t="shared" si="11"/>
        <v>15</v>
      </c>
      <c r="F10" s="32">
        <f t="shared" si="11"/>
        <v>18</v>
      </c>
      <c r="G10" s="32">
        <f t="shared" si="11"/>
        <v>11</v>
      </c>
      <c r="H10" s="32">
        <f t="shared" si="11"/>
        <v>14</v>
      </c>
      <c r="I10" s="32">
        <f t="shared" si="11"/>
        <v>11</v>
      </c>
      <c r="J10" s="32">
        <f t="shared" si="11"/>
        <v>13</v>
      </c>
      <c r="K10" s="32">
        <f t="shared" si="11"/>
        <v>12</v>
      </c>
      <c r="L10" s="32">
        <f t="shared" si="11"/>
        <v>8</v>
      </c>
      <c r="M10" s="32">
        <f t="shared" si="11"/>
        <v>15</v>
      </c>
      <c r="N10" s="32">
        <f t="shared" si="11"/>
        <v>16</v>
      </c>
      <c r="O10" s="32">
        <f t="shared" si="11"/>
        <v>13</v>
      </c>
      <c r="P10" s="32">
        <f t="shared" si="11"/>
        <v>10</v>
      </c>
      <c r="Q10" s="32">
        <f t="shared" si="11"/>
        <v>9</v>
      </c>
      <c r="R10" s="32">
        <f t="shared" si="11"/>
        <v>16</v>
      </c>
      <c r="S10" s="32">
        <f t="shared" si="11"/>
        <v>8</v>
      </c>
      <c r="T10" s="32">
        <f t="shared" si="11"/>
        <v>11</v>
      </c>
      <c r="U10" s="32">
        <f t="shared" si="11"/>
        <v>16</v>
      </c>
      <c r="V10" s="32" t="str">
        <f t="shared" si="11"/>
        <v/>
      </c>
      <c r="W10" s="32">
        <f t="shared" si="11"/>
        <v>9</v>
      </c>
      <c r="X10" s="32">
        <f t="shared" si="11"/>
        <v>14</v>
      </c>
      <c r="Y10" s="32">
        <f t="shared" si="11"/>
        <v>9</v>
      </c>
      <c r="Z10" s="32">
        <f t="shared" si="11"/>
        <v>9</v>
      </c>
      <c r="AA10" s="32" t="str">
        <f t="shared" si="11"/>
        <v>Not played</v>
      </c>
      <c r="AB10" s="32" t="str">
        <f t="shared" si="11"/>
        <v>Not played</v>
      </c>
    </row>
    <row r="11">
      <c r="A11" s="37">
        <f t="shared" si="4"/>
        <v>10</v>
      </c>
      <c r="B11" s="33" t="s">
        <v>93</v>
      </c>
      <c r="C11" s="32">
        <f t="shared" ref="C11:AB11" si="12">IFERROR(VLOOKUP($B11,indirect(text(C$1,"mm/dd/yy")&amp;"!B:L"),11,false),"Not played")</f>
        <v>15</v>
      </c>
      <c r="D11" s="32">
        <f t="shared" si="12"/>
        <v>9</v>
      </c>
      <c r="E11" s="32">
        <f t="shared" si="12"/>
        <v>9</v>
      </c>
      <c r="F11" s="32">
        <f t="shared" si="12"/>
        <v>9</v>
      </c>
      <c r="G11" s="32">
        <f t="shared" si="12"/>
        <v>9</v>
      </c>
      <c r="H11" s="32">
        <f t="shared" si="12"/>
        <v>9</v>
      </c>
      <c r="I11" s="32">
        <f t="shared" si="12"/>
        <v>9</v>
      </c>
      <c r="J11" s="32">
        <f t="shared" si="12"/>
        <v>9</v>
      </c>
      <c r="K11" s="32">
        <f t="shared" si="12"/>
        <v>18</v>
      </c>
      <c r="L11" s="32">
        <f t="shared" si="12"/>
        <v>18</v>
      </c>
      <c r="M11" s="32">
        <f t="shared" si="12"/>
        <v>9</v>
      </c>
      <c r="N11" s="32">
        <f t="shared" si="12"/>
        <v>18</v>
      </c>
      <c r="O11" s="32">
        <f t="shared" si="12"/>
        <v>15</v>
      </c>
      <c r="P11" s="32">
        <f t="shared" si="12"/>
        <v>11</v>
      </c>
      <c r="Q11" s="32">
        <f t="shared" si="12"/>
        <v>18</v>
      </c>
      <c r="R11" s="32">
        <f t="shared" si="12"/>
        <v>15</v>
      </c>
      <c r="S11" s="32">
        <f t="shared" si="12"/>
        <v>9</v>
      </c>
      <c r="T11" s="32">
        <f t="shared" si="12"/>
        <v>13</v>
      </c>
      <c r="U11" s="32">
        <f t="shared" si="12"/>
        <v>15</v>
      </c>
      <c r="V11" s="32" t="str">
        <f t="shared" si="12"/>
        <v/>
      </c>
      <c r="W11" s="32">
        <f t="shared" si="12"/>
        <v>9</v>
      </c>
      <c r="X11" s="32">
        <f t="shared" si="12"/>
        <v>9</v>
      </c>
      <c r="Y11" s="32">
        <f t="shared" si="12"/>
        <v>17</v>
      </c>
      <c r="Z11" s="32">
        <f t="shared" si="12"/>
        <v>9</v>
      </c>
      <c r="AA11" s="32" t="str">
        <f t="shared" si="12"/>
        <v>Not played</v>
      </c>
      <c r="AB11" s="32" t="str">
        <f t="shared" si="12"/>
        <v>Not played</v>
      </c>
    </row>
    <row r="12">
      <c r="A12" s="37">
        <f t="shared" si="4"/>
        <v>11</v>
      </c>
      <c r="B12" s="33" t="s">
        <v>96</v>
      </c>
      <c r="C12" s="32">
        <f t="shared" ref="C12:AB12" si="13">IFERROR(VLOOKUP($B12,indirect(text(C$1,"mm/dd/yy")&amp;"!B:L"),11,false),"Not played")</f>
        <v>9</v>
      </c>
      <c r="D12" s="32">
        <f t="shared" si="13"/>
        <v>14</v>
      </c>
      <c r="E12" s="32">
        <f t="shared" si="13"/>
        <v>11</v>
      </c>
      <c r="F12" s="32">
        <f t="shared" si="13"/>
        <v>11</v>
      </c>
      <c r="G12" s="32">
        <f t="shared" si="13"/>
        <v>9</v>
      </c>
      <c r="H12" s="32">
        <f t="shared" si="13"/>
        <v>18</v>
      </c>
      <c r="I12" s="32">
        <f t="shared" si="13"/>
        <v>8</v>
      </c>
      <c r="J12" s="32">
        <f t="shared" si="13"/>
        <v>13</v>
      </c>
      <c r="K12" s="32">
        <f t="shared" si="13"/>
        <v>15</v>
      </c>
      <c r="L12" s="32">
        <f t="shared" si="13"/>
        <v>17</v>
      </c>
      <c r="M12" s="32">
        <f t="shared" si="13"/>
        <v>9</v>
      </c>
      <c r="N12" s="32">
        <f t="shared" si="13"/>
        <v>9</v>
      </c>
      <c r="O12" s="32">
        <f t="shared" si="13"/>
        <v>13</v>
      </c>
      <c r="P12" s="32">
        <f t="shared" si="13"/>
        <v>9</v>
      </c>
      <c r="Q12" s="32">
        <f t="shared" si="13"/>
        <v>9</v>
      </c>
      <c r="R12" s="32">
        <f t="shared" si="13"/>
        <v>19</v>
      </c>
      <c r="S12" s="32">
        <f t="shared" si="13"/>
        <v>12</v>
      </c>
      <c r="T12" s="32">
        <f t="shared" si="13"/>
        <v>13</v>
      </c>
      <c r="U12" s="32">
        <f t="shared" si="13"/>
        <v>14</v>
      </c>
      <c r="V12" s="32" t="str">
        <f t="shared" si="13"/>
        <v/>
      </c>
      <c r="W12" s="32">
        <f t="shared" si="13"/>
        <v>12</v>
      </c>
      <c r="X12" s="32">
        <f t="shared" si="13"/>
        <v>17</v>
      </c>
      <c r="Y12" s="32">
        <f t="shared" si="13"/>
        <v>9</v>
      </c>
      <c r="Z12" s="32">
        <f t="shared" si="13"/>
        <v>15</v>
      </c>
      <c r="AA12" s="32" t="str">
        <f t="shared" si="13"/>
        <v>Not played</v>
      </c>
      <c r="AB12" s="32" t="str">
        <f t="shared" si="13"/>
        <v>Not played</v>
      </c>
    </row>
    <row r="13">
      <c r="A13" s="37">
        <f t="shared" si="4"/>
        <v>12</v>
      </c>
      <c r="B13" s="33" t="s">
        <v>67</v>
      </c>
      <c r="C13" s="32">
        <f t="shared" ref="C13:AB13" si="14">IFERROR(VLOOKUP($B13,indirect(text(C$1,"mm/dd/yy")&amp;"!B:L"),11,false),"Not played")</f>
        <v>19</v>
      </c>
      <c r="D13" s="32">
        <f t="shared" si="14"/>
        <v>9</v>
      </c>
      <c r="E13" s="32">
        <f t="shared" si="14"/>
        <v>18</v>
      </c>
      <c r="F13" s="32">
        <f t="shared" si="14"/>
        <v>17</v>
      </c>
      <c r="G13" s="32">
        <f t="shared" si="14"/>
        <v>18</v>
      </c>
      <c r="H13" s="32">
        <f t="shared" si="14"/>
        <v>9</v>
      </c>
      <c r="I13" s="32">
        <f t="shared" si="14"/>
        <v>13</v>
      </c>
      <c r="J13" s="32">
        <f t="shared" si="14"/>
        <v>14</v>
      </c>
      <c r="K13" s="32">
        <f t="shared" si="14"/>
        <v>9</v>
      </c>
      <c r="L13" s="32">
        <f t="shared" si="14"/>
        <v>16</v>
      </c>
      <c r="M13" s="32">
        <f t="shared" si="14"/>
        <v>9</v>
      </c>
      <c r="N13" s="32">
        <f t="shared" si="14"/>
        <v>9</v>
      </c>
      <c r="O13" s="32">
        <f t="shared" si="14"/>
        <v>15</v>
      </c>
      <c r="P13" s="32">
        <f t="shared" si="14"/>
        <v>9</v>
      </c>
      <c r="Q13" s="32">
        <f t="shared" si="14"/>
        <v>18</v>
      </c>
      <c r="R13" s="32">
        <f t="shared" si="14"/>
        <v>18</v>
      </c>
      <c r="S13" s="32">
        <f t="shared" si="14"/>
        <v>18</v>
      </c>
      <c r="T13" s="32">
        <f t="shared" si="14"/>
        <v>16</v>
      </c>
      <c r="U13" s="32">
        <f t="shared" si="14"/>
        <v>13</v>
      </c>
      <c r="V13" s="32" t="str">
        <f t="shared" si="14"/>
        <v/>
      </c>
      <c r="W13" s="32">
        <f t="shared" si="14"/>
        <v>18</v>
      </c>
      <c r="X13" s="32">
        <f t="shared" si="14"/>
        <v>11</v>
      </c>
      <c r="Y13" s="32">
        <f t="shared" si="14"/>
        <v>14</v>
      </c>
      <c r="Z13" s="32">
        <f t="shared" si="14"/>
        <v>13</v>
      </c>
      <c r="AA13" s="32" t="str">
        <f t="shared" si="14"/>
        <v>Not played</v>
      </c>
      <c r="AB13" s="32" t="str">
        <f t="shared" si="14"/>
        <v>Not played</v>
      </c>
    </row>
    <row r="14">
      <c r="A14" s="37">
        <f t="shared" si="4"/>
        <v>13</v>
      </c>
      <c r="B14" s="33" t="s">
        <v>94</v>
      </c>
      <c r="C14" s="32">
        <f t="shared" ref="C14:AB14" si="15">IFERROR(VLOOKUP($B14,indirect(text(C$1,"mm/dd/yy")&amp;"!B:L"),11,false),"Not played")</f>
        <v>15</v>
      </c>
      <c r="D14" s="32">
        <f t="shared" si="15"/>
        <v>19</v>
      </c>
      <c r="E14" s="32">
        <f t="shared" si="15"/>
        <v>7</v>
      </c>
      <c r="F14" s="32">
        <f t="shared" si="15"/>
        <v>18</v>
      </c>
      <c r="G14" s="32">
        <f t="shared" si="15"/>
        <v>11</v>
      </c>
      <c r="H14" s="32">
        <f t="shared" si="15"/>
        <v>9</v>
      </c>
      <c r="I14" s="32">
        <f t="shared" si="15"/>
        <v>16</v>
      </c>
      <c r="J14" s="32">
        <f t="shared" si="15"/>
        <v>15</v>
      </c>
      <c r="K14" s="32">
        <f t="shared" si="15"/>
        <v>14</v>
      </c>
      <c r="L14" s="32">
        <f t="shared" si="15"/>
        <v>9</v>
      </c>
      <c r="M14" s="32">
        <f t="shared" si="15"/>
        <v>15</v>
      </c>
      <c r="N14" s="32">
        <f t="shared" si="15"/>
        <v>16</v>
      </c>
      <c r="O14" s="32">
        <f t="shared" si="15"/>
        <v>13</v>
      </c>
      <c r="P14" s="32">
        <f t="shared" si="15"/>
        <v>19</v>
      </c>
      <c r="Q14" s="32">
        <f t="shared" si="15"/>
        <v>13</v>
      </c>
      <c r="R14" s="32">
        <f t="shared" si="15"/>
        <v>13</v>
      </c>
      <c r="S14" s="32">
        <f t="shared" si="15"/>
        <v>11</v>
      </c>
      <c r="T14" s="32">
        <f t="shared" si="15"/>
        <v>9</v>
      </c>
      <c r="U14" s="32">
        <f t="shared" si="15"/>
        <v>9</v>
      </c>
      <c r="V14" s="32" t="str">
        <f t="shared" si="15"/>
        <v/>
      </c>
      <c r="W14" s="32">
        <f t="shared" si="15"/>
        <v>15</v>
      </c>
      <c r="X14" s="32">
        <f t="shared" si="15"/>
        <v>16</v>
      </c>
      <c r="Y14" s="32">
        <f t="shared" si="15"/>
        <v>9</v>
      </c>
      <c r="Z14" s="32">
        <f t="shared" si="15"/>
        <v>12</v>
      </c>
      <c r="AA14" s="32" t="str">
        <f t="shared" si="15"/>
        <v>Not played</v>
      </c>
      <c r="AB14" s="32" t="str">
        <f t="shared" si="15"/>
        <v>Not played</v>
      </c>
    </row>
    <row r="15">
      <c r="A15" s="37">
        <f t="shared" si="4"/>
        <v>14</v>
      </c>
      <c r="B15" s="33" t="s">
        <v>99</v>
      </c>
      <c r="C15" s="32">
        <f t="shared" ref="C15:AB15" si="16">IFERROR(VLOOKUP($B15,indirect(text(C$1,"mm/dd/yy")&amp;"!B:L"),11,false),"Not played")</f>
        <v>9</v>
      </c>
      <c r="D15" s="32">
        <f t="shared" si="16"/>
        <v>10</v>
      </c>
      <c r="E15" s="32">
        <f t="shared" si="16"/>
        <v>19</v>
      </c>
      <c r="F15" s="32">
        <f t="shared" si="16"/>
        <v>10</v>
      </c>
      <c r="G15" s="32">
        <f t="shared" si="16"/>
        <v>9</v>
      </c>
      <c r="H15" s="32">
        <f t="shared" si="16"/>
        <v>15</v>
      </c>
      <c r="I15" s="32">
        <f t="shared" si="16"/>
        <v>13</v>
      </c>
      <c r="J15" s="32">
        <f t="shared" si="16"/>
        <v>15</v>
      </c>
      <c r="K15" s="32">
        <f t="shared" si="16"/>
        <v>15</v>
      </c>
      <c r="L15" s="32">
        <f t="shared" si="16"/>
        <v>10</v>
      </c>
      <c r="M15" s="32">
        <f t="shared" si="16"/>
        <v>9</v>
      </c>
      <c r="N15" s="32">
        <f t="shared" si="16"/>
        <v>9</v>
      </c>
      <c r="O15" s="32">
        <f t="shared" si="16"/>
        <v>9</v>
      </c>
      <c r="P15" s="32">
        <f t="shared" si="16"/>
        <v>9</v>
      </c>
      <c r="Q15" s="32">
        <f t="shared" si="16"/>
        <v>13</v>
      </c>
      <c r="R15" s="32">
        <f t="shared" si="16"/>
        <v>15</v>
      </c>
      <c r="S15" s="32">
        <f t="shared" si="16"/>
        <v>9</v>
      </c>
      <c r="T15" s="32">
        <f t="shared" si="16"/>
        <v>14</v>
      </c>
      <c r="U15" s="32">
        <f t="shared" si="16"/>
        <v>11</v>
      </c>
      <c r="V15" s="32" t="str">
        <f t="shared" si="16"/>
        <v/>
      </c>
      <c r="W15" s="32">
        <f t="shared" si="16"/>
        <v>19</v>
      </c>
      <c r="X15" s="32">
        <f t="shared" si="16"/>
        <v>18</v>
      </c>
      <c r="Y15" s="32">
        <f t="shared" si="16"/>
        <v>17</v>
      </c>
      <c r="Z15" s="32">
        <f t="shared" si="16"/>
        <v>9</v>
      </c>
      <c r="AA15" s="32" t="str">
        <f t="shared" si="16"/>
        <v>Not played</v>
      </c>
      <c r="AB15" s="32" t="str">
        <f t="shared" si="16"/>
        <v>Not played</v>
      </c>
    </row>
    <row r="16">
      <c r="A16" s="37">
        <f t="shared" si="4"/>
        <v>15</v>
      </c>
      <c r="B16" s="33" t="s">
        <v>83</v>
      </c>
      <c r="C16" s="32">
        <f t="shared" ref="C16:AB16" si="17">IFERROR(VLOOKUP($B16,indirect(text(C$1,"mm/dd/yy")&amp;"!B:L"),11,false),"Not played")</f>
        <v>13</v>
      </c>
      <c r="D16" s="32">
        <f t="shared" si="17"/>
        <v>9</v>
      </c>
      <c r="E16" s="32">
        <f t="shared" si="17"/>
        <v>19</v>
      </c>
      <c r="F16" s="32">
        <f t="shared" si="17"/>
        <v>14</v>
      </c>
      <c r="G16" s="32">
        <f t="shared" si="17"/>
        <v>18</v>
      </c>
      <c r="H16" s="32">
        <f t="shared" si="17"/>
        <v>15</v>
      </c>
      <c r="I16" s="32">
        <f t="shared" si="17"/>
        <v>16</v>
      </c>
      <c r="J16" s="32">
        <f t="shared" si="17"/>
        <v>9</v>
      </c>
      <c r="K16" s="32">
        <f t="shared" si="17"/>
        <v>9</v>
      </c>
      <c r="L16" s="32">
        <f t="shared" si="17"/>
        <v>16</v>
      </c>
      <c r="M16" s="32">
        <f t="shared" si="17"/>
        <v>9</v>
      </c>
      <c r="N16" s="32">
        <f t="shared" si="17"/>
        <v>9</v>
      </c>
      <c r="O16" s="32">
        <f t="shared" si="17"/>
        <v>9</v>
      </c>
      <c r="P16" s="32">
        <f t="shared" si="17"/>
        <v>9</v>
      </c>
      <c r="Q16" s="32">
        <f t="shared" si="17"/>
        <v>18</v>
      </c>
      <c r="R16" s="32">
        <f t="shared" si="17"/>
        <v>13</v>
      </c>
      <c r="S16" s="32">
        <f t="shared" si="17"/>
        <v>9</v>
      </c>
      <c r="T16" s="32">
        <f t="shared" si="17"/>
        <v>18</v>
      </c>
      <c r="U16" s="32">
        <f t="shared" si="17"/>
        <v>18</v>
      </c>
      <c r="V16" s="32" t="str">
        <f t="shared" si="17"/>
        <v/>
      </c>
      <c r="W16" s="32">
        <f t="shared" si="17"/>
        <v>19</v>
      </c>
      <c r="X16" s="32">
        <f t="shared" si="17"/>
        <v>19</v>
      </c>
      <c r="Y16" s="32">
        <f t="shared" si="17"/>
        <v>9</v>
      </c>
      <c r="Z16" s="32">
        <f t="shared" si="17"/>
        <v>18</v>
      </c>
      <c r="AA16" s="32" t="str">
        <f t="shared" si="17"/>
        <v>Not played</v>
      </c>
      <c r="AB16" s="32" t="str">
        <f t="shared" si="17"/>
        <v>Not played</v>
      </c>
    </row>
    <row r="17">
      <c r="A17" s="37">
        <f t="shared" si="4"/>
        <v>16</v>
      </c>
      <c r="B17" s="33" t="s">
        <v>108</v>
      </c>
      <c r="C17" s="32">
        <f t="shared" ref="C17:AB17" si="18">IFERROR(VLOOKUP($B17,indirect(text(C$1,"mm/dd/yy")&amp;"!B:L"),11,false),"Not played")</f>
        <v>9</v>
      </c>
      <c r="D17" s="32">
        <f t="shared" si="18"/>
        <v>14</v>
      </c>
      <c r="E17" s="32">
        <f t="shared" si="18"/>
        <v>13</v>
      </c>
      <c r="F17" s="32">
        <f t="shared" si="18"/>
        <v>11</v>
      </c>
      <c r="G17" s="32">
        <f t="shared" si="18"/>
        <v>12</v>
      </c>
      <c r="H17" s="32">
        <f t="shared" si="18"/>
        <v>14</v>
      </c>
      <c r="I17" s="32">
        <f t="shared" si="18"/>
        <v>15</v>
      </c>
      <c r="J17" s="32">
        <f t="shared" si="18"/>
        <v>8</v>
      </c>
      <c r="K17" s="32">
        <f t="shared" si="18"/>
        <v>12</v>
      </c>
      <c r="L17" s="32">
        <f t="shared" si="18"/>
        <v>9</v>
      </c>
      <c r="M17" s="32">
        <f t="shared" si="18"/>
        <v>9</v>
      </c>
      <c r="N17" s="32">
        <f t="shared" si="18"/>
        <v>11</v>
      </c>
      <c r="O17" s="32">
        <f t="shared" si="18"/>
        <v>7</v>
      </c>
      <c r="P17" s="32">
        <f t="shared" si="18"/>
        <v>9</v>
      </c>
      <c r="Q17" s="32">
        <f t="shared" si="18"/>
        <v>9</v>
      </c>
      <c r="R17" s="32">
        <f t="shared" si="18"/>
        <v>9</v>
      </c>
      <c r="S17" s="32">
        <f t="shared" si="18"/>
        <v>9</v>
      </c>
      <c r="T17" s="32">
        <f t="shared" si="18"/>
        <v>11</v>
      </c>
      <c r="U17" s="32">
        <f t="shared" si="18"/>
        <v>8</v>
      </c>
      <c r="V17" s="32" t="str">
        <f t="shared" si="18"/>
        <v/>
      </c>
      <c r="W17" s="32">
        <f t="shared" si="18"/>
        <v>9</v>
      </c>
      <c r="X17" s="32">
        <f t="shared" si="18"/>
        <v>9</v>
      </c>
      <c r="Y17" s="32">
        <f t="shared" si="18"/>
        <v>11</v>
      </c>
      <c r="Z17" s="32">
        <f t="shared" si="18"/>
        <v>12</v>
      </c>
      <c r="AA17" s="32" t="str">
        <f t="shared" si="18"/>
        <v>Not played</v>
      </c>
      <c r="AB17" s="32" t="str">
        <f t="shared" si="18"/>
        <v>Not played</v>
      </c>
    </row>
    <row r="18">
      <c r="A18" s="37">
        <f t="shared" si="4"/>
        <v>17</v>
      </c>
      <c r="B18" s="33" t="s">
        <v>109</v>
      </c>
      <c r="C18" s="32">
        <f t="shared" ref="C18:AB18" si="19">IFERROR(VLOOKUP($B18,indirect(text(C$1,"mm/dd/yy")&amp;"!B:L"),11,false),"Not played")</f>
        <v>9</v>
      </c>
      <c r="D18" s="32">
        <f t="shared" si="19"/>
        <v>17</v>
      </c>
      <c r="E18" s="32">
        <f t="shared" si="19"/>
        <v>9</v>
      </c>
      <c r="F18" s="32">
        <f t="shared" si="19"/>
        <v>13</v>
      </c>
      <c r="G18" s="32">
        <f t="shared" si="19"/>
        <v>12</v>
      </c>
      <c r="H18" s="32">
        <f t="shared" si="19"/>
        <v>12</v>
      </c>
      <c r="I18" s="32">
        <f t="shared" si="19"/>
        <v>17</v>
      </c>
      <c r="J18" s="32">
        <f t="shared" si="19"/>
        <v>17</v>
      </c>
      <c r="K18" s="32">
        <f t="shared" si="19"/>
        <v>19</v>
      </c>
      <c r="L18" s="32">
        <f t="shared" si="19"/>
        <v>14</v>
      </c>
      <c r="M18" s="32">
        <f t="shared" si="19"/>
        <v>9</v>
      </c>
      <c r="N18" s="32">
        <f t="shared" si="19"/>
        <v>13</v>
      </c>
      <c r="O18" s="32">
        <f t="shared" si="19"/>
        <v>13</v>
      </c>
      <c r="P18" s="32">
        <f t="shared" si="19"/>
        <v>14</v>
      </c>
      <c r="Q18" s="32">
        <f t="shared" si="19"/>
        <v>10</v>
      </c>
      <c r="R18" s="32">
        <f t="shared" si="19"/>
        <v>16</v>
      </c>
      <c r="S18" s="32">
        <f t="shared" si="19"/>
        <v>9</v>
      </c>
      <c r="T18" s="32">
        <f t="shared" si="19"/>
        <v>7</v>
      </c>
      <c r="U18" s="32">
        <f t="shared" si="19"/>
        <v>11</v>
      </c>
      <c r="V18" s="32" t="str">
        <f t="shared" si="19"/>
        <v/>
      </c>
      <c r="W18" s="32">
        <f t="shared" si="19"/>
        <v>9</v>
      </c>
      <c r="X18" s="32">
        <f t="shared" si="19"/>
        <v>9</v>
      </c>
      <c r="Y18" s="32">
        <f t="shared" si="19"/>
        <v>9</v>
      </c>
      <c r="Z18" s="32">
        <f t="shared" si="19"/>
        <v>13</v>
      </c>
      <c r="AA18" s="32" t="str">
        <f t="shared" si="19"/>
        <v>Not played</v>
      </c>
      <c r="AB18" s="32" t="str">
        <f t="shared" si="19"/>
        <v>Not played</v>
      </c>
    </row>
    <row r="19">
      <c r="A19" s="37">
        <f t="shared" si="4"/>
        <v>18</v>
      </c>
      <c r="B19" s="33" t="s">
        <v>98</v>
      </c>
      <c r="C19" s="32">
        <f t="shared" ref="C19:AB19" si="20">IFERROR(VLOOKUP($B19,indirect(text(C$1,"mm/dd/yy")&amp;"!B:L"),11,false),"Not played")</f>
        <v>15</v>
      </c>
      <c r="D19" s="32">
        <f t="shared" si="20"/>
        <v>16</v>
      </c>
      <c r="E19" s="32">
        <f t="shared" si="20"/>
        <v>15</v>
      </c>
      <c r="F19" s="32">
        <f t="shared" si="20"/>
        <v>14</v>
      </c>
      <c r="G19" s="32">
        <f t="shared" si="20"/>
        <v>10</v>
      </c>
      <c r="H19" s="32">
        <f t="shared" si="20"/>
        <v>16</v>
      </c>
      <c r="I19" s="32">
        <f t="shared" si="20"/>
        <v>12</v>
      </c>
      <c r="J19" s="32">
        <f t="shared" si="20"/>
        <v>13</v>
      </c>
      <c r="K19" s="32">
        <f t="shared" si="20"/>
        <v>9</v>
      </c>
      <c r="L19" s="32">
        <f t="shared" si="20"/>
        <v>18</v>
      </c>
      <c r="M19" s="32">
        <f t="shared" si="20"/>
        <v>16</v>
      </c>
      <c r="N19" s="32">
        <f t="shared" si="20"/>
        <v>8</v>
      </c>
      <c r="O19" s="32">
        <f t="shared" si="20"/>
        <v>14</v>
      </c>
      <c r="P19" s="32">
        <f t="shared" si="20"/>
        <v>13</v>
      </c>
      <c r="Q19" s="32">
        <f t="shared" si="20"/>
        <v>11</v>
      </c>
      <c r="R19" s="32">
        <f t="shared" si="20"/>
        <v>11</v>
      </c>
      <c r="S19" s="32">
        <f t="shared" si="20"/>
        <v>12</v>
      </c>
      <c r="T19" s="32">
        <f t="shared" si="20"/>
        <v>13</v>
      </c>
      <c r="U19" s="32">
        <f t="shared" si="20"/>
        <v>15</v>
      </c>
      <c r="V19" s="32" t="str">
        <f t="shared" si="20"/>
        <v/>
      </c>
      <c r="W19" s="32">
        <f t="shared" si="20"/>
        <v>16</v>
      </c>
      <c r="X19" s="32">
        <f t="shared" si="20"/>
        <v>16</v>
      </c>
      <c r="Y19" s="32">
        <f t="shared" si="20"/>
        <v>9</v>
      </c>
      <c r="Z19" s="32">
        <f t="shared" si="20"/>
        <v>9</v>
      </c>
      <c r="AA19" s="32" t="str">
        <f t="shared" si="20"/>
        <v>Not played</v>
      </c>
      <c r="AB19" s="32" t="str">
        <f t="shared" si="20"/>
        <v>Not played</v>
      </c>
    </row>
    <row r="20">
      <c r="A20" s="37">
        <f t="shared" si="4"/>
        <v>19</v>
      </c>
      <c r="B20" s="33" t="s">
        <v>110</v>
      </c>
      <c r="C20" s="32">
        <f t="shared" ref="C20:AB20" si="21">IFERROR(VLOOKUP($B20,indirect(text(C$1,"mm/dd/yy")&amp;"!B:L"),11,false),"Not played")</f>
        <v>14</v>
      </c>
      <c r="D20" s="32">
        <f t="shared" si="21"/>
        <v>18</v>
      </c>
      <c r="E20" s="32">
        <f t="shared" si="21"/>
        <v>15</v>
      </c>
      <c r="F20" s="32">
        <f t="shared" si="21"/>
        <v>11</v>
      </c>
      <c r="G20" s="32">
        <f t="shared" si="21"/>
        <v>9</v>
      </c>
      <c r="H20" s="32">
        <f t="shared" si="21"/>
        <v>19</v>
      </c>
      <c r="I20" s="32">
        <f t="shared" si="21"/>
        <v>5</v>
      </c>
      <c r="J20" s="32">
        <f t="shared" si="21"/>
        <v>18</v>
      </c>
      <c r="K20" s="32">
        <f t="shared" si="21"/>
        <v>10</v>
      </c>
      <c r="L20" s="32">
        <f t="shared" si="21"/>
        <v>12</v>
      </c>
      <c r="M20" s="32">
        <f t="shared" si="21"/>
        <v>16</v>
      </c>
      <c r="N20" s="32">
        <f t="shared" si="21"/>
        <v>10</v>
      </c>
      <c r="O20" s="32">
        <f t="shared" si="21"/>
        <v>12</v>
      </c>
      <c r="P20" s="32">
        <f t="shared" si="21"/>
        <v>13</v>
      </c>
      <c r="Q20" s="32">
        <f t="shared" si="21"/>
        <v>9</v>
      </c>
      <c r="R20" s="32">
        <f t="shared" si="21"/>
        <v>14</v>
      </c>
      <c r="S20" s="32">
        <f t="shared" si="21"/>
        <v>14</v>
      </c>
      <c r="T20" s="32">
        <f t="shared" si="21"/>
        <v>9</v>
      </c>
      <c r="U20" s="32">
        <f t="shared" si="21"/>
        <v>9</v>
      </c>
      <c r="V20" s="32" t="str">
        <f t="shared" si="21"/>
        <v/>
      </c>
      <c r="W20" s="32">
        <f t="shared" si="21"/>
        <v>8</v>
      </c>
      <c r="X20" s="32">
        <f t="shared" si="21"/>
        <v>18</v>
      </c>
      <c r="Y20" s="32">
        <f t="shared" si="21"/>
        <v>14</v>
      </c>
      <c r="Z20" s="32">
        <f t="shared" si="21"/>
        <v>15</v>
      </c>
      <c r="AA20" s="32" t="str">
        <f t="shared" si="21"/>
        <v>Not played</v>
      </c>
      <c r="AB20" s="32" t="str">
        <f t="shared" si="21"/>
        <v>Not played</v>
      </c>
    </row>
    <row r="21">
      <c r="A21" s="37">
        <f t="shared" si="4"/>
        <v>20</v>
      </c>
      <c r="B21" s="33" t="s">
        <v>111</v>
      </c>
      <c r="C21" s="32">
        <f t="shared" ref="C21:AB21" si="22">IFERROR(VLOOKUP($B21,indirect(text(C$1,"mm/dd/yy")&amp;"!B:L"),11,false),"Not played")</f>
        <v>13</v>
      </c>
      <c r="D21" s="32">
        <f t="shared" si="22"/>
        <v>9</v>
      </c>
      <c r="E21" s="32">
        <f t="shared" si="22"/>
        <v>18</v>
      </c>
      <c r="F21" s="32">
        <f t="shared" si="22"/>
        <v>13</v>
      </c>
      <c r="G21" s="32">
        <f t="shared" si="22"/>
        <v>12</v>
      </c>
      <c r="H21" s="32">
        <f t="shared" si="22"/>
        <v>15</v>
      </c>
      <c r="I21" s="32">
        <f t="shared" si="22"/>
        <v>16</v>
      </c>
      <c r="J21" s="32">
        <f t="shared" si="22"/>
        <v>6</v>
      </c>
      <c r="K21" s="32">
        <f t="shared" si="22"/>
        <v>13</v>
      </c>
      <c r="L21" s="32">
        <f t="shared" si="22"/>
        <v>9</v>
      </c>
      <c r="M21" s="32">
        <f t="shared" si="22"/>
        <v>9</v>
      </c>
      <c r="N21" s="32">
        <f t="shared" si="22"/>
        <v>13</v>
      </c>
      <c r="O21" s="32">
        <f t="shared" si="22"/>
        <v>9</v>
      </c>
      <c r="P21" s="32">
        <f t="shared" si="22"/>
        <v>20</v>
      </c>
      <c r="Q21" s="32">
        <f t="shared" si="22"/>
        <v>11</v>
      </c>
      <c r="R21" s="32">
        <f t="shared" si="22"/>
        <v>9</v>
      </c>
      <c r="S21" s="32">
        <f t="shared" si="22"/>
        <v>17</v>
      </c>
      <c r="T21" s="32">
        <f t="shared" si="22"/>
        <v>18</v>
      </c>
      <c r="U21" s="32">
        <f t="shared" si="22"/>
        <v>10</v>
      </c>
      <c r="V21" s="32" t="str">
        <f t="shared" si="22"/>
        <v/>
      </c>
      <c r="W21" s="32">
        <f t="shared" si="22"/>
        <v>11</v>
      </c>
      <c r="X21" s="32">
        <f t="shared" si="22"/>
        <v>14</v>
      </c>
      <c r="Y21" s="32">
        <f t="shared" si="22"/>
        <v>14</v>
      </c>
      <c r="Z21" s="32">
        <f t="shared" si="22"/>
        <v>19</v>
      </c>
      <c r="AA21" s="32" t="str">
        <f t="shared" si="22"/>
        <v>Not played</v>
      </c>
      <c r="AB21" s="32" t="str">
        <f t="shared" si="22"/>
        <v>Not played</v>
      </c>
    </row>
    <row r="22">
      <c r="A22" s="37">
        <f t="shared" si="4"/>
        <v>21</v>
      </c>
      <c r="B22" s="33" t="s">
        <v>114</v>
      </c>
      <c r="C22" s="32">
        <f t="shared" ref="C22:AB22" si="23">IFERROR(VLOOKUP($B22,indirect(text(C$1,"mm/dd/yy")&amp;"!B:L"),11,false),"Not played")</f>
        <v>9</v>
      </c>
      <c r="D22" s="32">
        <f t="shared" si="23"/>
        <v>11</v>
      </c>
      <c r="E22" s="32">
        <f t="shared" si="23"/>
        <v>15</v>
      </c>
      <c r="F22" s="32">
        <f t="shared" si="23"/>
        <v>11</v>
      </c>
      <c r="G22" s="32">
        <f t="shared" si="23"/>
        <v>16</v>
      </c>
      <c r="H22" s="32">
        <f t="shared" si="23"/>
        <v>18</v>
      </c>
      <c r="I22" s="32">
        <f t="shared" si="23"/>
        <v>12</v>
      </c>
      <c r="J22" s="32">
        <f t="shared" si="23"/>
        <v>8</v>
      </c>
      <c r="K22" s="32">
        <f t="shared" si="23"/>
        <v>13</v>
      </c>
      <c r="L22" s="32">
        <f t="shared" si="23"/>
        <v>8</v>
      </c>
      <c r="M22" s="32">
        <f t="shared" si="23"/>
        <v>8</v>
      </c>
      <c r="N22" s="32">
        <f t="shared" si="23"/>
        <v>16</v>
      </c>
      <c r="O22" s="32">
        <f t="shared" si="23"/>
        <v>9</v>
      </c>
      <c r="P22" s="32">
        <f t="shared" si="23"/>
        <v>16</v>
      </c>
      <c r="Q22" s="32">
        <f t="shared" si="23"/>
        <v>18</v>
      </c>
      <c r="R22" s="32">
        <f t="shared" si="23"/>
        <v>13</v>
      </c>
      <c r="S22" s="32">
        <f t="shared" si="23"/>
        <v>15</v>
      </c>
      <c r="T22" s="32">
        <f t="shared" si="23"/>
        <v>7</v>
      </c>
      <c r="U22" s="32">
        <f t="shared" si="23"/>
        <v>10</v>
      </c>
      <c r="V22" s="32" t="str">
        <f t="shared" si="23"/>
        <v/>
      </c>
      <c r="W22" s="32">
        <f t="shared" si="23"/>
        <v>17</v>
      </c>
      <c r="X22" s="32">
        <f t="shared" si="23"/>
        <v>9</v>
      </c>
      <c r="Y22" s="32">
        <f t="shared" si="23"/>
        <v>9</v>
      </c>
      <c r="Z22" s="32">
        <f t="shared" si="23"/>
        <v>10</v>
      </c>
      <c r="AA22" s="32" t="str">
        <f t="shared" si="23"/>
        <v>Not played</v>
      </c>
      <c r="AB22" s="32" t="str">
        <f t="shared" si="23"/>
        <v>Not played</v>
      </c>
    </row>
    <row r="23">
      <c r="A23" s="37">
        <f t="shared" si="4"/>
        <v>22</v>
      </c>
      <c r="B23" s="33" t="s">
        <v>118</v>
      </c>
      <c r="C23" s="32">
        <f t="shared" ref="C23:AB23" si="24">IFERROR(VLOOKUP($B23,indirect(text(C$1,"mm/dd/yy")&amp;"!B:L"),11,false),"Not played")</f>
        <v>7</v>
      </c>
      <c r="D23" s="32">
        <f t="shared" si="24"/>
        <v>9</v>
      </c>
      <c r="E23" s="32">
        <f t="shared" si="24"/>
        <v>9</v>
      </c>
      <c r="F23" s="32">
        <f t="shared" si="24"/>
        <v>9</v>
      </c>
      <c r="G23" s="32">
        <f t="shared" si="24"/>
        <v>9</v>
      </c>
      <c r="H23" s="32">
        <f t="shared" si="24"/>
        <v>9</v>
      </c>
      <c r="I23" s="32">
        <f t="shared" si="24"/>
        <v>9</v>
      </c>
      <c r="J23" s="32">
        <f t="shared" si="24"/>
        <v>9</v>
      </c>
      <c r="K23" s="32">
        <f t="shared" si="24"/>
        <v>9</v>
      </c>
      <c r="L23" s="32">
        <f t="shared" si="24"/>
        <v>9</v>
      </c>
      <c r="M23" s="32">
        <f t="shared" si="24"/>
        <v>5</v>
      </c>
      <c r="N23" s="32">
        <f t="shared" si="24"/>
        <v>9</v>
      </c>
      <c r="O23" s="32">
        <f t="shared" si="24"/>
        <v>9</v>
      </c>
      <c r="P23" s="32">
        <f t="shared" si="24"/>
        <v>9</v>
      </c>
      <c r="Q23" s="32">
        <f t="shared" si="24"/>
        <v>9</v>
      </c>
      <c r="R23" s="32">
        <f t="shared" si="24"/>
        <v>9</v>
      </c>
      <c r="S23" s="32">
        <f t="shared" si="24"/>
        <v>9</v>
      </c>
      <c r="T23" s="32">
        <f t="shared" si="24"/>
        <v>9</v>
      </c>
      <c r="U23" s="32">
        <f t="shared" si="24"/>
        <v>9</v>
      </c>
      <c r="V23" s="32" t="str">
        <f t="shared" si="24"/>
        <v/>
      </c>
      <c r="W23" s="32">
        <f t="shared" si="24"/>
        <v>13</v>
      </c>
      <c r="X23" s="32">
        <f t="shared" si="24"/>
        <v>9</v>
      </c>
      <c r="Y23" s="32">
        <f t="shared" si="24"/>
        <v>9</v>
      </c>
      <c r="Z23" s="32">
        <f t="shared" si="24"/>
        <v>9</v>
      </c>
      <c r="AA23" s="32" t="str">
        <f t="shared" si="24"/>
        <v>Not played</v>
      </c>
      <c r="AB23" s="32" t="str">
        <f t="shared" si="24"/>
        <v>Not played</v>
      </c>
    </row>
    <row r="24">
      <c r="A24" s="37">
        <f t="shared" si="4"/>
        <v>23</v>
      </c>
      <c r="B24" s="33" t="s">
        <v>121</v>
      </c>
      <c r="C24" s="32">
        <f t="shared" ref="C24:AB24" si="25">IFERROR(VLOOKUP($B24,indirect(text(C$1,"mm/dd/yy")&amp;"!B:L"),11,false),"Not played")</f>
        <v>9</v>
      </c>
      <c r="D24" s="32">
        <f t="shared" si="25"/>
        <v>9</v>
      </c>
      <c r="E24" s="32">
        <f t="shared" si="25"/>
        <v>9</v>
      </c>
      <c r="F24" s="32">
        <f t="shared" si="25"/>
        <v>9</v>
      </c>
      <c r="G24" s="32">
        <f t="shared" si="25"/>
        <v>9</v>
      </c>
      <c r="H24" s="32">
        <f t="shared" si="25"/>
        <v>9</v>
      </c>
      <c r="I24" s="32">
        <f t="shared" si="25"/>
        <v>9</v>
      </c>
      <c r="J24" s="32">
        <f t="shared" si="25"/>
        <v>18</v>
      </c>
      <c r="K24" s="32">
        <f t="shared" si="25"/>
        <v>9</v>
      </c>
      <c r="L24" s="32">
        <f t="shared" si="25"/>
        <v>9</v>
      </c>
      <c r="M24" s="32">
        <f t="shared" si="25"/>
        <v>9</v>
      </c>
      <c r="N24" s="32">
        <f t="shared" si="25"/>
        <v>9</v>
      </c>
      <c r="O24" s="32">
        <f t="shared" si="25"/>
        <v>13</v>
      </c>
      <c r="P24" s="32">
        <f t="shared" si="25"/>
        <v>9</v>
      </c>
      <c r="Q24" s="32">
        <f t="shared" si="25"/>
        <v>12</v>
      </c>
      <c r="R24" s="32">
        <f t="shared" si="25"/>
        <v>9</v>
      </c>
      <c r="S24" s="32">
        <f t="shared" si="25"/>
        <v>15</v>
      </c>
      <c r="T24" s="32">
        <f t="shared" si="25"/>
        <v>9</v>
      </c>
      <c r="U24" s="32">
        <f t="shared" si="25"/>
        <v>18</v>
      </c>
      <c r="V24" s="32" t="str">
        <f t="shared" si="25"/>
        <v/>
      </c>
      <c r="W24" s="32">
        <f t="shared" si="25"/>
        <v>18</v>
      </c>
      <c r="X24" s="32">
        <f t="shared" si="25"/>
        <v>18</v>
      </c>
      <c r="Y24" s="32">
        <f t="shared" si="25"/>
        <v>9</v>
      </c>
      <c r="Z24" s="32">
        <f t="shared" si="25"/>
        <v>9</v>
      </c>
      <c r="AA24" s="32" t="str">
        <f t="shared" si="25"/>
        <v>Not played</v>
      </c>
      <c r="AB24" s="32" t="str">
        <f t="shared" si="25"/>
        <v>Not played</v>
      </c>
    </row>
    <row r="25">
      <c r="A25" s="37">
        <f t="shared" si="4"/>
        <v>24</v>
      </c>
      <c r="B25" s="33" t="s">
        <v>122</v>
      </c>
      <c r="C25" s="32">
        <f t="shared" ref="C25:AB25" si="26">IFERROR(VLOOKUP($B25,indirect(text(C$1,"mm/dd/yy")&amp;"!B:L"),11,false),"Not played")</f>
        <v>9</v>
      </c>
      <c r="D25" s="32">
        <f t="shared" si="26"/>
        <v>10</v>
      </c>
      <c r="E25" s="32">
        <f t="shared" si="26"/>
        <v>9</v>
      </c>
      <c r="F25" s="32">
        <f t="shared" si="26"/>
        <v>9</v>
      </c>
      <c r="G25" s="32">
        <f t="shared" si="26"/>
        <v>17</v>
      </c>
      <c r="H25" s="32">
        <f t="shared" si="26"/>
        <v>9</v>
      </c>
      <c r="I25" s="32">
        <f t="shared" si="26"/>
        <v>13</v>
      </c>
      <c r="J25" s="32">
        <f t="shared" si="26"/>
        <v>9</v>
      </c>
      <c r="K25" s="32">
        <f t="shared" si="26"/>
        <v>16</v>
      </c>
      <c r="L25" s="32">
        <f t="shared" si="26"/>
        <v>9</v>
      </c>
      <c r="M25" s="32">
        <f t="shared" si="26"/>
        <v>15</v>
      </c>
      <c r="N25" s="32">
        <f t="shared" si="26"/>
        <v>9</v>
      </c>
      <c r="O25" s="32">
        <f t="shared" si="26"/>
        <v>19</v>
      </c>
      <c r="P25" s="32">
        <f t="shared" si="26"/>
        <v>13</v>
      </c>
      <c r="Q25" s="32">
        <f t="shared" si="26"/>
        <v>9</v>
      </c>
      <c r="R25" s="32">
        <f t="shared" si="26"/>
        <v>9</v>
      </c>
      <c r="S25" s="32">
        <f t="shared" si="26"/>
        <v>19</v>
      </c>
      <c r="T25" s="32">
        <f t="shared" si="26"/>
        <v>9</v>
      </c>
      <c r="U25" s="32">
        <f t="shared" si="26"/>
        <v>10</v>
      </c>
      <c r="V25" s="32" t="str">
        <f t="shared" si="26"/>
        <v/>
      </c>
      <c r="W25" s="32">
        <f t="shared" si="26"/>
        <v>12</v>
      </c>
      <c r="X25" s="32">
        <f t="shared" si="26"/>
        <v>9</v>
      </c>
      <c r="Y25" s="32">
        <f t="shared" si="26"/>
        <v>13</v>
      </c>
      <c r="Z25" s="32">
        <f t="shared" si="26"/>
        <v>19</v>
      </c>
      <c r="AA25" s="32" t="str">
        <f t="shared" si="26"/>
        <v>Not played</v>
      </c>
      <c r="AB25" s="32" t="str">
        <f t="shared" si="26"/>
        <v>Not played</v>
      </c>
    </row>
    <row r="26">
      <c r="A26" s="37">
        <f t="shared" si="4"/>
        <v>25</v>
      </c>
      <c r="B26" s="33" t="s">
        <v>49</v>
      </c>
      <c r="C26" s="32">
        <f t="shared" ref="C26:AB26" si="27">IFERROR(VLOOKUP($B26,indirect(text(C$1,"mm/dd/yy")&amp;"!B:L"),11,false),"Not played")</f>
        <v>9</v>
      </c>
      <c r="D26" s="32">
        <f t="shared" si="27"/>
        <v>12</v>
      </c>
      <c r="E26" s="32">
        <f t="shared" si="27"/>
        <v>7</v>
      </c>
      <c r="F26" s="32">
        <f t="shared" si="27"/>
        <v>18</v>
      </c>
      <c r="G26" s="32">
        <f t="shared" si="27"/>
        <v>17</v>
      </c>
      <c r="H26" s="32">
        <f t="shared" si="27"/>
        <v>12</v>
      </c>
      <c r="I26" s="32">
        <f t="shared" si="27"/>
        <v>9</v>
      </c>
      <c r="J26" s="32">
        <f t="shared" si="27"/>
        <v>11</v>
      </c>
      <c r="K26" s="32">
        <f t="shared" si="27"/>
        <v>15</v>
      </c>
      <c r="L26" s="32">
        <f t="shared" si="27"/>
        <v>14</v>
      </c>
      <c r="M26" s="32">
        <f t="shared" si="27"/>
        <v>14</v>
      </c>
      <c r="N26" s="32">
        <f t="shared" si="27"/>
        <v>9</v>
      </c>
      <c r="O26" s="32">
        <f t="shared" si="27"/>
        <v>9</v>
      </c>
      <c r="P26" s="32">
        <f t="shared" si="27"/>
        <v>9</v>
      </c>
      <c r="Q26" s="32">
        <f t="shared" si="27"/>
        <v>10</v>
      </c>
      <c r="R26" s="32">
        <f t="shared" si="27"/>
        <v>16</v>
      </c>
      <c r="S26" s="32">
        <f t="shared" si="27"/>
        <v>14</v>
      </c>
      <c r="T26" s="32">
        <f t="shared" si="27"/>
        <v>19</v>
      </c>
      <c r="U26" s="32">
        <f t="shared" si="27"/>
        <v>8</v>
      </c>
      <c r="V26" s="32" t="str">
        <f t="shared" si="27"/>
        <v/>
      </c>
      <c r="W26" s="32">
        <f t="shared" si="27"/>
        <v>12</v>
      </c>
      <c r="X26" s="32">
        <f t="shared" si="27"/>
        <v>17</v>
      </c>
      <c r="Y26" s="32">
        <f t="shared" si="27"/>
        <v>4</v>
      </c>
      <c r="Z26" s="32">
        <f t="shared" si="27"/>
        <v>18</v>
      </c>
      <c r="AA26" s="32" t="str">
        <f t="shared" si="27"/>
        <v>Not played</v>
      </c>
      <c r="AB26" s="32" t="str">
        <f t="shared" si="27"/>
        <v>Not played</v>
      </c>
    </row>
    <row r="27">
      <c r="A27" s="37">
        <f t="shared" si="4"/>
        <v>26</v>
      </c>
      <c r="B27" s="33" t="s">
        <v>103</v>
      </c>
      <c r="C27" s="32">
        <f t="shared" ref="C27:AB27" si="28">IFERROR(VLOOKUP($B27,indirect(text(C$1,"mm/dd/yy")&amp;"!B:L"),11,false),"Not played")</f>
        <v>15</v>
      </c>
      <c r="D27" s="32">
        <f t="shared" si="28"/>
        <v>13</v>
      </c>
      <c r="E27" s="32">
        <f t="shared" si="28"/>
        <v>11</v>
      </c>
      <c r="F27" s="32">
        <f t="shared" si="28"/>
        <v>12</v>
      </c>
      <c r="G27" s="32">
        <f t="shared" si="28"/>
        <v>9</v>
      </c>
      <c r="H27" s="32">
        <f t="shared" si="28"/>
        <v>10</v>
      </c>
      <c r="I27" s="32">
        <f t="shared" si="28"/>
        <v>15</v>
      </c>
      <c r="J27" s="32">
        <f t="shared" si="28"/>
        <v>13</v>
      </c>
      <c r="K27" s="32">
        <f t="shared" si="28"/>
        <v>14</v>
      </c>
      <c r="L27" s="32">
        <f t="shared" si="28"/>
        <v>18</v>
      </c>
      <c r="M27" s="32">
        <f t="shared" si="28"/>
        <v>16</v>
      </c>
      <c r="N27" s="32">
        <f t="shared" si="28"/>
        <v>18</v>
      </c>
      <c r="O27" s="32">
        <f t="shared" si="28"/>
        <v>10</v>
      </c>
      <c r="P27" s="32">
        <f t="shared" si="28"/>
        <v>17</v>
      </c>
      <c r="Q27" s="32">
        <f t="shared" si="28"/>
        <v>9</v>
      </c>
      <c r="R27" s="32">
        <f t="shared" si="28"/>
        <v>17</v>
      </c>
      <c r="S27" s="32">
        <f t="shared" si="28"/>
        <v>9</v>
      </c>
      <c r="T27" s="32">
        <f t="shared" si="28"/>
        <v>9</v>
      </c>
      <c r="U27" s="32">
        <f t="shared" si="28"/>
        <v>11</v>
      </c>
      <c r="V27" s="32" t="str">
        <f t="shared" si="28"/>
        <v/>
      </c>
      <c r="W27" s="32">
        <f t="shared" si="28"/>
        <v>12</v>
      </c>
      <c r="X27" s="32">
        <f t="shared" si="28"/>
        <v>18</v>
      </c>
      <c r="Y27" s="32">
        <f t="shared" si="28"/>
        <v>9</v>
      </c>
      <c r="Z27" s="32">
        <f t="shared" si="28"/>
        <v>15</v>
      </c>
      <c r="AA27" s="32" t="str">
        <f t="shared" si="28"/>
        <v>Not played</v>
      </c>
      <c r="AB27" s="32" t="str">
        <f t="shared" si="28"/>
        <v>Not played</v>
      </c>
    </row>
    <row r="28">
      <c r="A28" s="37">
        <f t="shared" si="4"/>
        <v>27</v>
      </c>
      <c r="B28" s="33" t="s">
        <v>128</v>
      </c>
      <c r="C28" s="32">
        <f t="shared" ref="C28:AB28" si="29">IFERROR(VLOOKUP($B28,indirect(text(C$1,"mm/dd/yy")&amp;"!B:L"),11,false),"Not played")</f>
        <v>9</v>
      </c>
      <c r="D28" s="32">
        <f t="shared" si="29"/>
        <v>17</v>
      </c>
      <c r="E28" s="32">
        <f t="shared" si="29"/>
        <v>13</v>
      </c>
      <c r="F28" s="32">
        <f t="shared" si="29"/>
        <v>12</v>
      </c>
      <c r="G28" s="32">
        <f t="shared" si="29"/>
        <v>9</v>
      </c>
      <c r="H28" s="32">
        <f t="shared" si="29"/>
        <v>18</v>
      </c>
      <c r="I28" s="32">
        <f t="shared" si="29"/>
        <v>14</v>
      </c>
      <c r="J28" s="32">
        <f t="shared" si="29"/>
        <v>14</v>
      </c>
      <c r="K28" s="32">
        <f t="shared" si="29"/>
        <v>18</v>
      </c>
      <c r="L28" s="32">
        <f t="shared" si="29"/>
        <v>15</v>
      </c>
      <c r="M28" s="32">
        <f t="shared" si="29"/>
        <v>11</v>
      </c>
      <c r="N28" s="32">
        <f t="shared" si="29"/>
        <v>8</v>
      </c>
      <c r="O28" s="32">
        <f t="shared" si="29"/>
        <v>13</v>
      </c>
      <c r="P28" s="32">
        <f t="shared" si="29"/>
        <v>17</v>
      </c>
      <c r="Q28" s="32">
        <f t="shared" si="29"/>
        <v>16</v>
      </c>
      <c r="R28" s="32">
        <f t="shared" si="29"/>
        <v>12</v>
      </c>
      <c r="S28" s="32">
        <f t="shared" si="29"/>
        <v>9</v>
      </c>
      <c r="T28" s="32">
        <f t="shared" si="29"/>
        <v>9</v>
      </c>
      <c r="U28" s="32">
        <f t="shared" si="29"/>
        <v>13</v>
      </c>
      <c r="V28" s="32" t="str">
        <f t="shared" si="29"/>
        <v/>
      </c>
      <c r="W28" s="32">
        <f t="shared" si="29"/>
        <v>9</v>
      </c>
      <c r="X28" s="32">
        <f t="shared" si="29"/>
        <v>9</v>
      </c>
      <c r="Y28" s="32">
        <f t="shared" si="29"/>
        <v>9</v>
      </c>
      <c r="Z28" s="32">
        <f t="shared" si="29"/>
        <v>9</v>
      </c>
      <c r="AA28" s="32" t="str">
        <f t="shared" si="29"/>
        <v>Not played</v>
      </c>
      <c r="AB28" s="32" t="str">
        <f t="shared" si="29"/>
        <v>Not played</v>
      </c>
    </row>
    <row r="29">
      <c r="A29" s="37">
        <f t="shared" si="4"/>
        <v>28</v>
      </c>
      <c r="B29" s="33" t="s">
        <v>101</v>
      </c>
      <c r="C29" s="32">
        <f t="shared" ref="C29:AB29" si="30">IFERROR(VLOOKUP($B29,indirect(text(C$1,"mm/dd/yy")&amp;"!B:L"),11,false),"Not played")</f>
        <v>9</v>
      </c>
      <c r="D29" s="32">
        <f t="shared" si="30"/>
        <v>9</v>
      </c>
      <c r="E29" s="32">
        <f t="shared" si="30"/>
        <v>9</v>
      </c>
      <c r="F29" s="32">
        <f t="shared" si="30"/>
        <v>10</v>
      </c>
      <c r="G29" s="32">
        <f t="shared" si="30"/>
        <v>9</v>
      </c>
      <c r="H29" s="32">
        <f t="shared" si="30"/>
        <v>10</v>
      </c>
      <c r="I29" s="32">
        <f t="shared" si="30"/>
        <v>9</v>
      </c>
      <c r="J29" s="32">
        <f t="shared" si="30"/>
        <v>7</v>
      </c>
      <c r="K29" s="32">
        <f t="shared" si="30"/>
        <v>9</v>
      </c>
      <c r="L29" s="32">
        <f t="shared" si="30"/>
        <v>10</v>
      </c>
      <c r="M29" s="32">
        <f t="shared" si="30"/>
        <v>9</v>
      </c>
      <c r="N29" s="32">
        <f t="shared" si="30"/>
        <v>11</v>
      </c>
      <c r="O29" s="32">
        <f t="shared" si="30"/>
        <v>9</v>
      </c>
      <c r="P29" s="32">
        <f t="shared" si="30"/>
        <v>12</v>
      </c>
      <c r="Q29" s="32">
        <f t="shared" si="30"/>
        <v>1</v>
      </c>
      <c r="R29" s="32">
        <f t="shared" si="30"/>
        <v>13</v>
      </c>
      <c r="S29" s="32">
        <f t="shared" si="30"/>
        <v>4</v>
      </c>
      <c r="T29" s="32">
        <f t="shared" si="30"/>
        <v>9</v>
      </c>
      <c r="U29" s="32">
        <f t="shared" si="30"/>
        <v>9</v>
      </c>
      <c r="V29" s="32" t="str">
        <f t="shared" si="30"/>
        <v/>
      </c>
      <c r="W29" s="32">
        <f t="shared" si="30"/>
        <v>9</v>
      </c>
      <c r="X29" s="32">
        <f t="shared" si="30"/>
        <v>9</v>
      </c>
      <c r="Y29" s="32">
        <f t="shared" si="30"/>
        <v>9</v>
      </c>
      <c r="Z29" s="32">
        <f t="shared" si="30"/>
        <v>13</v>
      </c>
      <c r="AA29" s="32" t="str">
        <f t="shared" si="30"/>
        <v>Not played</v>
      </c>
      <c r="AB29" s="32" t="str">
        <f t="shared" si="30"/>
        <v>Not played</v>
      </c>
    </row>
    <row r="30">
      <c r="A30" s="37">
        <f t="shared" si="4"/>
        <v>29</v>
      </c>
      <c r="B30" s="33" t="s">
        <v>129</v>
      </c>
      <c r="C30" s="32">
        <f t="shared" ref="C30:AB30" si="31">IFERROR(VLOOKUP($B30,indirect(text(C$1,"mm/dd/yy")&amp;"!B:L"),11,false),"Not played")</f>
        <v>5</v>
      </c>
      <c r="D30" s="32">
        <f t="shared" si="31"/>
        <v>11</v>
      </c>
      <c r="E30" s="32">
        <f t="shared" si="31"/>
        <v>15</v>
      </c>
      <c r="F30" s="32">
        <f t="shared" si="31"/>
        <v>11</v>
      </c>
      <c r="G30" s="32">
        <f t="shared" si="31"/>
        <v>16</v>
      </c>
      <c r="H30" s="32">
        <f t="shared" si="31"/>
        <v>12</v>
      </c>
      <c r="I30" s="32">
        <f t="shared" si="31"/>
        <v>9</v>
      </c>
      <c r="J30" s="32">
        <f t="shared" si="31"/>
        <v>9</v>
      </c>
      <c r="K30" s="32">
        <f t="shared" si="31"/>
        <v>11</v>
      </c>
      <c r="L30" s="32">
        <f t="shared" si="31"/>
        <v>7</v>
      </c>
      <c r="M30" s="32">
        <f t="shared" si="31"/>
        <v>12</v>
      </c>
      <c r="N30" s="32">
        <f t="shared" si="31"/>
        <v>9</v>
      </c>
      <c r="O30" s="32">
        <f t="shared" si="31"/>
        <v>11</v>
      </c>
      <c r="P30" s="32">
        <f t="shared" si="31"/>
        <v>9</v>
      </c>
      <c r="Q30" s="32">
        <f t="shared" si="31"/>
        <v>14</v>
      </c>
      <c r="R30" s="32">
        <f t="shared" si="31"/>
        <v>19</v>
      </c>
      <c r="S30" s="32">
        <f t="shared" si="31"/>
        <v>13</v>
      </c>
      <c r="T30" s="32">
        <f t="shared" si="31"/>
        <v>15</v>
      </c>
      <c r="U30" s="32">
        <f t="shared" si="31"/>
        <v>13</v>
      </c>
      <c r="V30" s="32" t="str">
        <f t="shared" si="31"/>
        <v/>
      </c>
      <c r="W30" s="32">
        <f t="shared" si="31"/>
        <v>11</v>
      </c>
      <c r="X30" s="32">
        <f t="shared" si="31"/>
        <v>10</v>
      </c>
      <c r="Y30" s="32">
        <f t="shared" si="31"/>
        <v>5</v>
      </c>
      <c r="Z30" s="32">
        <f t="shared" si="31"/>
        <v>14</v>
      </c>
      <c r="AA30" s="32" t="str">
        <f t="shared" si="31"/>
        <v>Not played</v>
      </c>
      <c r="AB30" s="32" t="str">
        <f t="shared" si="31"/>
        <v>Not played</v>
      </c>
    </row>
    <row r="31">
      <c r="A31" s="37">
        <f t="shared" si="4"/>
        <v>30</v>
      </c>
      <c r="B31" s="33" t="s">
        <v>73</v>
      </c>
      <c r="C31" s="32">
        <f t="shared" ref="C31:AB31" si="32">IFERROR(VLOOKUP($B31,indirect(text(C$1,"mm/dd/yy")&amp;"!B:L"),11,false),"Not played")</f>
        <v>9</v>
      </c>
      <c r="D31" s="32">
        <f t="shared" si="32"/>
        <v>18</v>
      </c>
      <c r="E31" s="32">
        <f t="shared" si="32"/>
        <v>19</v>
      </c>
      <c r="F31" s="32">
        <f t="shared" si="32"/>
        <v>18</v>
      </c>
      <c r="G31" s="32">
        <f t="shared" si="32"/>
        <v>10</v>
      </c>
      <c r="H31" s="32">
        <f t="shared" si="32"/>
        <v>14</v>
      </c>
      <c r="I31" s="32">
        <f t="shared" si="32"/>
        <v>9</v>
      </c>
      <c r="J31" s="32">
        <f t="shared" si="32"/>
        <v>16</v>
      </c>
      <c r="K31" s="32">
        <f t="shared" si="32"/>
        <v>17</v>
      </c>
      <c r="L31" s="32">
        <f t="shared" si="32"/>
        <v>12</v>
      </c>
      <c r="M31" s="32">
        <f t="shared" si="32"/>
        <v>16</v>
      </c>
      <c r="N31" s="32">
        <f t="shared" si="32"/>
        <v>9</v>
      </c>
      <c r="O31" s="32">
        <f t="shared" si="32"/>
        <v>16</v>
      </c>
      <c r="P31" s="32">
        <f t="shared" si="32"/>
        <v>14</v>
      </c>
      <c r="Q31" s="32">
        <f t="shared" si="32"/>
        <v>11</v>
      </c>
      <c r="R31" s="32">
        <f t="shared" si="32"/>
        <v>13</v>
      </c>
      <c r="S31" s="32">
        <f t="shared" si="32"/>
        <v>13</v>
      </c>
      <c r="T31" s="32">
        <f t="shared" si="32"/>
        <v>15</v>
      </c>
      <c r="U31" s="32">
        <f t="shared" si="32"/>
        <v>18</v>
      </c>
      <c r="V31" s="32" t="str">
        <f t="shared" si="32"/>
        <v/>
      </c>
      <c r="W31" s="32">
        <f t="shared" si="32"/>
        <v>16</v>
      </c>
      <c r="X31" s="32">
        <f t="shared" si="32"/>
        <v>9</v>
      </c>
      <c r="Y31" s="32">
        <f t="shared" si="32"/>
        <v>13</v>
      </c>
      <c r="Z31" s="32">
        <f t="shared" si="32"/>
        <v>17</v>
      </c>
      <c r="AA31" s="32" t="str">
        <f t="shared" si="32"/>
        <v>Not played</v>
      </c>
      <c r="AB31" s="32" t="str">
        <f t="shared" si="32"/>
        <v>Not played</v>
      </c>
    </row>
    <row r="32">
      <c r="A32" s="37">
        <f t="shared" si="4"/>
        <v>31</v>
      </c>
      <c r="B32" s="33" t="s">
        <v>104</v>
      </c>
      <c r="C32" s="32">
        <f t="shared" ref="C32:AB32" si="33">IFERROR(VLOOKUP($B32,indirect(text(C$1,"mm/dd/yy")&amp;"!B:L"),11,false),"Not played")</f>
        <v>9</v>
      </c>
      <c r="D32" s="32">
        <f t="shared" si="33"/>
        <v>9</v>
      </c>
      <c r="E32" s="32">
        <f t="shared" si="33"/>
        <v>9</v>
      </c>
      <c r="F32" s="32">
        <f t="shared" si="33"/>
        <v>9</v>
      </c>
      <c r="G32" s="32">
        <f t="shared" si="33"/>
        <v>9</v>
      </c>
      <c r="H32" s="32">
        <f t="shared" si="33"/>
        <v>9</v>
      </c>
      <c r="I32" s="32">
        <f t="shared" si="33"/>
        <v>9</v>
      </c>
      <c r="J32" s="32">
        <f t="shared" si="33"/>
        <v>9</v>
      </c>
      <c r="K32" s="32">
        <f t="shared" si="33"/>
        <v>9</v>
      </c>
      <c r="L32" s="32">
        <f t="shared" si="33"/>
        <v>9</v>
      </c>
      <c r="M32" s="32">
        <f t="shared" si="33"/>
        <v>9</v>
      </c>
      <c r="N32" s="32">
        <f t="shared" si="33"/>
        <v>9</v>
      </c>
      <c r="O32" s="32">
        <f t="shared" si="33"/>
        <v>9</v>
      </c>
      <c r="P32" s="32">
        <f t="shared" si="33"/>
        <v>9</v>
      </c>
      <c r="Q32" s="32">
        <f t="shared" si="33"/>
        <v>9</v>
      </c>
      <c r="R32" s="32">
        <f t="shared" si="33"/>
        <v>9</v>
      </c>
      <c r="S32" s="32">
        <f t="shared" si="33"/>
        <v>9</v>
      </c>
      <c r="T32" s="32">
        <f t="shared" si="33"/>
        <v>9</v>
      </c>
      <c r="U32" s="32">
        <f t="shared" si="33"/>
        <v>9</v>
      </c>
      <c r="V32" s="32" t="str">
        <f t="shared" si="33"/>
        <v/>
      </c>
      <c r="W32" s="32">
        <f t="shared" si="33"/>
        <v>9</v>
      </c>
      <c r="X32" s="32">
        <f t="shared" si="33"/>
        <v>9</v>
      </c>
      <c r="Y32" s="32">
        <f t="shared" si="33"/>
        <v>9</v>
      </c>
      <c r="Z32" s="32">
        <f t="shared" si="33"/>
        <v>9</v>
      </c>
      <c r="AA32" s="32" t="str">
        <f t="shared" si="33"/>
        <v>Not played</v>
      </c>
      <c r="AB32" s="32" t="str">
        <f t="shared" si="33"/>
        <v>Not played</v>
      </c>
    </row>
    <row r="33">
      <c r="A33" s="37">
        <f t="shared" si="4"/>
        <v>32</v>
      </c>
      <c r="B33" s="33" t="s">
        <v>130</v>
      </c>
      <c r="C33" s="32">
        <f t="shared" ref="C33:AB33" si="34">IFERROR(VLOOKUP($B33,indirect(text(C$1,"mm/dd/yy")&amp;"!B:L"),11,false),"Not played")</f>
        <v>9</v>
      </c>
      <c r="D33" s="32">
        <f t="shared" si="34"/>
        <v>9</v>
      </c>
      <c r="E33" s="32">
        <f t="shared" si="34"/>
        <v>9</v>
      </c>
      <c r="F33" s="32">
        <f t="shared" si="34"/>
        <v>9</v>
      </c>
      <c r="G33" s="32">
        <f t="shared" si="34"/>
        <v>9</v>
      </c>
      <c r="H33" s="32">
        <f t="shared" si="34"/>
        <v>9</v>
      </c>
      <c r="I33" s="32">
        <f t="shared" si="34"/>
        <v>9</v>
      </c>
      <c r="J33" s="32">
        <f t="shared" si="34"/>
        <v>9</v>
      </c>
      <c r="K33" s="32">
        <f t="shared" si="34"/>
        <v>9</v>
      </c>
      <c r="L33" s="32">
        <f t="shared" si="34"/>
        <v>9</v>
      </c>
      <c r="M33" s="32">
        <f t="shared" si="34"/>
        <v>9</v>
      </c>
      <c r="N33" s="32">
        <f t="shared" si="34"/>
        <v>9</v>
      </c>
      <c r="O33" s="32">
        <f t="shared" si="34"/>
        <v>9</v>
      </c>
      <c r="P33" s="32">
        <f t="shared" si="34"/>
        <v>9</v>
      </c>
      <c r="Q33" s="32">
        <f t="shared" si="34"/>
        <v>9</v>
      </c>
      <c r="R33" s="32">
        <f t="shared" si="34"/>
        <v>9</v>
      </c>
      <c r="S33" s="32">
        <f t="shared" si="34"/>
        <v>9</v>
      </c>
      <c r="T33" s="32">
        <f t="shared" si="34"/>
        <v>9</v>
      </c>
      <c r="U33" s="32">
        <f t="shared" si="34"/>
        <v>9</v>
      </c>
      <c r="V33" s="32" t="str">
        <f t="shared" si="34"/>
        <v/>
      </c>
      <c r="W33" s="32">
        <f t="shared" si="34"/>
        <v>9</v>
      </c>
      <c r="X33" s="32">
        <f t="shared" si="34"/>
        <v>9</v>
      </c>
      <c r="Y33" s="32">
        <f t="shared" si="34"/>
        <v>9</v>
      </c>
      <c r="Z33" s="32">
        <f t="shared" si="34"/>
        <v>9</v>
      </c>
      <c r="AA33" s="32" t="str">
        <f t="shared" si="34"/>
        <v>Not played</v>
      </c>
      <c r="AB33" s="32" t="str">
        <f t="shared" si="34"/>
        <v>Not played</v>
      </c>
    </row>
    <row r="34">
      <c r="A34" s="37">
        <f t="shared" si="4"/>
        <v>33</v>
      </c>
      <c r="B34" s="33" t="s">
        <v>131</v>
      </c>
      <c r="C34" s="32">
        <f t="shared" ref="C34:AB34" si="35">IFERROR(VLOOKUP($B34,indirect(text(C$1,"mm/dd/yy")&amp;"!B:L"),11,false),"Not played")</f>
        <v>9</v>
      </c>
      <c r="D34" s="32">
        <f t="shared" si="35"/>
        <v>9</v>
      </c>
      <c r="E34" s="32">
        <f t="shared" si="35"/>
        <v>9</v>
      </c>
      <c r="F34" s="32">
        <f t="shared" si="35"/>
        <v>9</v>
      </c>
      <c r="G34" s="32">
        <f t="shared" si="35"/>
        <v>9</v>
      </c>
      <c r="H34" s="32">
        <f t="shared" si="35"/>
        <v>9</v>
      </c>
      <c r="I34" s="32">
        <f t="shared" si="35"/>
        <v>9</v>
      </c>
      <c r="J34" s="32">
        <f t="shared" si="35"/>
        <v>9</v>
      </c>
      <c r="K34" s="32">
        <f t="shared" si="35"/>
        <v>9</v>
      </c>
      <c r="L34" s="32">
        <f t="shared" si="35"/>
        <v>9</v>
      </c>
      <c r="M34" s="32">
        <f t="shared" si="35"/>
        <v>9</v>
      </c>
      <c r="N34" s="32">
        <f t="shared" si="35"/>
        <v>9</v>
      </c>
      <c r="O34" s="32">
        <f t="shared" si="35"/>
        <v>9</v>
      </c>
      <c r="P34" s="32">
        <f t="shared" si="35"/>
        <v>9</v>
      </c>
      <c r="Q34" s="32">
        <f t="shared" si="35"/>
        <v>9</v>
      </c>
      <c r="R34" s="32">
        <f t="shared" si="35"/>
        <v>9</v>
      </c>
      <c r="S34" s="32">
        <f t="shared" si="35"/>
        <v>9</v>
      </c>
      <c r="T34" s="32">
        <f t="shared" si="35"/>
        <v>9</v>
      </c>
      <c r="U34" s="32">
        <f t="shared" si="35"/>
        <v>9</v>
      </c>
      <c r="V34" s="32" t="str">
        <f t="shared" si="35"/>
        <v/>
      </c>
      <c r="W34" s="32">
        <f t="shared" si="35"/>
        <v>9</v>
      </c>
      <c r="X34" s="32">
        <f t="shared" si="35"/>
        <v>9</v>
      </c>
      <c r="Y34" s="32">
        <f t="shared" si="35"/>
        <v>18</v>
      </c>
      <c r="Z34" s="32">
        <f t="shared" si="35"/>
        <v>9</v>
      </c>
      <c r="AA34" s="32" t="str">
        <f t="shared" si="35"/>
        <v>Not played</v>
      </c>
      <c r="AB34" s="32" t="str">
        <f t="shared" si="35"/>
        <v>Not played</v>
      </c>
    </row>
    <row r="35">
      <c r="A35" s="37">
        <f t="shared" si="4"/>
        <v>34</v>
      </c>
      <c r="B35" s="33" t="s">
        <v>132</v>
      </c>
      <c r="C35" s="32">
        <f t="shared" ref="C35:AB35" si="36">IFERROR(VLOOKUP($B35,indirect(text(C$1,"mm/dd/yy")&amp;"!B:L"),11,false),"Not played")</f>
        <v>9</v>
      </c>
      <c r="D35" s="32">
        <f t="shared" si="36"/>
        <v>17</v>
      </c>
      <c r="E35" s="32">
        <f t="shared" si="36"/>
        <v>13</v>
      </c>
      <c r="F35" s="32">
        <f t="shared" si="36"/>
        <v>12</v>
      </c>
      <c r="G35" s="32">
        <f t="shared" si="36"/>
        <v>9</v>
      </c>
      <c r="H35" s="32">
        <f t="shared" si="36"/>
        <v>16</v>
      </c>
      <c r="I35" s="32">
        <f t="shared" si="36"/>
        <v>12</v>
      </c>
      <c r="J35" s="32">
        <f t="shared" si="36"/>
        <v>15</v>
      </c>
      <c r="K35" s="32">
        <f t="shared" si="36"/>
        <v>9</v>
      </c>
      <c r="L35" s="32">
        <f t="shared" si="36"/>
        <v>9</v>
      </c>
      <c r="M35" s="32">
        <f t="shared" si="36"/>
        <v>9</v>
      </c>
      <c r="N35" s="32">
        <f t="shared" si="36"/>
        <v>9</v>
      </c>
      <c r="O35" s="32">
        <f t="shared" si="36"/>
        <v>9</v>
      </c>
      <c r="P35" s="32">
        <f t="shared" si="36"/>
        <v>18</v>
      </c>
      <c r="Q35" s="32">
        <f t="shared" si="36"/>
        <v>9</v>
      </c>
      <c r="R35" s="32">
        <f t="shared" si="36"/>
        <v>9</v>
      </c>
      <c r="S35" s="32">
        <f t="shared" si="36"/>
        <v>9</v>
      </c>
      <c r="T35" s="32">
        <f t="shared" si="36"/>
        <v>9</v>
      </c>
      <c r="U35" s="32">
        <f t="shared" si="36"/>
        <v>9</v>
      </c>
      <c r="V35" s="32" t="str">
        <f t="shared" si="36"/>
        <v/>
      </c>
      <c r="W35" s="32">
        <f t="shared" si="36"/>
        <v>9</v>
      </c>
      <c r="X35" s="32">
        <f t="shared" si="36"/>
        <v>9</v>
      </c>
      <c r="Y35" s="32">
        <f t="shared" si="36"/>
        <v>9</v>
      </c>
      <c r="Z35" s="32">
        <f t="shared" si="36"/>
        <v>9</v>
      </c>
      <c r="AA35" s="32" t="str">
        <f t="shared" si="36"/>
        <v>Not played</v>
      </c>
      <c r="AB35" s="32" t="str">
        <f t="shared" si="36"/>
        <v>Not played</v>
      </c>
    </row>
    <row r="36">
      <c r="A36" s="37">
        <f t="shared" si="4"/>
        <v>35</v>
      </c>
      <c r="B36" s="33" t="s">
        <v>95</v>
      </c>
      <c r="C36" s="32">
        <f t="shared" ref="C36:AB36" si="37">IFERROR(VLOOKUP($B36,indirect(text(C$1,"mm/dd/yy")&amp;"!B:L"),11,false),"Not played")</f>
        <v>9</v>
      </c>
      <c r="D36" s="32">
        <f t="shared" si="37"/>
        <v>9</v>
      </c>
      <c r="E36" s="32">
        <f t="shared" si="37"/>
        <v>9</v>
      </c>
      <c r="F36" s="32">
        <f t="shared" si="37"/>
        <v>13</v>
      </c>
      <c r="G36" s="32">
        <f t="shared" si="37"/>
        <v>9</v>
      </c>
      <c r="H36" s="32">
        <f t="shared" si="37"/>
        <v>9</v>
      </c>
      <c r="I36" s="32">
        <f t="shared" si="37"/>
        <v>9</v>
      </c>
      <c r="J36" s="32">
        <f t="shared" si="37"/>
        <v>9</v>
      </c>
      <c r="K36" s="32">
        <f t="shared" si="37"/>
        <v>9</v>
      </c>
      <c r="L36" s="32">
        <f t="shared" si="37"/>
        <v>9</v>
      </c>
      <c r="M36" s="32">
        <f t="shared" si="37"/>
        <v>9</v>
      </c>
      <c r="N36" s="32">
        <f t="shared" si="37"/>
        <v>15</v>
      </c>
      <c r="O36" s="32">
        <f t="shared" si="37"/>
        <v>9</v>
      </c>
      <c r="P36" s="32">
        <f t="shared" si="37"/>
        <v>14</v>
      </c>
      <c r="Q36" s="32">
        <f t="shared" si="37"/>
        <v>9</v>
      </c>
      <c r="R36" s="32">
        <f t="shared" si="37"/>
        <v>14</v>
      </c>
      <c r="S36" s="32">
        <f t="shared" si="37"/>
        <v>9</v>
      </c>
      <c r="T36" s="32">
        <f t="shared" si="37"/>
        <v>9</v>
      </c>
      <c r="U36" s="32">
        <f t="shared" si="37"/>
        <v>9</v>
      </c>
      <c r="V36" s="32" t="str">
        <f t="shared" si="37"/>
        <v/>
      </c>
      <c r="W36" s="32">
        <f t="shared" si="37"/>
        <v>9</v>
      </c>
      <c r="X36" s="32">
        <f t="shared" si="37"/>
        <v>9</v>
      </c>
      <c r="Y36" s="32">
        <f t="shared" si="37"/>
        <v>9</v>
      </c>
      <c r="Z36" s="32">
        <f t="shared" si="37"/>
        <v>18</v>
      </c>
      <c r="AA36" s="32" t="str">
        <f t="shared" si="37"/>
        <v>Not played</v>
      </c>
      <c r="AB36" s="32" t="str">
        <f t="shared" si="37"/>
        <v>Not played</v>
      </c>
    </row>
    <row r="37">
      <c r="A37" s="37">
        <f t="shared" si="4"/>
        <v>36</v>
      </c>
      <c r="B37" s="33" t="s">
        <v>134</v>
      </c>
      <c r="C37" s="32">
        <f t="shared" ref="C37:AB37" si="38">IFERROR(VLOOKUP($B37,indirect(text(C$1,"mm/dd/yy")&amp;"!B:L"),11,false),"Not played")</f>
        <v>18</v>
      </c>
      <c r="D37" s="32">
        <f t="shared" si="38"/>
        <v>9</v>
      </c>
      <c r="E37" s="32">
        <f t="shared" si="38"/>
        <v>9</v>
      </c>
      <c r="F37" s="32">
        <f t="shared" si="38"/>
        <v>9</v>
      </c>
      <c r="G37" s="32">
        <f t="shared" si="38"/>
        <v>9</v>
      </c>
      <c r="H37" s="32">
        <f t="shared" si="38"/>
        <v>16</v>
      </c>
      <c r="I37" s="32">
        <f t="shared" si="38"/>
        <v>15</v>
      </c>
      <c r="J37" s="32">
        <f t="shared" si="38"/>
        <v>19</v>
      </c>
      <c r="K37" s="32">
        <f t="shared" si="38"/>
        <v>9</v>
      </c>
      <c r="L37" s="32">
        <f t="shared" si="38"/>
        <v>9</v>
      </c>
      <c r="M37" s="32">
        <f t="shared" si="38"/>
        <v>9</v>
      </c>
      <c r="N37" s="32">
        <f t="shared" si="38"/>
        <v>19</v>
      </c>
      <c r="O37" s="32">
        <f t="shared" si="38"/>
        <v>19</v>
      </c>
      <c r="P37" s="32">
        <f t="shared" si="38"/>
        <v>18</v>
      </c>
      <c r="Q37" s="32">
        <f t="shared" si="38"/>
        <v>15</v>
      </c>
      <c r="R37" s="32">
        <f t="shared" si="38"/>
        <v>12</v>
      </c>
      <c r="S37" s="32">
        <f t="shared" si="38"/>
        <v>17</v>
      </c>
      <c r="T37" s="32">
        <f t="shared" si="38"/>
        <v>16</v>
      </c>
      <c r="U37" s="32">
        <f t="shared" si="38"/>
        <v>9</v>
      </c>
      <c r="V37" s="32" t="str">
        <f t="shared" si="38"/>
        <v/>
      </c>
      <c r="W37" s="32">
        <f t="shared" si="38"/>
        <v>9</v>
      </c>
      <c r="X37" s="32">
        <f t="shared" si="38"/>
        <v>9</v>
      </c>
      <c r="Y37" s="32">
        <f t="shared" si="38"/>
        <v>9</v>
      </c>
      <c r="Z37" s="32">
        <f t="shared" si="38"/>
        <v>9</v>
      </c>
      <c r="AA37" s="32" t="str">
        <f t="shared" si="38"/>
        <v>Not played</v>
      </c>
      <c r="AB37" s="32" t="str">
        <f t="shared" si="38"/>
        <v>Not played</v>
      </c>
    </row>
    <row r="38">
      <c r="A38" s="37">
        <f t="shared" si="4"/>
        <v>37</v>
      </c>
      <c r="B38" s="33" t="s">
        <v>100</v>
      </c>
      <c r="C38" s="32">
        <f t="shared" ref="C38:AB38" si="39">IFERROR(VLOOKUP($B38,indirect(text(C$1,"mm/dd/yy")&amp;"!B:L"),11,false),"Not played")</f>
        <v>14</v>
      </c>
      <c r="D38" s="32">
        <f t="shared" si="39"/>
        <v>15</v>
      </c>
      <c r="E38" s="32">
        <f t="shared" si="39"/>
        <v>9</v>
      </c>
      <c r="F38" s="32">
        <f t="shared" si="39"/>
        <v>16</v>
      </c>
      <c r="G38" s="32">
        <f t="shared" si="39"/>
        <v>9</v>
      </c>
      <c r="H38" s="32">
        <f t="shared" si="39"/>
        <v>9</v>
      </c>
      <c r="I38" s="32">
        <f t="shared" si="39"/>
        <v>16</v>
      </c>
      <c r="J38" s="32">
        <f t="shared" si="39"/>
        <v>9</v>
      </c>
      <c r="K38" s="32">
        <f t="shared" si="39"/>
        <v>9</v>
      </c>
      <c r="L38" s="32">
        <f t="shared" si="39"/>
        <v>9</v>
      </c>
      <c r="M38" s="32">
        <f t="shared" si="39"/>
        <v>18</v>
      </c>
      <c r="N38" s="32">
        <f t="shared" si="39"/>
        <v>13</v>
      </c>
      <c r="O38" s="32">
        <f t="shared" si="39"/>
        <v>9</v>
      </c>
      <c r="P38" s="32">
        <f t="shared" si="39"/>
        <v>12</v>
      </c>
      <c r="Q38" s="32">
        <f t="shared" si="39"/>
        <v>12</v>
      </c>
      <c r="R38" s="32">
        <f t="shared" si="39"/>
        <v>18</v>
      </c>
      <c r="S38" s="32">
        <f t="shared" si="39"/>
        <v>9</v>
      </c>
      <c r="T38" s="32">
        <f t="shared" si="39"/>
        <v>9</v>
      </c>
      <c r="U38" s="32">
        <f t="shared" si="39"/>
        <v>13</v>
      </c>
      <c r="V38" s="32" t="str">
        <f t="shared" si="39"/>
        <v/>
      </c>
      <c r="W38" s="32">
        <f t="shared" si="39"/>
        <v>18</v>
      </c>
      <c r="X38" s="32">
        <f t="shared" si="39"/>
        <v>11</v>
      </c>
      <c r="Y38" s="32">
        <f t="shared" si="39"/>
        <v>14</v>
      </c>
      <c r="Z38" s="32">
        <f t="shared" si="39"/>
        <v>15</v>
      </c>
      <c r="AA38" s="32" t="str">
        <f t="shared" si="39"/>
        <v>Not played</v>
      </c>
      <c r="AB38" s="32" t="str">
        <f t="shared" si="39"/>
        <v>Not played</v>
      </c>
    </row>
    <row r="39">
      <c r="A39" s="37">
        <f t="shared" si="4"/>
        <v>38</v>
      </c>
      <c r="B39" s="33" t="s">
        <v>135</v>
      </c>
      <c r="C39" s="32">
        <f t="shared" ref="C39:AB39" si="40">IFERROR(VLOOKUP($B39,indirect(text(C$1,"mm/dd/yy")&amp;"!B:L"),11,false),"Not played")</f>
        <v>9</v>
      </c>
      <c r="D39" s="32">
        <f t="shared" si="40"/>
        <v>9</v>
      </c>
      <c r="E39" s="32">
        <f t="shared" si="40"/>
        <v>15</v>
      </c>
      <c r="F39" s="32">
        <f t="shared" si="40"/>
        <v>9</v>
      </c>
      <c r="G39" s="32">
        <f t="shared" si="40"/>
        <v>10</v>
      </c>
      <c r="H39" s="32">
        <f t="shared" si="40"/>
        <v>9</v>
      </c>
      <c r="I39" s="32">
        <f t="shared" si="40"/>
        <v>8</v>
      </c>
      <c r="J39" s="32">
        <f t="shared" si="40"/>
        <v>18</v>
      </c>
      <c r="K39" s="32">
        <f t="shared" si="40"/>
        <v>9</v>
      </c>
      <c r="L39" s="32">
        <f t="shared" si="40"/>
        <v>10</v>
      </c>
      <c r="M39" s="32">
        <f t="shared" si="40"/>
        <v>16</v>
      </c>
      <c r="N39" s="32">
        <f t="shared" si="40"/>
        <v>12</v>
      </c>
      <c r="O39" s="32">
        <f t="shared" si="40"/>
        <v>9</v>
      </c>
      <c r="P39" s="32">
        <f t="shared" si="40"/>
        <v>15</v>
      </c>
      <c r="Q39" s="32">
        <f t="shared" si="40"/>
        <v>10</v>
      </c>
      <c r="R39" s="32">
        <f t="shared" si="40"/>
        <v>14</v>
      </c>
      <c r="S39" s="32">
        <f t="shared" si="40"/>
        <v>18</v>
      </c>
      <c r="T39" s="32">
        <f t="shared" si="40"/>
        <v>19</v>
      </c>
      <c r="U39" s="32">
        <f t="shared" si="40"/>
        <v>20</v>
      </c>
      <c r="V39" s="32" t="str">
        <f t="shared" si="40"/>
        <v/>
      </c>
      <c r="W39" s="32">
        <f t="shared" si="40"/>
        <v>9</v>
      </c>
      <c r="X39" s="32">
        <f t="shared" si="40"/>
        <v>12</v>
      </c>
      <c r="Y39" s="32">
        <f t="shared" si="40"/>
        <v>9</v>
      </c>
      <c r="Z39" s="32">
        <f t="shared" si="40"/>
        <v>19</v>
      </c>
      <c r="AA39" s="32" t="str">
        <f t="shared" si="40"/>
        <v>Not played</v>
      </c>
      <c r="AB39" s="32" t="str">
        <f t="shared" si="40"/>
        <v>Not played</v>
      </c>
    </row>
    <row r="40">
      <c r="A40" s="37">
        <f t="shared" si="4"/>
        <v>39</v>
      </c>
      <c r="B40" s="33" t="s">
        <v>136</v>
      </c>
      <c r="C40" s="32">
        <f t="shared" ref="C40:AB40" si="41">IFERROR(VLOOKUP($B40,indirect(text(C$1,"mm/dd/yy")&amp;"!B:L"),11,false),"Not played")</f>
        <v>7</v>
      </c>
      <c r="D40" s="32">
        <f t="shared" si="41"/>
        <v>11</v>
      </c>
      <c r="E40" s="32">
        <f t="shared" si="41"/>
        <v>15</v>
      </c>
      <c r="F40" s="32">
        <f t="shared" si="41"/>
        <v>12</v>
      </c>
      <c r="G40" s="32">
        <f t="shared" si="41"/>
        <v>11</v>
      </c>
      <c r="H40" s="32">
        <f t="shared" si="41"/>
        <v>18</v>
      </c>
      <c r="I40" s="32">
        <f t="shared" si="41"/>
        <v>12</v>
      </c>
      <c r="J40" s="32">
        <f t="shared" si="41"/>
        <v>13</v>
      </c>
      <c r="K40" s="32">
        <f t="shared" si="41"/>
        <v>4</v>
      </c>
      <c r="L40" s="32">
        <f t="shared" si="41"/>
        <v>12</v>
      </c>
      <c r="M40" s="32">
        <f t="shared" si="41"/>
        <v>14</v>
      </c>
      <c r="N40" s="32">
        <f t="shared" si="41"/>
        <v>17</v>
      </c>
      <c r="O40" s="32">
        <f t="shared" si="41"/>
        <v>13</v>
      </c>
      <c r="P40" s="32">
        <f t="shared" si="41"/>
        <v>9</v>
      </c>
      <c r="Q40" s="32">
        <f t="shared" si="41"/>
        <v>14</v>
      </c>
      <c r="R40" s="32">
        <f t="shared" si="41"/>
        <v>10</v>
      </c>
      <c r="S40" s="32">
        <f t="shared" si="41"/>
        <v>17</v>
      </c>
      <c r="T40" s="32">
        <f t="shared" si="41"/>
        <v>10</v>
      </c>
      <c r="U40" s="32">
        <f t="shared" si="41"/>
        <v>14</v>
      </c>
      <c r="V40" s="32" t="str">
        <f t="shared" si="41"/>
        <v/>
      </c>
      <c r="W40" s="32">
        <f t="shared" si="41"/>
        <v>16</v>
      </c>
      <c r="X40" s="32">
        <f t="shared" si="41"/>
        <v>6</v>
      </c>
      <c r="Y40" s="32">
        <f t="shared" si="41"/>
        <v>13</v>
      </c>
      <c r="Z40" s="32">
        <f t="shared" si="41"/>
        <v>15</v>
      </c>
      <c r="AA40" s="32" t="str">
        <f t="shared" si="41"/>
        <v>Not played</v>
      </c>
      <c r="AB40" s="32" t="str">
        <f t="shared" si="41"/>
        <v>Not played</v>
      </c>
    </row>
    <row r="41">
      <c r="A41" s="37">
        <f t="shared" si="4"/>
        <v>40</v>
      </c>
      <c r="B41" s="33" t="s">
        <v>125</v>
      </c>
      <c r="C41" s="32">
        <f t="shared" ref="C41:AB41" si="42">IFERROR(VLOOKUP($B41,indirect(text(C$1,"mm/dd/yy")&amp;"!B:L"),11,false),"Not played")</f>
        <v>18</v>
      </c>
      <c r="D41" s="32">
        <f t="shared" si="42"/>
        <v>11</v>
      </c>
      <c r="E41" s="32">
        <f t="shared" si="42"/>
        <v>10</v>
      </c>
      <c r="F41" s="32">
        <f t="shared" si="42"/>
        <v>17</v>
      </c>
      <c r="G41" s="32">
        <f t="shared" si="42"/>
        <v>9</v>
      </c>
      <c r="H41" s="32">
        <f t="shared" si="42"/>
        <v>14</v>
      </c>
      <c r="I41" s="32">
        <f t="shared" si="42"/>
        <v>18</v>
      </c>
      <c r="J41" s="32">
        <f t="shared" si="42"/>
        <v>9</v>
      </c>
      <c r="K41" s="32">
        <f t="shared" si="42"/>
        <v>11</v>
      </c>
      <c r="L41" s="32">
        <f t="shared" si="42"/>
        <v>9</v>
      </c>
      <c r="M41" s="32">
        <f t="shared" si="42"/>
        <v>12</v>
      </c>
      <c r="N41" s="32">
        <f t="shared" si="42"/>
        <v>14</v>
      </c>
      <c r="O41" s="32">
        <f t="shared" si="42"/>
        <v>9</v>
      </c>
      <c r="P41" s="32">
        <f t="shared" si="42"/>
        <v>9</v>
      </c>
      <c r="Q41" s="32">
        <f t="shared" si="42"/>
        <v>18</v>
      </c>
      <c r="R41" s="32">
        <f t="shared" si="42"/>
        <v>15</v>
      </c>
      <c r="S41" s="32">
        <f t="shared" si="42"/>
        <v>9</v>
      </c>
      <c r="T41" s="32">
        <f t="shared" si="42"/>
        <v>11</v>
      </c>
      <c r="U41" s="32">
        <f t="shared" si="42"/>
        <v>17</v>
      </c>
      <c r="V41" s="32" t="str">
        <f t="shared" si="42"/>
        <v/>
      </c>
      <c r="W41" s="32">
        <f t="shared" si="42"/>
        <v>18</v>
      </c>
      <c r="X41" s="32">
        <f t="shared" si="42"/>
        <v>12</v>
      </c>
      <c r="Y41" s="32">
        <f t="shared" si="42"/>
        <v>16</v>
      </c>
      <c r="Z41" s="32">
        <f t="shared" si="42"/>
        <v>14</v>
      </c>
      <c r="AA41" s="32" t="str">
        <f t="shared" si="42"/>
        <v>Not played</v>
      </c>
      <c r="AB41" s="32" t="str">
        <f t="shared" si="42"/>
        <v>Not played</v>
      </c>
    </row>
    <row r="42">
      <c r="A42" s="37">
        <f t="shared" si="4"/>
        <v>41</v>
      </c>
      <c r="B42" s="33" t="s">
        <v>113</v>
      </c>
      <c r="C42" s="32">
        <f t="shared" ref="C42:AB42" si="43">IFERROR(VLOOKUP($B42,indirect(text(C$1,"mm/dd/yy")&amp;"!B:L"),11,false),"Not played")</f>
        <v>18</v>
      </c>
      <c r="D42" s="32">
        <f t="shared" si="43"/>
        <v>10</v>
      </c>
      <c r="E42" s="32">
        <f t="shared" si="43"/>
        <v>9</v>
      </c>
      <c r="F42" s="32">
        <f t="shared" si="43"/>
        <v>9</v>
      </c>
      <c r="G42" s="32">
        <f t="shared" si="43"/>
        <v>9</v>
      </c>
      <c r="H42" s="32">
        <f t="shared" si="43"/>
        <v>9</v>
      </c>
      <c r="I42" s="32">
        <f t="shared" si="43"/>
        <v>16</v>
      </c>
      <c r="J42" s="32">
        <f t="shared" si="43"/>
        <v>14</v>
      </c>
      <c r="K42" s="32">
        <f t="shared" si="43"/>
        <v>18</v>
      </c>
      <c r="L42" s="32">
        <f t="shared" si="43"/>
        <v>20</v>
      </c>
      <c r="M42" s="32">
        <f t="shared" si="43"/>
        <v>17</v>
      </c>
      <c r="N42" s="32">
        <f t="shared" si="43"/>
        <v>14</v>
      </c>
      <c r="O42" s="32">
        <f t="shared" si="43"/>
        <v>13</v>
      </c>
      <c r="P42" s="32">
        <f t="shared" si="43"/>
        <v>16</v>
      </c>
      <c r="Q42" s="32">
        <f t="shared" si="43"/>
        <v>11</v>
      </c>
      <c r="R42" s="32">
        <f t="shared" si="43"/>
        <v>13</v>
      </c>
      <c r="S42" s="32">
        <f t="shared" si="43"/>
        <v>9</v>
      </c>
      <c r="T42" s="32">
        <f t="shared" si="43"/>
        <v>14</v>
      </c>
      <c r="U42" s="32">
        <f t="shared" si="43"/>
        <v>16</v>
      </c>
      <c r="V42" s="32" t="str">
        <f t="shared" si="43"/>
        <v/>
      </c>
      <c r="W42" s="32">
        <f t="shared" si="43"/>
        <v>13</v>
      </c>
      <c r="X42" s="32">
        <f t="shared" si="43"/>
        <v>15</v>
      </c>
      <c r="Y42" s="32">
        <f t="shared" si="43"/>
        <v>9</v>
      </c>
      <c r="Z42" s="32">
        <f t="shared" si="43"/>
        <v>9</v>
      </c>
      <c r="AA42" s="32" t="str">
        <f t="shared" si="43"/>
        <v>Not played</v>
      </c>
      <c r="AB42" s="32" t="str">
        <f t="shared" si="43"/>
        <v>Not played</v>
      </c>
    </row>
    <row r="43">
      <c r="A43" s="37">
        <f t="shared" si="4"/>
        <v>42</v>
      </c>
      <c r="B43" s="33" t="s">
        <v>84</v>
      </c>
      <c r="C43" s="32">
        <f t="shared" ref="C43:AB43" si="44">IFERROR(VLOOKUP($B43,indirect(text(C$1,"mm/dd/yy")&amp;"!B:L"),11,false),"Not played")</f>
        <v>9</v>
      </c>
      <c r="D43" s="32">
        <f t="shared" si="44"/>
        <v>18</v>
      </c>
      <c r="E43" s="32">
        <f t="shared" si="44"/>
        <v>11</v>
      </c>
      <c r="F43" s="32">
        <f t="shared" si="44"/>
        <v>16</v>
      </c>
      <c r="G43" s="32">
        <f t="shared" si="44"/>
        <v>19</v>
      </c>
      <c r="H43" s="32">
        <f t="shared" si="44"/>
        <v>16</v>
      </c>
      <c r="I43" s="32">
        <f t="shared" si="44"/>
        <v>9</v>
      </c>
      <c r="J43" s="32">
        <f t="shared" si="44"/>
        <v>15</v>
      </c>
      <c r="K43" s="32">
        <f t="shared" si="44"/>
        <v>17</v>
      </c>
      <c r="L43" s="32">
        <f t="shared" si="44"/>
        <v>18</v>
      </c>
      <c r="M43" s="32">
        <f t="shared" si="44"/>
        <v>15</v>
      </c>
      <c r="N43" s="32">
        <f t="shared" si="44"/>
        <v>10</v>
      </c>
      <c r="O43" s="32">
        <f t="shared" si="44"/>
        <v>9</v>
      </c>
      <c r="P43" s="32">
        <f t="shared" si="44"/>
        <v>15</v>
      </c>
      <c r="Q43" s="32">
        <f t="shared" si="44"/>
        <v>15</v>
      </c>
      <c r="R43" s="32">
        <f t="shared" si="44"/>
        <v>13</v>
      </c>
      <c r="S43" s="32">
        <f t="shared" si="44"/>
        <v>9</v>
      </c>
      <c r="T43" s="32">
        <f t="shared" si="44"/>
        <v>9</v>
      </c>
      <c r="U43" s="32">
        <f t="shared" si="44"/>
        <v>9</v>
      </c>
      <c r="V43" s="32" t="str">
        <f t="shared" si="44"/>
        <v/>
      </c>
      <c r="W43" s="32">
        <f t="shared" si="44"/>
        <v>19</v>
      </c>
      <c r="X43" s="32">
        <f t="shared" si="44"/>
        <v>11</v>
      </c>
      <c r="Y43" s="32">
        <f t="shared" si="44"/>
        <v>15</v>
      </c>
      <c r="Z43" s="32">
        <f t="shared" si="44"/>
        <v>14</v>
      </c>
      <c r="AA43" s="32" t="str">
        <f t="shared" si="44"/>
        <v>Not played</v>
      </c>
      <c r="AB43" s="32" t="str">
        <f t="shared" si="44"/>
        <v>Not played</v>
      </c>
    </row>
    <row r="44">
      <c r="A44" s="37">
        <f t="shared" si="4"/>
        <v>43</v>
      </c>
      <c r="B44" s="33" t="s">
        <v>91</v>
      </c>
      <c r="C44" s="32">
        <f t="shared" ref="C44:AB44" si="45">IFERROR(VLOOKUP($B44,indirect(text(C$1,"mm/dd/yy")&amp;"!B:L"),11,false),"Not played")</f>
        <v>15</v>
      </c>
      <c r="D44" s="32">
        <f t="shared" si="45"/>
        <v>15</v>
      </c>
      <c r="E44" s="32">
        <f t="shared" si="45"/>
        <v>13</v>
      </c>
      <c r="F44" s="32">
        <f t="shared" si="45"/>
        <v>10</v>
      </c>
      <c r="G44" s="32">
        <f t="shared" si="45"/>
        <v>16</v>
      </c>
      <c r="H44" s="32">
        <f t="shared" si="45"/>
        <v>14</v>
      </c>
      <c r="I44" s="32">
        <f t="shared" si="45"/>
        <v>8</v>
      </c>
      <c r="J44" s="32">
        <f t="shared" si="45"/>
        <v>12</v>
      </c>
      <c r="K44" s="32">
        <f t="shared" si="45"/>
        <v>13</v>
      </c>
      <c r="L44" s="32">
        <f t="shared" si="45"/>
        <v>15</v>
      </c>
      <c r="M44" s="32">
        <f t="shared" si="45"/>
        <v>9</v>
      </c>
      <c r="N44" s="32">
        <f t="shared" si="45"/>
        <v>13</v>
      </c>
      <c r="O44" s="32">
        <f t="shared" si="45"/>
        <v>19</v>
      </c>
      <c r="P44" s="32">
        <f t="shared" si="45"/>
        <v>17</v>
      </c>
      <c r="Q44" s="32">
        <f t="shared" si="45"/>
        <v>15</v>
      </c>
      <c r="R44" s="32">
        <f t="shared" si="45"/>
        <v>13</v>
      </c>
      <c r="S44" s="32">
        <f t="shared" si="45"/>
        <v>15</v>
      </c>
      <c r="T44" s="32">
        <f t="shared" si="45"/>
        <v>9</v>
      </c>
      <c r="U44" s="32">
        <f t="shared" si="45"/>
        <v>16</v>
      </c>
      <c r="V44" s="32" t="str">
        <f t="shared" si="45"/>
        <v/>
      </c>
      <c r="W44" s="32">
        <f t="shared" si="45"/>
        <v>12</v>
      </c>
      <c r="X44" s="32">
        <f t="shared" si="45"/>
        <v>16</v>
      </c>
      <c r="Y44" s="32">
        <f t="shared" si="45"/>
        <v>4</v>
      </c>
      <c r="Z44" s="32">
        <f t="shared" si="45"/>
        <v>12</v>
      </c>
      <c r="AA44" s="32" t="str">
        <f t="shared" si="45"/>
        <v>Not played</v>
      </c>
      <c r="AB44" s="32" t="str">
        <f t="shared" si="45"/>
        <v>Not played</v>
      </c>
    </row>
    <row r="45">
      <c r="A45" s="37">
        <f t="shared" si="4"/>
        <v>44</v>
      </c>
      <c r="B45" s="33" t="s">
        <v>137</v>
      </c>
      <c r="C45" s="32">
        <f t="shared" ref="C45:AB45" si="46">IFERROR(VLOOKUP($B45,indirect(text(C$1,"mm/dd/yy")&amp;"!B:L"),11,false),"Not played")</f>
        <v>15</v>
      </c>
      <c r="D45" s="32">
        <f t="shared" si="46"/>
        <v>12</v>
      </c>
      <c r="E45" s="32">
        <f t="shared" si="46"/>
        <v>9</v>
      </c>
      <c r="F45" s="32">
        <f t="shared" si="46"/>
        <v>10</v>
      </c>
      <c r="G45" s="32">
        <f t="shared" si="46"/>
        <v>17</v>
      </c>
      <c r="H45" s="32">
        <f t="shared" si="46"/>
        <v>12</v>
      </c>
      <c r="I45" s="32">
        <f t="shared" si="46"/>
        <v>9</v>
      </c>
      <c r="J45" s="32">
        <f t="shared" si="46"/>
        <v>9</v>
      </c>
      <c r="K45" s="32">
        <f t="shared" si="46"/>
        <v>15</v>
      </c>
      <c r="L45" s="32">
        <f t="shared" si="46"/>
        <v>9</v>
      </c>
      <c r="M45" s="32">
        <f t="shared" si="46"/>
        <v>9</v>
      </c>
      <c r="N45" s="32">
        <f t="shared" si="46"/>
        <v>16</v>
      </c>
      <c r="O45" s="32">
        <f t="shared" si="46"/>
        <v>9</v>
      </c>
      <c r="P45" s="32">
        <f t="shared" si="46"/>
        <v>9</v>
      </c>
      <c r="Q45" s="32">
        <f t="shared" si="46"/>
        <v>9</v>
      </c>
      <c r="R45" s="32">
        <f t="shared" si="46"/>
        <v>9</v>
      </c>
      <c r="S45" s="32">
        <f t="shared" si="46"/>
        <v>10</v>
      </c>
      <c r="T45" s="32">
        <f t="shared" si="46"/>
        <v>19</v>
      </c>
      <c r="U45" s="32">
        <f t="shared" si="46"/>
        <v>9</v>
      </c>
      <c r="V45" s="32" t="str">
        <f t="shared" si="46"/>
        <v/>
      </c>
      <c r="W45" s="32">
        <f t="shared" si="46"/>
        <v>9</v>
      </c>
      <c r="X45" s="32">
        <f t="shared" si="46"/>
        <v>11</v>
      </c>
      <c r="Y45" s="32">
        <f t="shared" si="46"/>
        <v>9</v>
      </c>
      <c r="Z45" s="32">
        <f t="shared" si="46"/>
        <v>9</v>
      </c>
      <c r="AA45" s="32" t="str">
        <f t="shared" si="46"/>
        <v>Not played</v>
      </c>
      <c r="AB45" s="32" t="str">
        <f t="shared" si="46"/>
        <v>Not played</v>
      </c>
    </row>
    <row r="46">
      <c r="A46" s="37">
        <f t="shared" si="4"/>
        <v>45</v>
      </c>
      <c r="B46" s="33" t="s">
        <v>138</v>
      </c>
      <c r="C46" s="32">
        <f t="shared" ref="C46:AB46" si="47">IFERROR(VLOOKUP($B46,indirect(text(C$1,"mm/dd/yy")&amp;"!B:L"),11,false),"Not played")</f>
        <v>16</v>
      </c>
      <c r="D46" s="32">
        <f t="shared" si="47"/>
        <v>9</v>
      </c>
      <c r="E46" s="32">
        <f t="shared" si="47"/>
        <v>13</v>
      </c>
      <c r="F46" s="32">
        <f t="shared" si="47"/>
        <v>16</v>
      </c>
      <c r="G46" s="32">
        <f t="shared" si="47"/>
        <v>9</v>
      </c>
      <c r="H46" s="32">
        <f t="shared" si="47"/>
        <v>14</v>
      </c>
      <c r="I46" s="32">
        <f t="shared" si="47"/>
        <v>9</v>
      </c>
      <c r="J46" s="32">
        <f t="shared" si="47"/>
        <v>13</v>
      </c>
      <c r="K46" s="32">
        <f t="shared" si="47"/>
        <v>9</v>
      </c>
      <c r="L46" s="32">
        <f t="shared" si="47"/>
        <v>14</v>
      </c>
      <c r="M46" s="32">
        <f t="shared" si="47"/>
        <v>9</v>
      </c>
      <c r="N46" s="32">
        <f t="shared" si="47"/>
        <v>9</v>
      </c>
      <c r="O46" s="32">
        <f t="shared" si="47"/>
        <v>14</v>
      </c>
      <c r="P46" s="32">
        <f t="shared" si="47"/>
        <v>13</v>
      </c>
      <c r="Q46" s="32">
        <f t="shared" si="47"/>
        <v>9</v>
      </c>
      <c r="R46" s="32">
        <f t="shared" si="47"/>
        <v>9</v>
      </c>
      <c r="S46" s="32">
        <f t="shared" si="47"/>
        <v>9</v>
      </c>
      <c r="T46" s="32">
        <f t="shared" si="47"/>
        <v>14</v>
      </c>
      <c r="U46" s="32">
        <f t="shared" si="47"/>
        <v>9</v>
      </c>
      <c r="V46" s="32" t="str">
        <f t="shared" si="47"/>
        <v/>
      </c>
      <c r="W46" s="32">
        <f t="shared" si="47"/>
        <v>9</v>
      </c>
      <c r="X46" s="32">
        <f t="shared" si="47"/>
        <v>9</v>
      </c>
      <c r="Y46" s="32">
        <f t="shared" si="47"/>
        <v>15</v>
      </c>
      <c r="Z46" s="32">
        <f t="shared" si="47"/>
        <v>13</v>
      </c>
      <c r="AA46" s="32" t="str">
        <f t="shared" si="47"/>
        <v>Not played</v>
      </c>
      <c r="AB46" s="32" t="str">
        <f t="shared" si="47"/>
        <v>Not played</v>
      </c>
    </row>
    <row r="47">
      <c r="A47" s="37">
        <f t="shared" si="4"/>
        <v>46</v>
      </c>
      <c r="B47" s="33" t="s">
        <v>105</v>
      </c>
      <c r="C47" s="32">
        <f t="shared" ref="C47:AB47" si="48">IFERROR(VLOOKUP($B47,indirect(text(C$1,"mm/dd/yy")&amp;"!B:L"),11,false),"Not played")</f>
        <v>18</v>
      </c>
      <c r="D47" s="32">
        <f t="shared" si="48"/>
        <v>18</v>
      </c>
      <c r="E47" s="32">
        <f t="shared" si="48"/>
        <v>9</v>
      </c>
      <c r="F47" s="32">
        <f t="shared" si="48"/>
        <v>9</v>
      </c>
      <c r="G47" s="32">
        <f t="shared" si="48"/>
        <v>9</v>
      </c>
      <c r="H47" s="32">
        <f t="shared" si="48"/>
        <v>7</v>
      </c>
      <c r="I47" s="32">
        <f t="shared" si="48"/>
        <v>9</v>
      </c>
      <c r="J47" s="32">
        <f t="shared" si="48"/>
        <v>9</v>
      </c>
      <c r="K47" s="32">
        <f t="shared" si="48"/>
        <v>9</v>
      </c>
      <c r="L47" s="32">
        <f t="shared" si="48"/>
        <v>9</v>
      </c>
      <c r="M47" s="32">
        <f t="shared" si="48"/>
        <v>9</v>
      </c>
      <c r="N47" s="32">
        <f t="shared" si="48"/>
        <v>9</v>
      </c>
      <c r="O47" s="32">
        <f t="shared" si="48"/>
        <v>9</v>
      </c>
      <c r="P47" s="32">
        <f t="shared" si="48"/>
        <v>9</v>
      </c>
      <c r="Q47" s="32">
        <f t="shared" si="48"/>
        <v>9</v>
      </c>
      <c r="R47" s="32">
        <f t="shared" si="48"/>
        <v>9</v>
      </c>
      <c r="S47" s="32">
        <f t="shared" si="48"/>
        <v>13</v>
      </c>
      <c r="T47" s="32">
        <f t="shared" si="48"/>
        <v>9</v>
      </c>
      <c r="U47" s="32">
        <f t="shared" si="48"/>
        <v>9</v>
      </c>
      <c r="V47" s="32" t="str">
        <f t="shared" si="48"/>
        <v/>
      </c>
      <c r="W47" s="32">
        <f t="shared" si="48"/>
        <v>9</v>
      </c>
      <c r="X47" s="32">
        <f t="shared" si="48"/>
        <v>9</v>
      </c>
      <c r="Y47" s="32">
        <f t="shared" si="48"/>
        <v>9</v>
      </c>
      <c r="Z47" s="32">
        <f t="shared" si="48"/>
        <v>9</v>
      </c>
      <c r="AA47" s="32" t="str">
        <f t="shared" si="48"/>
        <v>Not played</v>
      </c>
      <c r="AB47" s="32" t="str">
        <f t="shared" si="48"/>
        <v>Not played</v>
      </c>
    </row>
    <row r="48">
      <c r="A48" s="37">
        <f t="shared" si="4"/>
        <v>47</v>
      </c>
      <c r="B48" s="33" t="s">
        <v>90</v>
      </c>
      <c r="C48" s="32">
        <f t="shared" ref="C48:AB48" si="49">IFERROR(VLOOKUP($B48,indirect(text(C$1,"mm/dd/yy")&amp;"!B:L"),11,false),"Not played")</f>
        <v>13</v>
      </c>
      <c r="D48" s="32">
        <f t="shared" si="49"/>
        <v>18</v>
      </c>
      <c r="E48" s="32">
        <f t="shared" si="49"/>
        <v>13</v>
      </c>
      <c r="F48" s="32">
        <f t="shared" si="49"/>
        <v>18</v>
      </c>
      <c r="G48" s="32">
        <f t="shared" si="49"/>
        <v>10</v>
      </c>
      <c r="H48" s="32">
        <f t="shared" si="49"/>
        <v>9</v>
      </c>
      <c r="I48" s="32">
        <f t="shared" si="49"/>
        <v>7</v>
      </c>
      <c r="J48" s="32">
        <f t="shared" si="49"/>
        <v>14</v>
      </c>
      <c r="K48" s="32">
        <f t="shared" si="49"/>
        <v>14</v>
      </c>
      <c r="L48" s="32">
        <f t="shared" si="49"/>
        <v>15</v>
      </c>
      <c r="M48" s="32">
        <f t="shared" si="49"/>
        <v>18</v>
      </c>
      <c r="N48" s="32">
        <f t="shared" si="49"/>
        <v>19</v>
      </c>
      <c r="O48" s="32">
        <f t="shared" si="49"/>
        <v>12</v>
      </c>
      <c r="P48" s="32">
        <f t="shared" si="49"/>
        <v>9</v>
      </c>
      <c r="Q48" s="32">
        <f t="shared" si="49"/>
        <v>14</v>
      </c>
      <c r="R48" s="32">
        <f t="shared" si="49"/>
        <v>18</v>
      </c>
      <c r="S48" s="32">
        <f t="shared" si="49"/>
        <v>10</v>
      </c>
      <c r="T48" s="32">
        <f t="shared" si="49"/>
        <v>14</v>
      </c>
      <c r="U48" s="32">
        <f t="shared" si="49"/>
        <v>12</v>
      </c>
      <c r="V48" s="32" t="str">
        <f t="shared" si="49"/>
        <v/>
      </c>
      <c r="W48" s="32">
        <f t="shared" si="49"/>
        <v>16</v>
      </c>
      <c r="X48" s="32">
        <f t="shared" si="49"/>
        <v>10</v>
      </c>
      <c r="Y48" s="32">
        <f t="shared" si="49"/>
        <v>14</v>
      </c>
      <c r="Z48" s="32">
        <f t="shared" si="49"/>
        <v>13</v>
      </c>
      <c r="AA48" s="32" t="str">
        <f t="shared" si="49"/>
        <v>Not played</v>
      </c>
      <c r="AB48" s="32" t="str">
        <f t="shared" si="49"/>
        <v>Not played</v>
      </c>
    </row>
    <row r="49">
      <c r="A49" s="37">
        <f t="shared" si="4"/>
        <v>48</v>
      </c>
      <c r="B49" s="33" t="s">
        <v>139</v>
      </c>
      <c r="C49" s="32">
        <f t="shared" ref="C49:AB49" si="50">IFERROR(VLOOKUP($B49,indirect(text(C$1,"mm/dd/yy")&amp;"!B:L"),11,false),"Not played")</f>
        <v>9</v>
      </c>
      <c r="D49" s="32">
        <f t="shared" si="50"/>
        <v>9</v>
      </c>
      <c r="E49" s="32">
        <f t="shared" si="50"/>
        <v>9</v>
      </c>
      <c r="F49" s="32">
        <f t="shared" si="50"/>
        <v>18</v>
      </c>
      <c r="G49" s="32">
        <f t="shared" si="50"/>
        <v>9</v>
      </c>
      <c r="H49" s="32">
        <f t="shared" si="50"/>
        <v>11</v>
      </c>
      <c r="I49" s="32">
        <f t="shared" si="50"/>
        <v>12</v>
      </c>
      <c r="J49" s="32">
        <f t="shared" si="50"/>
        <v>9</v>
      </c>
      <c r="K49" s="32">
        <f t="shared" si="50"/>
        <v>9</v>
      </c>
      <c r="L49" s="32">
        <f t="shared" si="50"/>
        <v>9</v>
      </c>
      <c r="M49" s="32">
        <f t="shared" si="50"/>
        <v>6</v>
      </c>
      <c r="N49" s="32">
        <f t="shared" si="50"/>
        <v>10</v>
      </c>
      <c r="O49" s="32">
        <f t="shared" si="50"/>
        <v>16</v>
      </c>
      <c r="P49" s="32">
        <f t="shared" si="50"/>
        <v>18</v>
      </c>
      <c r="Q49" s="32">
        <f t="shared" si="50"/>
        <v>9</v>
      </c>
      <c r="R49" s="32">
        <f t="shared" si="50"/>
        <v>14</v>
      </c>
      <c r="S49" s="32">
        <f t="shared" si="50"/>
        <v>9</v>
      </c>
      <c r="T49" s="32">
        <f t="shared" si="50"/>
        <v>9</v>
      </c>
      <c r="U49" s="32">
        <f t="shared" si="50"/>
        <v>10</v>
      </c>
      <c r="V49" s="32" t="str">
        <f t="shared" si="50"/>
        <v/>
      </c>
      <c r="W49" s="32">
        <f t="shared" si="50"/>
        <v>9</v>
      </c>
      <c r="X49" s="32">
        <f t="shared" si="50"/>
        <v>9</v>
      </c>
      <c r="Y49" s="32">
        <f t="shared" si="50"/>
        <v>9</v>
      </c>
      <c r="Z49" s="32">
        <f t="shared" si="50"/>
        <v>14</v>
      </c>
      <c r="AA49" s="32" t="str">
        <f t="shared" si="50"/>
        <v>Not played</v>
      </c>
      <c r="AB49" s="32" t="str">
        <f t="shared" si="50"/>
        <v>Not played</v>
      </c>
    </row>
    <row r="50">
      <c r="A50" s="37">
        <f t="shared" si="4"/>
        <v>49</v>
      </c>
      <c r="B50" s="33" t="s">
        <v>140</v>
      </c>
      <c r="C50" s="32">
        <f t="shared" ref="C50:AB50" si="51">IFERROR(VLOOKUP($B50,indirect(text(C$1,"mm/dd/yy")&amp;"!B:L"),11,false),"Not played")</f>
        <v>9</v>
      </c>
      <c r="D50" s="32">
        <f t="shared" si="51"/>
        <v>9</v>
      </c>
      <c r="E50" s="32">
        <f t="shared" si="51"/>
        <v>9</v>
      </c>
      <c r="F50" s="32">
        <f t="shared" si="51"/>
        <v>9</v>
      </c>
      <c r="G50" s="32">
        <f t="shared" si="51"/>
        <v>9</v>
      </c>
      <c r="H50" s="32">
        <f t="shared" si="51"/>
        <v>9</v>
      </c>
      <c r="I50" s="32">
        <f t="shared" si="51"/>
        <v>9</v>
      </c>
      <c r="J50" s="32">
        <f t="shared" si="51"/>
        <v>9</v>
      </c>
      <c r="K50" s="32">
        <f t="shared" si="51"/>
        <v>9</v>
      </c>
      <c r="L50" s="32">
        <f t="shared" si="51"/>
        <v>9</v>
      </c>
      <c r="M50" s="32">
        <f t="shared" si="51"/>
        <v>13</v>
      </c>
      <c r="N50" s="32">
        <f t="shared" si="51"/>
        <v>9</v>
      </c>
      <c r="O50" s="32">
        <f t="shared" si="51"/>
        <v>9</v>
      </c>
      <c r="P50" s="32">
        <f t="shared" si="51"/>
        <v>16</v>
      </c>
      <c r="Q50" s="32">
        <f t="shared" si="51"/>
        <v>9</v>
      </c>
      <c r="R50" s="32">
        <f t="shared" si="51"/>
        <v>9</v>
      </c>
      <c r="S50" s="32">
        <f t="shared" si="51"/>
        <v>9</v>
      </c>
      <c r="T50" s="32">
        <f t="shared" si="51"/>
        <v>18</v>
      </c>
      <c r="U50" s="32">
        <f t="shared" si="51"/>
        <v>9</v>
      </c>
      <c r="V50" s="32" t="str">
        <f t="shared" si="51"/>
        <v/>
      </c>
      <c r="W50" s="32">
        <f t="shared" si="51"/>
        <v>10</v>
      </c>
      <c r="X50" s="32">
        <f t="shared" si="51"/>
        <v>17</v>
      </c>
      <c r="Y50" s="32">
        <f t="shared" si="51"/>
        <v>9</v>
      </c>
      <c r="Z50" s="32">
        <f t="shared" si="51"/>
        <v>9</v>
      </c>
      <c r="AA50" s="32" t="str">
        <f t="shared" si="51"/>
        <v>Not played</v>
      </c>
      <c r="AB50" s="32" t="str">
        <f t="shared" si="51"/>
        <v>Not played</v>
      </c>
    </row>
    <row r="51">
      <c r="A51" s="37">
        <f t="shared" si="4"/>
        <v>50</v>
      </c>
      <c r="B51" s="33" t="s">
        <v>141</v>
      </c>
      <c r="C51" s="32">
        <f t="shared" ref="C51:AB51" si="52">IFERROR(VLOOKUP($B51,indirect(text(C$1,"mm/dd/yy")&amp;"!B:L"),11,false),"Not played")</f>
        <v>9</v>
      </c>
      <c r="D51" s="32">
        <f t="shared" si="52"/>
        <v>9</v>
      </c>
      <c r="E51" s="32">
        <f t="shared" si="52"/>
        <v>9</v>
      </c>
      <c r="F51" s="32">
        <f t="shared" si="52"/>
        <v>9</v>
      </c>
      <c r="G51" s="32">
        <f t="shared" si="52"/>
        <v>9</v>
      </c>
      <c r="H51" s="32">
        <f t="shared" si="52"/>
        <v>9</v>
      </c>
      <c r="I51" s="32">
        <f t="shared" si="52"/>
        <v>9</v>
      </c>
      <c r="J51" s="32">
        <f t="shared" si="52"/>
        <v>7</v>
      </c>
      <c r="K51" s="32">
        <f t="shared" si="52"/>
        <v>9</v>
      </c>
      <c r="L51" s="32">
        <f t="shared" si="52"/>
        <v>9</v>
      </c>
      <c r="M51" s="32">
        <f t="shared" si="52"/>
        <v>9</v>
      </c>
      <c r="N51" s="32">
        <f t="shared" si="52"/>
        <v>17</v>
      </c>
      <c r="O51" s="32">
        <f t="shared" si="52"/>
        <v>9</v>
      </c>
      <c r="P51" s="32">
        <f t="shared" si="52"/>
        <v>9</v>
      </c>
      <c r="Q51" s="32">
        <f t="shared" si="52"/>
        <v>12</v>
      </c>
      <c r="R51" s="32">
        <f t="shared" si="52"/>
        <v>9</v>
      </c>
      <c r="S51" s="32">
        <f t="shared" si="52"/>
        <v>9</v>
      </c>
      <c r="T51" s="32">
        <f t="shared" si="52"/>
        <v>9</v>
      </c>
      <c r="U51" s="32">
        <f t="shared" si="52"/>
        <v>9</v>
      </c>
      <c r="V51" s="32" t="str">
        <f t="shared" si="52"/>
        <v/>
      </c>
      <c r="W51" s="32">
        <f t="shared" si="52"/>
        <v>9</v>
      </c>
      <c r="X51" s="32">
        <f t="shared" si="52"/>
        <v>9</v>
      </c>
      <c r="Y51" s="32">
        <f t="shared" si="52"/>
        <v>9</v>
      </c>
      <c r="Z51" s="32">
        <f t="shared" si="52"/>
        <v>9</v>
      </c>
      <c r="AA51" s="32" t="str">
        <f t="shared" si="52"/>
        <v>Not played</v>
      </c>
      <c r="AB51" s="32" t="str">
        <f t="shared" si="52"/>
        <v>Not played</v>
      </c>
    </row>
    <row r="52">
      <c r="A52" s="37">
        <f t="shared" si="4"/>
        <v>51</v>
      </c>
      <c r="B52" s="33" t="s">
        <v>142</v>
      </c>
      <c r="C52" s="32">
        <f t="shared" ref="C52:AB52" si="53">IFERROR(VLOOKUP($B52,indirect(text(C$1,"mm/dd/yy")&amp;"!B:L"),11,false),"Not played")</f>
        <v>12</v>
      </c>
      <c r="D52" s="32">
        <f t="shared" si="53"/>
        <v>8</v>
      </c>
      <c r="E52" s="32">
        <f t="shared" si="53"/>
        <v>9</v>
      </c>
      <c r="F52" s="32">
        <f t="shared" si="53"/>
        <v>9</v>
      </c>
      <c r="G52" s="32">
        <f t="shared" si="53"/>
        <v>9</v>
      </c>
      <c r="H52" s="32">
        <f t="shared" si="53"/>
        <v>9</v>
      </c>
      <c r="I52" s="32">
        <f t="shared" si="53"/>
        <v>9</v>
      </c>
      <c r="J52" s="32">
        <f t="shared" si="53"/>
        <v>13</v>
      </c>
      <c r="K52" s="32">
        <f t="shared" si="53"/>
        <v>13</v>
      </c>
      <c r="L52" s="32">
        <f t="shared" si="53"/>
        <v>9</v>
      </c>
      <c r="M52" s="32">
        <f t="shared" si="53"/>
        <v>14</v>
      </c>
      <c r="N52" s="32">
        <f t="shared" si="53"/>
        <v>8</v>
      </c>
      <c r="O52" s="32">
        <f t="shared" si="53"/>
        <v>9</v>
      </c>
      <c r="P52" s="32">
        <f t="shared" si="53"/>
        <v>9</v>
      </c>
      <c r="Q52" s="32">
        <f t="shared" si="53"/>
        <v>9</v>
      </c>
      <c r="R52" s="32">
        <f t="shared" si="53"/>
        <v>9</v>
      </c>
      <c r="S52" s="32">
        <f t="shared" si="53"/>
        <v>9</v>
      </c>
      <c r="T52" s="32">
        <f t="shared" si="53"/>
        <v>12</v>
      </c>
      <c r="U52" s="32">
        <f t="shared" si="53"/>
        <v>9</v>
      </c>
      <c r="V52" s="32" t="str">
        <f t="shared" si="53"/>
        <v/>
      </c>
      <c r="W52" s="32">
        <f t="shared" si="53"/>
        <v>9</v>
      </c>
      <c r="X52" s="32">
        <f t="shared" si="53"/>
        <v>9</v>
      </c>
      <c r="Y52" s="32">
        <f t="shared" si="53"/>
        <v>10</v>
      </c>
      <c r="Z52" s="32">
        <f t="shared" si="53"/>
        <v>9</v>
      </c>
      <c r="AA52" s="32" t="str">
        <f t="shared" si="53"/>
        <v>Not played</v>
      </c>
      <c r="AB52" s="32" t="str">
        <f t="shared" si="53"/>
        <v>Not played</v>
      </c>
    </row>
    <row r="53">
      <c r="A53" s="37">
        <f t="shared" si="4"/>
        <v>52</v>
      </c>
      <c r="B53" s="33" t="s">
        <v>87</v>
      </c>
      <c r="C53" s="32">
        <f t="shared" ref="C53:AB53" si="54">IFERROR(VLOOKUP($B53,indirect(text(C$1,"mm/dd/yy")&amp;"!B:L"),11,false),"Not played")</f>
        <v>9</v>
      </c>
      <c r="D53" s="32">
        <f t="shared" si="54"/>
        <v>14</v>
      </c>
      <c r="E53" s="32">
        <f t="shared" si="54"/>
        <v>19</v>
      </c>
      <c r="F53" s="32">
        <f t="shared" si="54"/>
        <v>10</v>
      </c>
      <c r="G53" s="32">
        <f t="shared" si="54"/>
        <v>11</v>
      </c>
      <c r="H53" s="32">
        <f t="shared" si="54"/>
        <v>19</v>
      </c>
      <c r="I53" s="32">
        <f t="shared" si="54"/>
        <v>9</v>
      </c>
      <c r="J53" s="32">
        <f t="shared" si="54"/>
        <v>17</v>
      </c>
      <c r="K53" s="32">
        <f t="shared" si="54"/>
        <v>14</v>
      </c>
      <c r="L53" s="32">
        <f t="shared" si="54"/>
        <v>9</v>
      </c>
      <c r="M53" s="32">
        <f t="shared" si="54"/>
        <v>12</v>
      </c>
      <c r="N53" s="32">
        <f t="shared" si="54"/>
        <v>16</v>
      </c>
      <c r="O53" s="32">
        <f t="shared" si="54"/>
        <v>12</v>
      </c>
      <c r="P53" s="32">
        <f t="shared" si="54"/>
        <v>13</v>
      </c>
      <c r="Q53" s="32">
        <f t="shared" si="54"/>
        <v>8</v>
      </c>
      <c r="R53" s="32">
        <f t="shared" si="54"/>
        <v>9</v>
      </c>
      <c r="S53" s="32">
        <f t="shared" si="54"/>
        <v>13</v>
      </c>
      <c r="T53" s="32">
        <f t="shared" si="54"/>
        <v>9</v>
      </c>
      <c r="U53" s="32">
        <f t="shared" si="54"/>
        <v>14</v>
      </c>
      <c r="V53" s="32" t="str">
        <f t="shared" si="54"/>
        <v/>
      </c>
      <c r="W53" s="32">
        <f t="shared" si="54"/>
        <v>18</v>
      </c>
      <c r="X53" s="32">
        <f t="shared" si="54"/>
        <v>16</v>
      </c>
      <c r="Y53" s="32">
        <f t="shared" si="54"/>
        <v>9</v>
      </c>
      <c r="Z53" s="32">
        <f t="shared" si="54"/>
        <v>9</v>
      </c>
      <c r="AA53" s="32" t="str">
        <f t="shared" si="54"/>
        <v>Not played</v>
      </c>
      <c r="AB53" s="32" t="str">
        <f t="shared" si="54"/>
        <v>Not played</v>
      </c>
    </row>
    <row r="54">
      <c r="A54" s="37">
        <f t="shared" si="4"/>
        <v>53</v>
      </c>
      <c r="B54" s="33" t="s">
        <v>106</v>
      </c>
      <c r="C54" s="32">
        <f t="shared" ref="C54:AB54" si="55">IFERROR(VLOOKUP($B54,indirect(text(C$1,"mm/dd/yy")&amp;"!B:L"),11,false),"Not played")</f>
        <v>19</v>
      </c>
      <c r="D54" s="32">
        <f t="shared" si="55"/>
        <v>11</v>
      </c>
      <c r="E54" s="32">
        <f t="shared" si="55"/>
        <v>13</v>
      </c>
      <c r="F54" s="32">
        <f t="shared" si="55"/>
        <v>9</v>
      </c>
      <c r="G54" s="32">
        <f t="shared" si="55"/>
        <v>9</v>
      </c>
      <c r="H54" s="32">
        <f t="shared" si="55"/>
        <v>14</v>
      </c>
      <c r="I54" s="32">
        <f t="shared" si="55"/>
        <v>10</v>
      </c>
      <c r="J54" s="32">
        <f t="shared" si="55"/>
        <v>11</v>
      </c>
      <c r="K54" s="32">
        <f t="shared" si="55"/>
        <v>19</v>
      </c>
      <c r="L54" s="32">
        <f t="shared" si="55"/>
        <v>16</v>
      </c>
      <c r="M54" s="32">
        <f t="shared" si="55"/>
        <v>16</v>
      </c>
      <c r="N54" s="32">
        <f t="shared" si="55"/>
        <v>14</v>
      </c>
      <c r="O54" s="32">
        <f t="shared" si="55"/>
        <v>4</v>
      </c>
      <c r="P54" s="32">
        <f t="shared" si="55"/>
        <v>8</v>
      </c>
      <c r="Q54" s="32">
        <f t="shared" si="55"/>
        <v>11</v>
      </c>
      <c r="R54" s="32">
        <f t="shared" si="55"/>
        <v>9</v>
      </c>
      <c r="S54" s="32">
        <f t="shared" si="55"/>
        <v>9</v>
      </c>
      <c r="T54" s="32">
        <f t="shared" si="55"/>
        <v>9</v>
      </c>
      <c r="U54" s="32">
        <f t="shared" si="55"/>
        <v>9</v>
      </c>
      <c r="V54" s="32" t="str">
        <f t="shared" si="55"/>
        <v/>
      </c>
      <c r="W54" s="32">
        <f t="shared" si="55"/>
        <v>14</v>
      </c>
      <c r="X54" s="32">
        <f t="shared" si="55"/>
        <v>13</v>
      </c>
      <c r="Y54" s="32">
        <f t="shared" si="55"/>
        <v>9</v>
      </c>
      <c r="Z54" s="32">
        <f t="shared" si="55"/>
        <v>15</v>
      </c>
      <c r="AA54" s="32" t="str">
        <f t="shared" si="55"/>
        <v>Not played</v>
      </c>
      <c r="AB54" s="32" t="str">
        <f t="shared" si="55"/>
        <v>Not played</v>
      </c>
    </row>
    <row r="55">
      <c r="A55" s="37">
        <f t="shared" si="4"/>
        <v>54</v>
      </c>
      <c r="B55" s="33" t="s">
        <v>65</v>
      </c>
      <c r="C55" s="32">
        <f t="shared" ref="C55:AB55" si="56">IFERROR(VLOOKUP($B55,indirect(text(C$1,"mm/dd/yy")&amp;"!B:L"),11,false),"Not played")</f>
        <v>9</v>
      </c>
      <c r="D55" s="32">
        <f t="shared" si="56"/>
        <v>14</v>
      </c>
      <c r="E55" s="32">
        <f t="shared" si="56"/>
        <v>9</v>
      </c>
      <c r="F55" s="32">
        <f t="shared" si="56"/>
        <v>9</v>
      </c>
      <c r="G55" s="32">
        <f t="shared" si="56"/>
        <v>18</v>
      </c>
      <c r="H55" s="32">
        <f t="shared" si="56"/>
        <v>18</v>
      </c>
      <c r="I55" s="32">
        <f t="shared" si="56"/>
        <v>18</v>
      </c>
      <c r="J55" s="32">
        <f t="shared" si="56"/>
        <v>13</v>
      </c>
      <c r="K55" s="32">
        <f t="shared" si="56"/>
        <v>9</v>
      </c>
      <c r="L55" s="32">
        <f t="shared" si="56"/>
        <v>9</v>
      </c>
      <c r="M55" s="32">
        <f t="shared" si="56"/>
        <v>9</v>
      </c>
      <c r="N55" s="32">
        <f t="shared" si="56"/>
        <v>9</v>
      </c>
      <c r="O55" s="32">
        <f t="shared" si="56"/>
        <v>9</v>
      </c>
      <c r="P55" s="32">
        <f t="shared" si="56"/>
        <v>9</v>
      </c>
      <c r="Q55" s="32">
        <f t="shared" si="56"/>
        <v>18</v>
      </c>
      <c r="R55" s="32">
        <f t="shared" si="56"/>
        <v>9</v>
      </c>
      <c r="S55" s="32">
        <f t="shared" si="56"/>
        <v>15</v>
      </c>
      <c r="T55" s="32">
        <f t="shared" si="56"/>
        <v>15</v>
      </c>
      <c r="U55" s="32">
        <f t="shared" si="56"/>
        <v>18</v>
      </c>
      <c r="V55" s="32" t="str">
        <f t="shared" si="56"/>
        <v/>
      </c>
      <c r="W55" s="32">
        <f t="shared" si="56"/>
        <v>17</v>
      </c>
      <c r="X55" s="32">
        <f t="shared" si="56"/>
        <v>12</v>
      </c>
      <c r="Y55" s="32">
        <f t="shared" si="56"/>
        <v>12</v>
      </c>
      <c r="Z55" s="32">
        <f t="shared" si="56"/>
        <v>15</v>
      </c>
      <c r="AA55" s="32" t="str">
        <f t="shared" si="56"/>
        <v>Not played</v>
      </c>
      <c r="AB55" s="32" t="str">
        <f t="shared" si="56"/>
        <v>Not played</v>
      </c>
    </row>
    <row r="56">
      <c r="A56" s="37">
        <f t="shared" si="4"/>
        <v>55</v>
      </c>
      <c r="B56" s="33" t="s">
        <v>69</v>
      </c>
      <c r="C56" s="32">
        <f t="shared" ref="C56:AB56" si="57">IFERROR(VLOOKUP($B56,indirect(text(C$1,"mm/dd/yy")&amp;"!B:L"),11,false),"Not played")</f>
        <v>9</v>
      </c>
      <c r="D56" s="32">
        <f t="shared" si="57"/>
        <v>9</v>
      </c>
      <c r="E56" s="32">
        <f t="shared" si="57"/>
        <v>9</v>
      </c>
      <c r="F56" s="32">
        <f t="shared" si="57"/>
        <v>9</v>
      </c>
      <c r="G56" s="32">
        <f t="shared" si="57"/>
        <v>9</v>
      </c>
      <c r="H56" s="32">
        <f t="shared" si="57"/>
        <v>9</v>
      </c>
      <c r="I56" s="32">
        <f t="shared" si="57"/>
        <v>9</v>
      </c>
      <c r="J56" s="32">
        <f t="shared" si="57"/>
        <v>9</v>
      </c>
      <c r="K56" s="32">
        <f t="shared" si="57"/>
        <v>9</v>
      </c>
      <c r="L56" s="32">
        <f t="shared" si="57"/>
        <v>18</v>
      </c>
      <c r="M56" s="32">
        <f t="shared" si="57"/>
        <v>13</v>
      </c>
      <c r="N56" s="32">
        <f t="shared" si="57"/>
        <v>9</v>
      </c>
      <c r="O56" s="32">
        <f t="shared" si="57"/>
        <v>9</v>
      </c>
      <c r="P56" s="32">
        <f t="shared" si="57"/>
        <v>9</v>
      </c>
      <c r="Q56" s="32">
        <f t="shared" si="57"/>
        <v>13</v>
      </c>
      <c r="R56" s="32">
        <f t="shared" si="57"/>
        <v>9</v>
      </c>
      <c r="S56" s="32">
        <f t="shared" si="57"/>
        <v>9</v>
      </c>
      <c r="T56" s="32">
        <f t="shared" si="57"/>
        <v>9</v>
      </c>
      <c r="U56" s="32">
        <f t="shared" si="57"/>
        <v>9</v>
      </c>
      <c r="V56" s="32" t="str">
        <f t="shared" si="57"/>
        <v/>
      </c>
      <c r="W56" s="32">
        <f t="shared" si="57"/>
        <v>9</v>
      </c>
      <c r="X56" s="32">
        <f t="shared" si="57"/>
        <v>9</v>
      </c>
      <c r="Y56" s="32">
        <f t="shared" si="57"/>
        <v>9</v>
      </c>
      <c r="Z56" s="32">
        <f t="shared" si="57"/>
        <v>9</v>
      </c>
      <c r="AA56" s="32" t="str">
        <f t="shared" si="57"/>
        <v>Not played</v>
      </c>
      <c r="AB56" s="32" t="str">
        <f t="shared" si="57"/>
        <v>Not played</v>
      </c>
    </row>
    <row r="57">
      <c r="A57" s="37">
        <f t="shared" si="4"/>
        <v>56</v>
      </c>
      <c r="B57" s="33" t="s">
        <v>97</v>
      </c>
      <c r="C57" s="32">
        <f t="shared" ref="C57:AB57" si="58">IFERROR(VLOOKUP($B57,indirect(text(C$1,"mm/dd/yy")&amp;"!B:L"),11,false),"Not played")</f>
        <v>15</v>
      </c>
      <c r="D57" s="32">
        <f t="shared" si="58"/>
        <v>8</v>
      </c>
      <c r="E57" s="32">
        <f t="shared" si="58"/>
        <v>9</v>
      </c>
      <c r="F57" s="32">
        <f t="shared" si="58"/>
        <v>18</v>
      </c>
      <c r="G57" s="32">
        <f t="shared" si="58"/>
        <v>9</v>
      </c>
      <c r="H57" s="32">
        <f t="shared" si="58"/>
        <v>19</v>
      </c>
      <c r="I57" s="32">
        <f t="shared" si="58"/>
        <v>19</v>
      </c>
      <c r="J57" s="32">
        <f t="shared" si="58"/>
        <v>13</v>
      </c>
      <c r="K57" s="32">
        <f t="shared" si="58"/>
        <v>9</v>
      </c>
      <c r="L57" s="32">
        <f t="shared" si="58"/>
        <v>9</v>
      </c>
      <c r="M57" s="32">
        <f t="shared" si="58"/>
        <v>18</v>
      </c>
      <c r="N57" s="32">
        <f t="shared" si="58"/>
        <v>9</v>
      </c>
      <c r="O57" s="32">
        <f t="shared" si="58"/>
        <v>14</v>
      </c>
      <c r="P57" s="32">
        <f t="shared" si="58"/>
        <v>11</v>
      </c>
      <c r="Q57" s="32">
        <f t="shared" si="58"/>
        <v>9</v>
      </c>
      <c r="R57" s="32">
        <f t="shared" si="58"/>
        <v>9</v>
      </c>
      <c r="S57" s="32">
        <f t="shared" si="58"/>
        <v>9</v>
      </c>
      <c r="T57" s="32">
        <f t="shared" si="58"/>
        <v>19</v>
      </c>
      <c r="U57" s="32">
        <f t="shared" si="58"/>
        <v>17</v>
      </c>
      <c r="V57" s="32" t="str">
        <f t="shared" si="58"/>
        <v/>
      </c>
      <c r="W57" s="32">
        <f t="shared" si="58"/>
        <v>10</v>
      </c>
      <c r="X57" s="32">
        <f t="shared" si="58"/>
        <v>9</v>
      </c>
      <c r="Y57" s="32">
        <f t="shared" si="58"/>
        <v>9</v>
      </c>
      <c r="Z57" s="32">
        <f t="shared" si="58"/>
        <v>15</v>
      </c>
      <c r="AA57" s="32" t="str">
        <f t="shared" si="58"/>
        <v>Not played</v>
      </c>
      <c r="AB57" s="32" t="str">
        <f t="shared" si="58"/>
        <v>Not played</v>
      </c>
    </row>
    <row r="58">
      <c r="A58" s="37">
        <f t="shared" si="4"/>
        <v>57</v>
      </c>
      <c r="B58" s="33" t="s">
        <v>133</v>
      </c>
      <c r="C58" s="32">
        <f t="shared" ref="C58:AB58" si="59">IFERROR(VLOOKUP($B58,indirect(text(C$1,"mm/dd/yy")&amp;"!B:L"),11,false),"Not played")</f>
        <v>13</v>
      </c>
      <c r="D58" s="32">
        <f t="shared" si="59"/>
        <v>9</v>
      </c>
      <c r="E58" s="32">
        <f t="shared" si="59"/>
        <v>9</v>
      </c>
      <c r="F58" s="32">
        <f t="shared" si="59"/>
        <v>9</v>
      </c>
      <c r="G58" s="32">
        <f t="shared" si="59"/>
        <v>9</v>
      </c>
      <c r="H58" s="32">
        <f t="shared" si="59"/>
        <v>18</v>
      </c>
      <c r="I58" s="32">
        <f t="shared" si="59"/>
        <v>9</v>
      </c>
      <c r="J58" s="32">
        <f t="shared" si="59"/>
        <v>13</v>
      </c>
      <c r="K58" s="32">
        <f t="shared" si="59"/>
        <v>18</v>
      </c>
      <c r="L58" s="32">
        <f t="shared" si="59"/>
        <v>20</v>
      </c>
      <c r="M58" s="32">
        <f t="shared" si="59"/>
        <v>9</v>
      </c>
      <c r="N58" s="32">
        <f t="shared" si="59"/>
        <v>0</v>
      </c>
      <c r="O58" s="32">
        <f t="shared" si="59"/>
        <v>13</v>
      </c>
      <c r="P58" s="32">
        <f t="shared" si="59"/>
        <v>18</v>
      </c>
      <c r="Q58" s="32">
        <f t="shared" si="59"/>
        <v>12</v>
      </c>
      <c r="R58" s="32">
        <f t="shared" si="59"/>
        <v>15</v>
      </c>
      <c r="S58" s="32">
        <f t="shared" si="59"/>
        <v>15</v>
      </c>
      <c r="T58" s="32">
        <f t="shared" si="59"/>
        <v>10</v>
      </c>
      <c r="U58" s="32">
        <f t="shared" si="59"/>
        <v>15</v>
      </c>
      <c r="V58" s="32" t="str">
        <f t="shared" si="59"/>
        <v/>
      </c>
      <c r="W58" s="32">
        <f t="shared" si="59"/>
        <v>12</v>
      </c>
      <c r="X58" s="32">
        <f t="shared" si="59"/>
        <v>16</v>
      </c>
      <c r="Y58" s="32">
        <f t="shared" si="59"/>
        <v>9</v>
      </c>
      <c r="Z58" s="32">
        <f t="shared" si="59"/>
        <v>12</v>
      </c>
      <c r="AA58" s="32" t="str">
        <f t="shared" si="59"/>
        <v>Not played</v>
      </c>
      <c r="AB58" s="32" t="str">
        <f t="shared" si="59"/>
        <v>Not played</v>
      </c>
    </row>
    <row r="59">
      <c r="A59" s="37">
        <f t="shared" si="4"/>
        <v>58</v>
      </c>
      <c r="B59" s="33" t="s">
        <v>107</v>
      </c>
      <c r="C59" s="32">
        <f t="shared" ref="C59:AB59" si="60">IFERROR(VLOOKUP($B59,indirect(text(C$1,"mm/dd/yy")&amp;"!B:L"),11,false),"Not played")</f>
        <v>13</v>
      </c>
      <c r="D59" s="32">
        <f t="shared" si="60"/>
        <v>9</v>
      </c>
      <c r="E59" s="32">
        <f t="shared" si="60"/>
        <v>18</v>
      </c>
      <c r="F59" s="32">
        <f t="shared" si="60"/>
        <v>9</v>
      </c>
      <c r="G59" s="32">
        <f t="shared" si="60"/>
        <v>18</v>
      </c>
      <c r="H59" s="32">
        <f t="shared" si="60"/>
        <v>17</v>
      </c>
      <c r="I59" s="32">
        <f t="shared" si="60"/>
        <v>18</v>
      </c>
      <c r="J59" s="32">
        <f t="shared" si="60"/>
        <v>6</v>
      </c>
      <c r="K59" s="32">
        <f t="shared" si="60"/>
        <v>17</v>
      </c>
      <c r="L59" s="32">
        <f t="shared" si="60"/>
        <v>16</v>
      </c>
      <c r="M59" s="32">
        <f t="shared" si="60"/>
        <v>9</v>
      </c>
      <c r="N59" s="32">
        <f t="shared" si="60"/>
        <v>13</v>
      </c>
      <c r="O59" s="32">
        <f t="shared" si="60"/>
        <v>19</v>
      </c>
      <c r="P59" s="32">
        <f t="shared" si="60"/>
        <v>9</v>
      </c>
      <c r="Q59" s="32">
        <f t="shared" si="60"/>
        <v>18</v>
      </c>
      <c r="R59" s="32">
        <f t="shared" si="60"/>
        <v>12</v>
      </c>
      <c r="S59" s="32">
        <f t="shared" si="60"/>
        <v>9</v>
      </c>
      <c r="T59" s="32">
        <f t="shared" si="60"/>
        <v>9</v>
      </c>
      <c r="U59" s="32">
        <f t="shared" si="60"/>
        <v>9</v>
      </c>
      <c r="V59" s="32" t="str">
        <f t="shared" si="60"/>
        <v/>
      </c>
      <c r="W59" s="32">
        <f t="shared" si="60"/>
        <v>9</v>
      </c>
      <c r="X59" s="32">
        <f t="shared" si="60"/>
        <v>9</v>
      </c>
      <c r="Y59" s="32">
        <f t="shared" si="60"/>
        <v>9</v>
      </c>
      <c r="Z59" s="32">
        <f t="shared" si="60"/>
        <v>9</v>
      </c>
      <c r="AA59" s="32" t="str">
        <f t="shared" si="60"/>
        <v>Not played</v>
      </c>
      <c r="AB59" s="32" t="str">
        <f t="shared" si="60"/>
        <v>Not played</v>
      </c>
    </row>
    <row r="60">
      <c r="A60" s="37">
        <f t="shared" si="4"/>
        <v>59</v>
      </c>
      <c r="B60" s="33" t="s">
        <v>144</v>
      </c>
      <c r="C60" s="32">
        <f t="shared" ref="C60:AB60" si="61">IFERROR(VLOOKUP($B60,indirect(text(C$1,"mm/dd/yy")&amp;"!B:L"),11,false),"Not played")</f>
        <v>10</v>
      </c>
      <c r="D60" s="32">
        <f t="shared" si="61"/>
        <v>19</v>
      </c>
      <c r="E60" s="32">
        <f t="shared" si="61"/>
        <v>9</v>
      </c>
      <c r="F60" s="32">
        <f t="shared" si="61"/>
        <v>9</v>
      </c>
      <c r="G60" s="32">
        <f t="shared" si="61"/>
        <v>13</v>
      </c>
      <c r="H60" s="32">
        <f t="shared" si="61"/>
        <v>9</v>
      </c>
      <c r="I60" s="32">
        <f t="shared" si="61"/>
        <v>7</v>
      </c>
      <c r="J60" s="32">
        <f t="shared" si="61"/>
        <v>9</v>
      </c>
      <c r="K60" s="32">
        <f t="shared" si="61"/>
        <v>9</v>
      </c>
      <c r="L60" s="32">
        <f t="shared" si="61"/>
        <v>11</v>
      </c>
      <c r="M60" s="32">
        <f t="shared" si="61"/>
        <v>9</v>
      </c>
      <c r="N60" s="32">
        <f t="shared" si="61"/>
        <v>9</v>
      </c>
      <c r="O60" s="32">
        <f t="shared" si="61"/>
        <v>13</v>
      </c>
      <c r="P60" s="32">
        <f t="shared" si="61"/>
        <v>12</v>
      </c>
      <c r="Q60" s="32">
        <f t="shared" si="61"/>
        <v>9</v>
      </c>
      <c r="R60" s="32">
        <f t="shared" si="61"/>
        <v>9</v>
      </c>
      <c r="S60" s="32">
        <f t="shared" si="61"/>
        <v>9</v>
      </c>
      <c r="T60" s="32">
        <f t="shared" si="61"/>
        <v>9</v>
      </c>
      <c r="U60" s="32">
        <f t="shared" si="61"/>
        <v>9</v>
      </c>
      <c r="V60" s="32" t="str">
        <f t="shared" si="61"/>
        <v/>
      </c>
      <c r="W60" s="32">
        <f t="shared" si="61"/>
        <v>9</v>
      </c>
      <c r="X60" s="32">
        <f t="shared" si="61"/>
        <v>9</v>
      </c>
      <c r="Y60" s="32">
        <f t="shared" si="61"/>
        <v>9</v>
      </c>
      <c r="Z60" s="32">
        <f t="shared" si="61"/>
        <v>12</v>
      </c>
      <c r="AA60" s="32" t="str">
        <f t="shared" si="61"/>
        <v>Not played</v>
      </c>
      <c r="AB60" s="32" t="str">
        <f t="shared" si="61"/>
        <v>Not played</v>
      </c>
    </row>
    <row r="61">
      <c r="A61" s="37">
        <f t="shared" si="4"/>
        <v>60</v>
      </c>
      <c r="B61" s="33" t="s">
        <v>143</v>
      </c>
      <c r="C61" s="32">
        <f t="shared" ref="C61:AB61" si="62">IFERROR(VLOOKUP($B61,indirect(text(C$1,"mm/dd/yy")&amp;"!B:L"),11,false),"Not played")</f>
        <v>14</v>
      </c>
      <c r="D61" s="32">
        <f t="shared" si="62"/>
        <v>9</v>
      </c>
      <c r="E61" s="32">
        <f t="shared" si="62"/>
        <v>9</v>
      </c>
      <c r="F61" s="32">
        <f t="shared" si="62"/>
        <v>9</v>
      </c>
      <c r="G61" s="32">
        <f t="shared" si="62"/>
        <v>9</v>
      </c>
      <c r="H61" s="32">
        <f t="shared" si="62"/>
        <v>15</v>
      </c>
      <c r="I61" s="32">
        <f t="shared" si="62"/>
        <v>16</v>
      </c>
      <c r="J61" s="32">
        <f t="shared" si="62"/>
        <v>9</v>
      </c>
      <c r="K61" s="32">
        <f t="shared" si="62"/>
        <v>9</v>
      </c>
      <c r="L61" s="32">
        <f t="shared" si="62"/>
        <v>9</v>
      </c>
      <c r="M61" s="32">
        <f t="shared" si="62"/>
        <v>9</v>
      </c>
      <c r="N61" s="32">
        <f t="shared" si="62"/>
        <v>9</v>
      </c>
      <c r="O61" s="32">
        <f t="shared" si="62"/>
        <v>9</v>
      </c>
      <c r="P61" s="32">
        <f t="shared" si="62"/>
        <v>9</v>
      </c>
      <c r="Q61" s="32">
        <f t="shared" si="62"/>
        <v>16</v>
      </c>
      <c r="R61" s="32">
        <f t="shared" si="62"/>
        <v>9</v>
      </c>
      <c r="S61" s="32">
        <f t="shared" si="62"/>
        <v>9</v>
      </c>
      <c r="T61" s="32">
        <f t="shared" si="62"/>
        <v>9</v>
      </c>
      <c r="U61" s="32">
        <f t="shared" si="62"/>
        <v>9</v>
      </c>
      <c r="V61" s="32" t="str">
        <f t="shared" si="62"/>
        <v/>
      </c>
      <c r="W61" s="32">
        <f t="shared" si="62"/>
        <v>9</v>
      </c>
      <c r="X61" s="32">
        <f t="shared" si="62"/>
        <v>9</v>
      </c>
      <c r="Y61" s="32">
        <f t="shared" si="62"/>
        <v>9</v>
      </c>
      <c r="Z61" s="32">
        <f t="shared" si="62"/>
        <v>9</v>
      </c>
      <c r="AA61" s="32" t="str">
        <f t="shared" si="62"/>
        <v>Not played</v>
      </c>
      <c r="AB61" s="32" t="str">
        <f t="shared" si="62"/>
        <v>Not played</v>
      </c>
    </row>
    <row r="62">
      <c r="A62" s="37">
        <f t="shared" si="4"/>
        <v>61</v>
      </c>
      <c r="B62" s="33" t="s">
        <v>147</v>
      </c>
      <c r="C62" s="32">
        <f t="shared" ref="C62:AB62" si="63">IFERROR(VLOOKUP($B62,indirect(text(C$1,"mm/dd/yy")&amp;"!B:L"),11,false),"Not played")</f>
        <v>9</v>
      </c>
      <c r="D62" s="32">
        <f t="shared" si="63"/>
        <v>12</v>
      </c>
      <c r="E62" s="32">
        <f t="shared" si="63"/>
        <v>9</v>
      </c>
      <c r="F62" s="32">
        <f t="shared" si="63"/>
        <v>8</v>
      </c>
      <c r="G62" s="32">
        <f t="shared" si="63"/>
        <v>9</v>
      </c>
      <c r="H62" s="32">
        <f t="shared" si="63"/>
        <v>9</v>
      </c>
      <c r="I62" s="32">
        <f t="shared" si="63"/>
        <v>9</v>
      </c>
      <c r="J62" s="32">
        <f t="shared" si="63"/>
        <v>9</v>
      </c>
      <c r="K62" s="32">
        <f t="shared" si="63"/>
        <v>9</v>
      </c>
      <c r="L62" s="32">
        <f t="shared" si="63"/>
        <v>9</v>
      </c>
      <c r="M62" s="32">
        <f t="shared" si="63"/>
        <v>9</v>
      </c>
      <c r="N62" s="32">
        <f t="shared" si="63"/>
        <v>9</v>
      </c>
      <c r="O62" s="32">
        <f t="shared" si="63"/>
        <v>9</v>
      </c>
      <c r="P62" s="32">
        <f t="shared" si="63"/>
        <v>9</v>
      </c>
      <c r="Q62" s="32">
        <f t="shared" si="63"/>
        <v>9</v>
      </c>
      <c r="R62" s="32">
        <f t="shared" si="63"/>
        <v>12</v>
      </c>
      <c r="S62" s="32">
        <f t="shared" si="63"/>
        <v>9</v>
      </c>
      <c r="T62" s="32">
        <f t="shared" si="63"/>
        <v>9</v>
      </c>
      <c r="U62" s="32">
        <f t="shared" si="63"/>
        <v>9</v>
      </c>
      <c r="V62" s="32" t="str">
        <f t="shared" si="63"/>
        <v/>
      </c>
      <c r="W62" s="32">
        <f t="shared" si="63"/>
        <v>9</v>
      </c>
      <c r="X62" s="32">
        <f t="shared" si="63"/>
        <v>9</v>
      </c>
      <c r="Y62" s="32">
        <f t="shared" si="63"/>
        <v>9</v>
      </c>
      <c r="Z62" s="32">
        <f t="shared" si="63"/>
        <v>9</v>
      </c>
      <c r="AA62" s="32" t="str">
        <f t="shared" si="63"/>
        <v>Not played</v>
      </c>
      <c r="AB62" s="32" t="str">
        <f t="shared" si="63"/>
        <v>Not played</v>
      </c>
    </row>
    <row r="63">
      <c r="A63" s="37">
        <f t="shared" si="4"/>
        <v>62</v>
      </c>
      <c r="B63" s="33" t="s">
        <v>148</v>
      </c>
      <c r="C63" s="32">
        <f t="shared" ref="C63:AB63" si="64">IFERROR(VLOOKUP($B63,indirect(text(C$1,"mm/dd/yy")&amp;"!B:L"),11,false),"Not played")</f>
        <v>11</v>
      </c>
      <c r="D63" s="32">
        <f t="shared" si="64"/>
        <v>14</v>
      </c>
      <c r="E63" s="32">
        <f t="shared" si="64"/>
        <v>9</v>
      </c>
      <c r="F63" s="32">
        <f t="shared" si="64"/>
        <v>9</v>
      </c>
      <c r="G63" s="32">
        <f t="shared" si="64"/>
        <v>10</v>
      </c>
      <c r="H63" s="32">
        <f t="shared" si="64"/>
        <v>9</v>
      </c>
      <c r="I63" s="32">
        <f t="shared" si="64"/>
        <v>5</v>
      </c>
      <c r="J63" s="32">
        <f t="shared" si="64"/>
        <v>9</v>
      </c>
      <c r="K63" s="32">
        <f t="shared" si="64"/>
        <v>9</v>
      </c>
      <c r="L63" s="32">
        <f t="shared" si="64"/>
        <v>13</v>
      </c>
      <c r="M63" s="32">
        <f t="shared" si="64"/>
        <v>9</v>
      </c>
      <c r="N63" s="32">
        <f t="shared" si="64"/>
        <v>9</v>
      </c>
      <c r="O63" s="32">
        <f t="shared" si="64"/>
        <v>9</v>
      </c>
      <c r="P63" s="32">
        <f t="shared" si="64"/>
        <v>6</v>
      </c>
      <c r="Q63" s="32">
        <f t="shared" si="64"/>
        <v>9</v>
      </c>
      <c r="R63" s="32">
        <f t="shared" si="64"/>
        <v>9</v>
      </c>
      <c r="S63" s="32">
        <f t="shared" si="64"/>
        <v>9</v>
      </c>
      <c r="T63" s="32">
        <f t="shared" si="64"/>
        <v>9</v>
      </c>
      <c r="U63" s="32">
        <f t="shared" si="64"/>
        <v>9</v>
      </c>
      <c r="V63" s="32" t="str">
        <f t="shared" si="64"/>
        <v/>
      </c>
      <c r="W63" s="32">
        <f t="shared" si="64"/>
        <v>9</v>
      </c>
      <c r="X63" s="32">
        <f t="shared" si="64"/>
        <v>9</v>
      </c>
      <c r="Y63" s="32">
        <f t="shared" si="64"/>
        <v>9</v>
      </c>
      <c r="Z63" s="32">
        <f t="shared" si="64"/>
        <v>9</v>
      </c>
      <c r="AA63" s="32" t="str">
        <f t="shared" si="64"/>
        <v>Not played</v>
      </c>
      <c r="AB63" s="32" t="str">
        <f t="shared" si="64"/>
        <v>Not played</v>
      </c>
    </row>
    <row r="64">
      <c r="A64" s="37">
        <f t="shared" si="4"/>
        <v>63</v>
      </c>
      <c r="B64" s="33" t="s">
        <v>54</v>
      </c>
      <c r="C64" s="32">
        <f t="shared" ref="C64:AB64" si="65">IFERROR(VLOOKUP($B64,indirect(text(C$1,"mm/dd/yy")&amp;"!B:L"),11,false),"Not played")</f>
        <v>13</v>
      </c>
      <c r="D64" s="32">
        <f t="shared" si="65"/>
        <v>8</v>
      </c>
      <c r="E64" s="32">
        <f t="shared" si="65"/>
        <v>7</v>
      </c>
      <c r="F64" s="32">
        <f t="shared" si="65"/>
        <v>15</v>
      </c>
      <c r="G64" s="32">
        <f t="shared" si="65"/>
        <v>8</v>
      </c>
      <c r="H64" s="32">
        <f t="shared" si="65"/>
        <v>12</v>
      </c>
      <c r="I64" s="32">
        <f t="shared" si="65"/>
        <v>12</v>
      </c>
      <c r="J64" s="32">
        <f t="shared" si="65"/>
        <v>12</v>
      </c>
      <c r="K64" s="32">
        <f t="shared" si="65"/>
        <v>12</v>
      </c>
      <c r="L64" s="32">
        <f t="shared" si="65"/>
        <v>9</v>
      </c>
      <c r="M64" s="32">
        <f t="shared" si="65"/>
        <v>9</v>
      </c>
      <c r="N64" s="32">
        <f t="shared" si="65"/>
        <v>9</v>
      </c>
      <c r="O64" s="32">
        <f t="shared" si="65"/>
        <v>13</v>
      </c>
      <c r="P64" s="32">
        <f t="shared" si="65"/>
        <v>11</v>
      </c>
      <c r="Q64" s="32">
        <f t="shared" si="65"/>
        <v>10</v>
      </c>
      <c r="R64" s="32">
        <f t="shared" si="65"/>
        <v>14</v>
      </c>
      <c r="S64" s="32">
        <f t="shared" si="65"/>
        <v>11</v>
      </c>
      <c r="T64" s="32">
        <f t="shared" si="65"/>
        <v>9</v>
      </c>
      <c r="U64" s="32">
        <f t="shared" si="65"/>
        <v>9</v>
      </c>
      <c r="V64" s="32" t="str">
        <f t="shared" si="65"/>
        <v/>
      </c>
      <c r="W64" s="32">
        <f t="shared" si="65"/>
        <v>9</v>
      </c>
      <c r="X64" s="32">
        <f t="shared" si="65"/>
        <v>6</v>
      </c>
      <c r="Y64" s="32">
        <f t="shared" si="65"/>
        <v>11</v>
      </c>
      <c r="Z64" s="32">
        <f t="shared" si="65"/>
        <v>9</v>
      </c>
      <c r="AA64" s="32" t="str">
        <f t="shared" si="65"/>
        <v>Not played</v>
      </c>
      <c r="AB64" s="32" t="str">
        <f t="shared" si="65"/>
        <v>Not played</v>
      </c>
    </row>
    <row r="65">
      <c r="A65" s="37">
        <f t="shared" si="4"/>
        <v>64</v>
      </c>
      <c r="B65" s="33" t="s">
        <v>146</v>
      </c>
      <c r="C65" s="32">
        <f t="shared" ref="C65:AB65" si="66">IFERROR(VLOOKUP($B65,indirect(text(C$1,"mm/dd/yy")&amp;"!B:L"),11,false),"Not played")</f>
        <v>9</v>
      </c>
      <c r="D65" s="32">
        <f t="shared" si="66"/>
        <v>9</v>
      </c>
      <c r="E65" s="32">
        <f t="shared" si="66"/>
        <v>9</v>
      </c>
      <c r="F65" s="32">
        <f t="shared" si="66"/>
        <v>9</v>
      </c>
      <c r="G65" s="32">
        <f t="shared" si="66"/>
        <v>9</v>
      </c>
      <c r="H65" s="32">
        <f t="shared" si="66"/>
        <v>9</v>
      </c>
      <c r="I65" s="32">
        <f t="shared" si="66"/>
        <v>7</v>
      </c>
      <c r="J65" s="32">
        <f t="shared" si="66"/>
        <v>8</v>
      </c>
      <c r="K65" s="32">
        <f t="shared" si="66"/>
        <v>9</v>
      </c>
      <c r="L65" s="32">
        <f t="shared" si="66"/>
        <v>9</v>
      </c>
      <c r="M65" s="32">
        <f t="shared" si="66"/>
        <v>9</v>
      </c>
      <c r="N65" s="32">
        <f t="shared" si="66"/>
        <v>9</v>
      </c>
      <c r="O65" s="32">
        <f t="shared" si="66"/>
        <v>9</v>
      </c>
      <c r="P65" s="32">
        <f t="shared" si="66"/>
        <v>13</v>
      </c>
      <c r="Q65" s="32">
        <f t="shared" si="66"/>
        <v>9</v>
      </c>
      <c r="R65" s="32">
        <f t="shared" si="66"/>
        <v>9</v>
      </c>
      <c r="S65" s="32">
        <f t="shared" si="66"/>
        <v>12</v>
      </c>
      <c r="T65" s="32">
        <f t="shared" si="66"/>
        <v>11</v>
      </c>
      <c r="U65" s="32">
        <f t="shared" si="66"/>
        <v>11</v>
      </c>
      <c r="V65" s="32" t="str">
        <f t="shared" si="66"/>
        <v/>
      </c>
      <c r="W65" s="32">
        <f t="shared" si="66"/>
        <v>9</v>
      </c>
      <c r="X65" s="32">
        <f t="shared" si="66"/>
        <v>15</v>
      </c>
      <c r="Y65" s="32">
        <f t="shared" si="66"/>
        <v>18</v>
      </c>
      <c r="Z65" s="32">
        <f t="shared" si="66"/>
        <v>18</v>
      </c>
      <c r="AA65" s="32" t="str">
        <f t="shared" si="66"/>
        <v>Not played</v>
      </c>
      <c r="AB65" s="32" t="str">
        <f t="shared" si="66"/>
        <v>Not played</v>
      </c>
    </row>
    <row r="66">
      <c r="A66" s="37">
        <f t="shared" si="4"/>
        <v>65</v>
      </c>
      <c r="B66" s="33" t="s">
        <v>145</v>
      </c>
      <c r="C66" s="32">
        <f t="shared" ref="C66:AB66" si="67">IFERROR(VLOOKUP($B66,indirect(text(C$1,"mm/dd/yy")&amp;"!B:L"),11,false),"Not played")</f>
        <v>14</v>
      </c>
      <c r="D66" s="32">
        <f t="shared" si="67"/>
        <v>7</v>
      </c>
      <c r="E66" s="32">
        <f t="shared" si="67"/>
        <v>8</v>
      </c>
      <c r="F66" s="32">
        <f t="shared" si="67"/>
        <v>9</v>
      </c>
      <c r="G66" s="32">
        <f t="shared" si="67"/>
        <v>14</v>
      </c>
      <c r="H66" s="32">
        <f t="shared" si="67"/>
        <v>7</v>
      </c>
      <c r="I66" s="32">
        <f t="shared" si="67"/>
        <v>9</v>
      </c>
      <c r="J66" s="32">
        <f t="shared" si="67"/>
        <v>11</v>
      </c>
      <c r="K66" s="32">
        <f t="shared" si="67"/>
        <v>17</v>
      </c>
      <c r="L66" s="32">
        <f t="shared" si="67"/>
        <v>9</v>
      </c>
      <c r="M66" s="32">
        <f t="shared" si="67"/>
        <v>9</v>
      </c>
      <c r="N66" s="32">
        <f t="shared" si="67"/>
        <v>9</v>
      </c>
      <c r="O66" s="32">
        <f t="shared" si="67"/>
        <v>9</v>
      </c>
      <c r="P66" s="32">
        <f t="shared" si="67"/>
        <v>9</v>
      </c>
      <c r="Q66" s="32">
        <f t="shared" si="67"/>
        <v>9</v>
      </c>
      <c r="R66" s="32">
        <f t="shared" si="67"/>
        <v>9</v>
      </c>
      <c r="S66" s="32">
        <f t="shared" si="67"/>
        <v>9</v>
      </c>
      <c r="T66" s="32">
        <f t="shared" si="67"/>
        <v>9</v>
      </c>
      <c r="U66" s="32">
        <f t="shared" si="67"/>
        <v>9</v>
      </c>
      <c r="V66" s="32" t="str">
        <f t="shared" si="67"/>
        <v/>
      </c>
      <c r="W66" s="32">
        <f t="shared" si="67"/>
        <v>7</v>
      </c>
      <c r="X66" s="32">
        <f t="shared" si="67"/>
        <v>15</v>
      </c>
      <c r="Y66" s="32">
        <f t="shared" si="67"/>
        <v>9</v>
      </c>
      <c r="Z66" s="32">
        <f t="shared" si="67"/>
        <v>16</v>
      </c>
      <c r="AA66" s="32" t="str">
        <f t="shared" si="67"/>
        <v>Not played</v>
      </c>
      <c r="AB66" s="32" t="str">
        <f t="shared" si="67"/>
        <v>Not played</v>
      </c>
    </row>
    <row r="72">
      <c r="B72" s="33" t="s">
        <v>156</v>
      </c>
      <c r="C72" s="109" t="s">
        <v>157</v>
      </c>
    </row>
    <row r="73">
      <c r="B73" s="33"/>
      <c r="C73" s="111" t="s">
        <v>158</v>
      </c>
    </row>
    <row r="74">
      <c r="B74" s="33"/>
      <c r="C74" s="113" t="s">
        <v>161</v>
      </c>
    </row>
    <row r="75">
      <c r="B75" s="33"/>
      <c r="C75" s="115" t="s">
        <v>162</v>
      </c>
    </row>
    <row r="76">
      <c r="B76" s="33"/>
      <c r="C76" s="33"/>
    </row>
    <row r="77">
      <c r="B77" s="33"/>
      <c r="C77" s="33"/>
    </row>
    <row r="78">
      <c r="B78" s="33"/>
      <c r="C78" s="33"/>
    </row>
    <row r="79">
      <c r="B79" s="33"/>
      <c r="C79" s="33"/>
    </row>
    <row r="80">
      <c r="B80" s="33"/>
      <c r="C80" s="33"/>
    </row>
    <row r="81">
      <c r="B81" s="33"/>
      <c r="C81" s="33"/>
    </row>
    <row r="88">
      <c r="I88" s="116"/>
    </row>
    <row r="89">
      <c r="B89" s="51" t="s">
        <v>163</v>
      </c>
    </row>
    <row r="90">
      <c r="C90" s="51" t="s">
        <v>164</v>
      </c>
      <c r="D90" s="51" t="s">
        <v>165</v>
      </c>
      <c r="F90" s="22" t="str">
        <f>IFERROR(__xludf.DUMMYFUNCTION("QUERY(C91:C1000, ""SELECT C, COUNT(C) WHERE C IS NOT NULL GROUP BY C LABEL C 'Name', COUNT(C) 'Weeks'"")"),"Name")</f>
        <v>Name</v>
      </c>
      <c r="G90" s="22" t="str">
        <f>IFERROR(__xludf.DUMMYFUNCTION("""COMPUTED_VALUE"""),"Weeks")</f>
        <v>Weeks</v>
      </c>
    </row>
    <row r="91">
      <c r="B91" s="51" t="s">
        <v>166</v>
      </c>
      <c r="C91" s="22" t="str">
        <f t="shared" ref="C91:C117" si="68">if(iserror(INDIRECT("'" &amp; TEXT(B91, "mm/dd/yy") &amp; "'!$B$5")),"",INDIRECT("'" &amp; TEXT(B91, "mm/dd/yy") &amp; "'!$B$5"))</f>
        <v>Adrian Tay</v>
      </c>
      <c r="D91" s="22">
        <f t="shared" ref="D91:D117" si="69">if(C91&lt;&gt;"",1,"")</f>
        <v>1</v>
      </c>
      <c r="F91" s="22" t="str">
        <f>IFERROR(__xludf.DUMMYFUNCTION("""COMPUTED_VALUE"""),"Adrian Tay")</f>
        <v>Adrian Tay</v>
      </c>
      <c r="G91" s="22">
        <f>IFERROR(__xludf.DUMMYFUNCTION("""COMPUTED_VALUE"""),12.0)</f>
        <v>12</v>
      </c>
    </row>
    <row r="92">
      <c r="B92" s="74">
        <v>46018.0</v>
      </c>
      <c r="C92" s="22" t="str">
        <f t="shared" si="68"/>
        <v/>
      </c>
      <c r="D92" s="22" t="str">
        <f t="shared" si="69"/>
        <v/>
      </c>
      <c r="F92" s="22" t="str">
        <f>IFERROR(__xludf.DUMMYFUNCTION("""COMPUTED_VALUE"""),"Darren Wong")</f>
        <v>Darren Wong</v>
      </c>
      <c r="G92" s="22">
        <f>IFERROR(__xludf.DUMMYFUNCTION("""COMPUTED_VALUE"""),4.0)</f>
        <v>4</v>
      </c>
    </row>
    <row r="93">
      <c r="B93" s="120">
        <f t="shared" ref="B93:B116" si="70">B92-7</f>
        <v>46011</v>
      </c>
      <c r="C93" s="22" t="str">
        <f t="shared" si="68"/>
        <v/>
      </c>
      <c r="D93" s="22" t="str">
        <f t="shared" si="69"/>
        <v/>
      </c>
      <c r="F93" s="22" t="str">
        <f>IFERROR(__xludf.DUMMYFUNCTION("""COMPUTED_VALUE"""),"Eric Pan")</f>
        <v>Eric Pan</v>
      </c>
      <c r="G93" s="22">
        <f>IFERROR(__xludf.DUMMYFUNCTION("""COMPUTED_VALUE"""),1.0)</f>
        <v>1</v>
      </c>
    </row>
    <row r="94">
      <c r="B94" s="120">
        <f t="shared" si="70"/>
        <v>46004</v>
      </c>
      <c r="C94" s="22" t="str">
        <f t="shared" si="68"/>
        <v>Adrian Tay</v>
      </c>
      <c r="D94" s="22">
        <f t="shared" si="69"/>
        <v>1</v>
      </c>
      <c r="F94" s="22" t="str">
        <f>IFERROR(__xludf.DUMMYFUNCTION("""COMPUTED_VALUE"""),"Frank Moon")</f>
        <v>Frank Moon</v>
      </c>
      <c r="G94" s="22">
        <f>IFERROR(__xludf.DUMMYFUNCTION("""COMPUTED_VALUE"""),1.0)</f>
        <v>1</v>
      </c>
    </row>
    <row r="95">
      <c r="B95" s="120">
        <f t="shared" si="70"/>
        <v>45997</v>
      </c>
      <c r="C95" s="22" t="str">
        <f t="shared" si="68"/>
        <v>Adrian Tay</v>
      </c>
      <c r="D95" s="22">
        <f t="shared" si="69"/>
        <v>1</v>
      </c>
      <c r="F95" s="22" t="str">
        <f>IFERROR(__xludf.DUMMYFUNCTION("""COMPUTED_VALUE"""),"Lam Bui")</f>
        <v>Lam Bui</v>
      </c>
      <c r="G95" s="22">
        <f>IFERROR(__xludf.DUMMYFUNCTION("""COMPUTED_VALUE"""),1.0)</f>
        <v>1</v>
      </c>
    </row>
    <row r="96">
      <c r="B96" s="120">
        <f t="shared" si="70"/>
        <v>45990</v>
      </c>
      <c r="C96" s="22" t="str">
        <f t="shared" si="68"/>
        <v>Adrian Tay</v>
      </c>
      <c r="D96" s="22">
        <f t="shared" si="69"/>
        <v>1</v>
      </c>
      <c r="F96" s="22" t="str">
        <f>IFERROR(__xludf.DUMMYFUNCTION("""COMPUTED_VALUE"""),"Pulkit Mathur")</f>
        <v>Pulkit Mathur</v>
      </c>
      <c r="G96" s="22">
        <f>IFERROR(__xludf.DUMMYFUNCTION("""COMPUTED_VALUE"""),4.0)</f>
        <v>4</v>
      </c>
    </row>
    <row r="97">
      <c r="B97" s="120">
        <f t="shared" si="70"/>
        <v>45983</v>
      </c>
      <c r="C97" s="22" t="str">
        <f t="shared" si="68"/>
        <v>Adrian Tay</v>
      </c>
      <c r="D97" s="22">
        <f t="shared" si="69"/>
        <v>1</v>
      </c>
      <c r="F97" s="22" t="str">
        <f>IFERROR(__xludf.DUMMYFUNCTION("""COMPUTED_VALUE"""),"Robert Chang")</f>
        <v>Robert Chang</v>
      </c>
      <c r="G97" s="22">
        <f>IFERROR(__xludf.DUMMYFUNCTION("""COMPUTED_VALUE"""),1.0)</f>
        <v>1</v>
      </c>
    </row>
    <row r="98">
      <c r="B98" s="120">
        <f t="shared" si="70"/>
        <v>45976</v>
      </c>
      <c r="C98" s="22" t="str">
        <f t="shared" si="68"/>
        <v>Adrian Tay</v>
      </c>
      <c r="D98" s="22">
        <f t="shared" si="69"/>
        <v>1</v>
      </c>
    </row>
    <row r="99">
      <c r="B99" s="120">
        <f t="shared" si="70"/>
        <v>45969</v>
      </c>
      <c r="C99" s="22" t="str">
        <f t="shared" si="68"/>
        <v>Adrian Tay</v>
      </c>
      <c r="D99" s="22">
        <f t="shared" si="69"/>
        <v>1</v>
      </c>
    </row>
    <row r="100">
      <c r="B100" s="120">
        <f t="shared" si="70"/>
        <v>45962</v>
      </c>
      <c r="C100" s="22" t="str">
        <f t="shared" si="68"/>
        <v>Adrian Tay</v>
      </c>
      <c r="D100" s="22">
        <f t="shared" si="69"/>
        <v>1</v>
      </c>
    </row>
    <row r="101">
      <c r="B101" s="120">
        <f t="shared" si="70"/>
        <v>45955</v>
      </c>
      <c r="C101" s="22" t="str">
        <f t="shared" si="68"/>
        <v>Adrian Tay</v>
      </c>
      <c r="D101" s="22">
        <f t="shared" si="69"/>
        <v>1</v>
      </c>
    </row>
    <row r="102">
      <c r="B102" s="120">
        <f t="shared" si="70"/>
        <v>45948</v>
      </c>
      <c r="C102" s="22" t="str">
        <f t="shared" si="68"/>
        <v>Adrian Tay</v>
      </c>
      <c r="D102" s="22">
        <f t="shared" si="69"/>
        <v>1</v>
      </c>
    </row>
    <row r="103">
      <c r="B103" s="120">
        <f t="shared" si="70"/>
        <v>45941</v>
      </c>
      <c r="C103" s="22" t="str">
        <f t="shared" si="68"/>
        <v>Adrian Tay</v>
      </c>
      <c r="D103" s="22">
        <f t="shared" si="69"/>
        <v>1</v>
      </c>
    </row>
    <row r="104">
      <c r="B104" s="120">
        <f t="shared" si="70"/>
        <v>45934</v>
      </c>
      <c r="C104" s="22" t="str">
        <f t="shared" si="68"/>
        <v>Adrian Tay</v>
      </c>
      <c r="D104" s="22">
        <f t="shared" si="69"/>
        <v>1</v>
      </c>
    </row>
    <row r="105">
      <c r="B105" s="120">
        <f t="shared" si="70"/>
        <v>45927</v>
      </c>
      <c r="C105" s="22" t="str">
        <f t="shared" si="68"/>
        <v>Pulkit Mathur</v>
      </c>
      <c r="D105" s="22">
        <f t="shared" si="69"/>
        <v>1</v>
      </c>
    </row>
    <row r="106">
      <c r="B106" s="120">
        <f t="shared" si="70"/>
        <v>45920</v>
      </c>
      <c r="C106" s="22" t="str">
        <f t="shared" si="68"/>
        <v>Pulkit Mathur</v>
      </c>
      <c r="D106" s="22">
        <f t="shared" si="69"/>
        <v>1</v>
      </c>
    </row>
    <row r="107">
      <c r="B107" s="120">
        <f t="shared" si="70"/>
        <v>45913</v>
      </c>
      <c r="C107" s="22" t="str">
        <f t="shared" si="68"/>
        <v>Pulkit Mathur</v>
      </c>
      <c r="D107" s="22">
        <f t="shared" si="69"/>
        <v>1</v>
      </c>
    </row>
    <row r="108">
      <c r="B108" s="120">
        <f t="shared" si="70"/>
        <v>45906</v>
      </c>
      <c r="C108" s="22" t="str">
        <f t="shared" si="68"/>
        <v>Pulkit Mathur</v>
      </c>
      <c r="D108" s="22">
        <f t="shared" si="69"/>
        <v>1</v>
      </c>
    </row>
    <row r="109">
      <c r="B109" s="120">
        <f t="shared" si="70"/>
        <v>45899</v>
      </c>
      <c r="C109" s="22" t="str">
        <f t="shared" si="68"/>
        <v>Darren Wong</v>
      </c>
      <c r="D109" s="22">
        <f t="shared" si="69"/>
        <v>1</v>
      </c>
    </row>
    <row r="110">
      <c r="B110" s="120">
        <f t="shared" si="70"/>
        <v>45892</v>
      </c>
      <c r="C110" s="22" t="str">
        <f t="shared" si="68"/>
        <v>Eric Pan</v>
      </c>
      <c r="D110" s="22">
        <f t="shared" si="69"/>
        <v>1</v>
      </c>
      <c r="F110" s="22" t="str">
        <f t="array" ref="F110:G115">sort(F91:G96,2,false)</f>
        <v>Adrian Tay</v>
      </c>
      <c r="G110" s="22">
        <v>12.0</v>
      </c>
    </row>
    <row r="111">
      <c r="B111" s="120">
        <f t="shared" si="70"/>
        <v>45885</v>
      </c>
      <c r="C111" s="22" t="str">
        <f t="shared" si="68"/>
        <v>Darren Wong</v>
      </c>
      <c r="D111" s="22">
        <f t="shared" si="69"/>
        <v>1</v>
      </c>
      <c r="F111" s="22" t="s">
        <v>67</v>
      </c>
      <c r="G111" s="22">
        <v>4.0</v>
      </c>
    </row>
    <row r="112">
      <c r="B112" s="120">
        <f t="shared" si="70"/>
        <v>45878</v>
      </c>
      <c r="C112" s="22" t="str">
        <f t="shared" si="68"/>
        <v>Darren Wong</v>
      </c>
      <c r="D112" s="22">
        <f t="shared" si="69"/>
        <v>1</v>
      </c>
      <c r="F112" s="22" t="s">
        <v>84</v>
      </c>
      <c r="G112" s="22">
        <v>4.0</v>
      </c>
    </row>
    <row r="113">
      <c r="B113" s="120">
        <f t="shared" si="70"/>
        <v>45871</v>
      </c>
      <c r="C113" s="22" t="str">
        <f t="shared" si="68"/>
        <v>Lam Bui</v>
      </c>
      <c r="D113" s="22">
        <f t="shared" si="69"/>
        <v>1</v>
      </c>
      <c r="F113" s="22" t="s">
        <v>83</v>
      </c>
      <c r="G113" s="22">
        <v>1.0</v>
      </c>
    </row>
    <row r="114">
      <c r="B114" s="120">
        <f t="shared" si="70"/>
        <v>45864</v>
      </c>
      <c r="C114" s="22" t="str">
        <f t="shared" si="68"/>
        <v>Frank Moon</v>
      </c>
      <c r="D114" s="22">
        <f t="shared" si="69"/>
        <v>1</v>
      </c>
      <c r="F114" s="22" t="s">
        <v>110</v>
      </c>
      <c r="G114" s="22">
        <v>1.0</v>
      </c>
    </row>
    <row r="115">
      <c r="B115" s="120">
        <f t="shared" si="70"/>
        <v>45857</v>
      </c>
      <c r="C115" s="22" t="str">
        <f t="shared" si="68"/>
        <v>Robert Chang</v>
      </c>
      <c r="D115" s="22">
        <f t="shared" si="69"/>
        <v>1</v>
      </c>
      <c r="F115" s="22" t="s">
        <v>73</v>
      </c>
      <c r="G115" s="22">
        <v>1.0</v>
      </c>
    </row>
    <row r="116">
      <c r="B116" s="120">
        <f t="shared" si="70"/>
        <v>45850</v>
      </c>
      <c r="C116" s="22" t="str">
        <f t="shared" si="68"/>
        <v>Darren Wong</v>
      </c>
      <c r="D116" s="22">
        <f t="shared" si="69"/>
        <v>1</v>
      </c>
    </row>
    <row r="117">
      <c r="C117" s="22" t="str">
        <f t="shared" si="68"/>
        <v/>
      </c>
      <c r="D117" s="22" t="str">
        <f t="shared" si="69"/>
        <v/>
      </c>
    </row>
  </sheetData>
  <conditionalFormatting sqref="P13">
    <cfRule type="cellIs" dxfId="0" priority="1" operator="greaterThanOrEqual">
      <formula>18</formula>
    </cfRule>
  </conditionalFormatting>
  <conditionalFormatting sqref="C2:AB66">
    <cfRule type="cellIs" dxfId="0" priority="2" operator="between">
      <formula>18</formula>
      <formula>20</formula>
    </cfRule>
  </conditionalFormatting>
  <conditionalFormatting sqref="C2:AB66">
    <cfRule type="cellIs" dxfId="5" priority="3" operator="greaterThanOrEqual">
      <formula>21</formula>
    </cfRule>
  </conditionalFormatting>
  <conditionalFormatting sqref="C2:AB66">
    <cfRule type="cellIs" dxfId="6" priority="4" operator="between">
      <formula>0</formula>
      <formula>8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21.38"/>
    <col customWidth="1" min="4" max="4" width="24.5"/>
  </cols>
  <sheetData>
    <row r="1">
      <c r="A1" s="86" t="str">
        <f>IFERROR(__xludf.DUMMYFUNCTION("IMPORTRANGE(""1vk67ABbS4TvdE0gnpv39mwReeTC8qhP2vyc266Yeuy8"",""Waitlist!A1:D199"")"),"#REF!")</f>
        <v>#REF!</v>
      </c>
      <c r="B1" s="5"/>
      <c r="C1" s="5"/>
      <c r="D1" s="5"/>
    </row>
    <row r="2">
      <c r="A2" s="16"/>
      <c r="B2" s="16"/>
      <c r="C2" s="16"/>
      <c r="D2" s="16"/>
    </row>
    <row r="3">
      <c r="A3" s="16"/>
      <c r="B3" s="16"/>
      <c r="C3" s="16"/>
      <c r="D3" s="16"/>
    </row>
    <row r="4">
      <c r="A4" s="16"/>
      <c r="B4" s="16"/>
      <c r="C4" s="16"/>
      <c r="D4" s="16"/>
      <c r="G4" s="51" t="s">
        <v>123</v>
      </c>
    </row>
    <row r="5">
      <c r="A5" s="16"/>
      <c r="B5" s="16"/>
      <c r="C5" s="16"/>
      <c r="D5" s="16"/>
      <c r="G5" s="92" t="s">
        <v>124</v>
      </c>
    </row>
    <row r="6">
      <c r="A6" s="16"/>
      <c r="B6" s="16"/>
      <c r="C6" s="16"/>
      <c r="D6" s="16"/>
    </row>
    <row r="7">
      <c r="A7" s="16"/>
      <c r="B7" s="16"/>
      <c r="C7" s="16"/>
      <c r="D7" s="16"/>
    </row>
    <row r="8">
      <c r="A8" s="16"/>
      <c r="B8" s="16"/>
      <c r="C8" s="16"/>
      <c r="D8" s="16"/>
    </row>
    <row r="9">
      <c r="A9" s="16"/>
      <c r="B9" s="16"/>
      <c r="C9" s="16"/>
      <c r="D9" s="16"/>
    </row>
    <row r="10">
      <c r="A10" s="16"/>
      <c r="B10" s="16"/>
      <c r="C10" s="16"/>
      <c r="D10" s="16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</sheetData>
  <hyperlinks>
    <hyperlink r:id="rId1" ref="G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46004.0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24.0</v>
      </c>
      <c r="E2" s="1"/>
      <c r="F2" s="1"/>
      <c r="R2" s="17"/>
      <c r="AC2" s="21" t="str">
        <f>text(C1-7,"mm/dd/yy")</f>
        <v>12/06/25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321.0</v>
      </c>
      <c r="D5" s="34">
        <v>38.0</v>
      </c>
      <c r="E5" s="35">
        <f t="shared" ref="E5:E69" si="2">if(S5&gt;0,(C5-(V5*9)-(T5*13))/S5,0)</f>
        <v>15.17647059</v>
      </c>
      <c r="F5" s="95">
        <v>1.0</v>
      </c>
      <c r="G5" s="96">
        <v>9.0</v>
      </c>
      <c r="H5" s="97">
        <v>0.0</v>
      </c>
      <c r="I5" s="96">
        <v>5.0</v>
      </c>
      <c r="J5" s="96">
        <v>0.0</v>
      </c>
      <c r="K5" s="96">
        <v>0.0</v>
      </c>
      <c r="L5" s="98">
        <v>5.0</v>
      </c>
      <c r="M5" s="96">
        <v>0.0</v>
      </c>
      <c r="N5" s="34">
        <f t="shared" ref="N5:O5" si="1">C5+L5</f>
        <v>326</v>
      </c>
      <c r="O5" s="34">
        <f t="shared" si="1"/>
        <v>38</v>
      </c>
      <c r="P5" s="49" t="s">
        <v>58</v>
      </c>
      <c r="Q5" s="49" t="s">
        <v>58</v>
      </c>
      <c r="R5" s="49" t="s">
        <v>58</v>
      </c>
      <c r="S5" s="50">
        <f t="shared" ref="S5:S69" si="4">vlookup(B5,indirect("'" &amp; AC$2 &amp; "'!B5:W69"),18,false)++if(text(C$1,"mm/dd/yy")=$AC$2,0,if(H5&gt;0,0,1))</f>
        <v>17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7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310.0</v>
      </c>
      <c r="D6" s="34">
        <v>34.0</v>
      </c>
      <c r="E6" s="35">
        <f t="shared" si="2"/>
        <v>14.29411765</v>
      </c>
      <c r="F6" s="95">
        <v>1.0</v>
      </c>
      <c r="G6" s="96">
        <v>9.0</v>
      </c>
      <c r="H6" s="97">
        <v>0.0</v>
      </c>
      <c r="I6" s="96">
        <v>7.0</v>
      </c>
      <c r="J6" s="96">
        <v>6.0</v>
      </c>
      <c r="K6" s="96">
        <v>0.0</v>
      </c>
      <c r="L6" s="98">
        <v>13.0</v>
      </c>
      <c r="M6" s="96">
        <v>2.0</v>
      </c>
      <c r="N6" s="34">
        <f t="shared" ref="N6:O6" si="3">C6+L6</f>
        <v>323</v>
      </c>
      <c r="O6" s="34">
        <f t="shared" si="3"/>
        <v>36</v>
      </c>
      <c r="P6" s="49" t="s">
        <v>58</v>
      </c>
      <c r="Q6" s="49" t="s">
        <v>58</v>
      </c>
      <c r="R6" s="49" t="s">
        <v>58</v>
      </c>
      <c r="S6" s="50">
        <f t="shared" si="4"/>
        <v>17</v>
      </c>
      <c r="T6" s="52">
        <f t="shared" si="5"/>
        <v>1</v>
      </c>
      <c r="U6" s="52"/>
      <c r="V6" s="50">
        <f t="shared" si="6"/>
        <v>6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305.0</v>
      </c>
      <c r="D7" s="34">
        <v>31.0</v>
      </c>
      <c r="E7" s="35">
        <f t="shared" si="2"/>
        <v>13.45</v>
      </c>
      <c r="F7" s="95">
        <v>1.0</v>
      </c>
      <c r="G7" s="96">
        <v>9.0</v>
      </c>
      <c r="H7" s="97">
        <v>0.0</v>
      </c>
      <c r="I7" s="96">
        <v>5.0</v>
      </c>
      <c r="J7" s="96">
        <v>6.0</v>
      </c>
      <c r="K7" s="96">
        <v>6.0</v>
      </c>
      <c r="L7" s="98">
        <v>17.0</v>
      </c>
      <c r="M7" s="96">
        <v>2.0</v>
      </c>
      <c r="N7" s="34">
        <f t="shared" ref="N7:O7" si="11">C7+L7</f>
        <v>322</v>
      </c>
      <c r="O7" s="34">
        <f t="shared" si="11"/>
        <v>33</v>
      </c>
      <c r="P7" s="49" t="s">
        <v>58</v>
      </c>
      <c r="Q7" s="49" t="s">
        <v>58</v>
      </c>
      <c r="R7" s="49" t="s">
        <v>58</v>
      </c>
      <c r="S7" s="50">
        <f t="shared" si="4"/>
        <v>20</v>
      </c>
      <c r="T7" s="52">
        <f t="shared" si="5"/>
        <v>0</v>
      </c>
      <c r="U7" s="52"/>
      <c r="V7" s="50">
        <f t="shared" si="6"/>
        <v>4</v>
      </c>
      <c r="W7" s="52">
        <f t="shared" si="7"/>
        <v>0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90</v>
      </c>
      <c r="C8" s="34">
        <v>297.0</v>
      </c>
      <c r="D8" s="34">
        <v>34.0</v>
      </c>
      <c r="E8" s="35">
        <f t="shared" si="2"/>
        <v>12.5</v>
      </c>
      <c r="F8" s="95">
        <v>1.0</v>
      </c>
      <c r="G8" s="96">
        <v>9.0</v>
      </c>
      <c r="H8" s="97">
        <v>0.0</v>
      </c>
      <c r="I8" s="96">
        <v>7.0</v>
      </c>
      <c r="J8" s="96">
        <v>0.0</v>
      </c>
      <c r="K8" s="96">
        <v>6.0</v>
      </c>
      <c r="L8" s="98">
        <v>13.0</v>
      </c>
      <c r="M8" s="96">
        <v>2.0</v>
      </c>
      <c r="N8" s="34">
        <f t="shared" ref="N8:O8" si="13">C8+L8</f>
        <v>310</v>
      </c>
      <c r="O8" s="34">
        <f t="shared" si="13"/>
        <v>36</v>
      </c>
      <c r="P8" s="49" t="s">
        <v>58</v>
      </c>
      <c r="Q8" s="49" t="s">
        <v>58</v>
      </c>
      <c r="R8" s="49" t="s">
        <v>58</v>
      </c>
      <c r="S8" s="50">
        <f t="shared" si="4"/>
        <v>22</v>
      </c>
      <c r="T8" s="52">
        <f t="shared" si="5"/>
        <v>1</v>
      </c>
      <c r="U8" s="52"/>
      <c r="V8" s="50">
        <f t="shared" si="6"/>
        <v>1</v>
      </c>
      <c r="W8" s="52">
        <f t="shared" si="7"/>
        <v>2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84</v>
      </c>
      <c r="C9" s="34">
        <v>297.0</v>
      </c>
      <c r="D9" s="34">
        <v>30.0</v>
      </c>
      <c r="E9" s="35">
        <f t="shared" si="2"/>
        <v>13.5</v>
      </c>
      <c r="F9" s="95">
        <v>1.0</v>
      </c>
      <c r="G9" s="96">
        <v>1.0</v>
      </c>
      <c r="H9" s="97">
        <v>0.0</v>
      </c>
      <c r="I9" s="96">
        <v>6.0</v>
      </c>
      <c r="J9" s="96">
        <v>4.0</v>
      </c>
      <c r="K9" s="96">
        <v>4.0</v>
      </c>
      <c r="L9" s="98">
        <v>14.0</v>
      </c>
      <c r="M9" s="96">
        <v>1.0</v>
      </c>
      <c r="N9" s="34">
        <f t="shared" ref="N9:O9" si="14">C9+L9</f>
        <v>311</v>
      </c>
      <c r="O9" s="34">
        <f t="shared" si="14"/>
        <v>31</v>
      </c>
      <c r="P9" s="49" t="s">
        <v>58</v>
      </c>
      <c r="Q9" s="49" t="s">
        <v>58</v>
      </c>
      <c r="R9" s="49" t="s">
        <v>58</v>
      </c>
      <c r="S9" s="50">
        <f t="shared" si="4"/>
        <v>18</v>
      </c>
      <c r="T9" s="52">
        <f t="shared" si="5"/>
        <v>0</v>
      </c>
      <c r="U9" s="52"/>
      <c r="V9" s="50">
        <f t="shared" si="6"/>
        <v>6</v>
      </c>
      <c r="W9" s="52">
        <f t="shared" si="7"/>
        <v>4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83</v>
      </c>
      <c r="C10" s="34">
        <v>297.0</v>
      </c>
      <c r="D10" s="34">
        <v>29.0</v>
      </c>
      <c r="E10" s="35">
        <f t="shared" si="2"/>
        <v>14.5</v>
      </c>
      <c r="F10" s="95">
        <v>1.0</v>
      </c>
      <c r="G10" s="96">
        <v>1.0</v>
      </c>
      <c r="H10" s="97">
        <v>0.0</v>
      </c>
      <c r="I10" s="96">
        <v>6.0</v>
      </c>
      <c r="J10" s="96">
        <v>6.0</v>
      </c>
      <c r="K10" s="96">
        <v>6.0</v>
      </c>
      <c r="L10" s="98">
        <v>18.0</v>
      </c>
      <c r="M10" s="96">
        <v>3.0</v>
      </c>
      <c r="N10" s="34">
        <f t="shared" ref="N10:O10" si="15">C10+L10</f>
        <v>315</v>
      </c>
      <c r="O10" s="34">
        <f t="shared" si="15"/>
        <v>32</v>
      </c>
      <c r="P10" s="49" t="s">
        <v>58</v>
      </c>
      <c r="Q10" s="49" t="s">
        <v>58</v>
      </c>
      <c r="R10" s="49" t="s">
        <v>58</v>
      </c>
      <c r="S10" s="50">
        <f t="shared" si="4"/>
        <v>14</v>
      </c>
      <c r="T10" s="52">
        <f t="shared" si="5"/>
        <v>1</v>
      </c>
      <c r="U10" s="52"/>
      <c r="V10" s="50">
        <f t="shared" si="6"/>
        <v>9</v>
      </c>
      <c r="W10" s="52">
        <f t="shared" si="7"/>
        <v>-2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98</v>
      </c>
      <c r="C11" s="34">
        <v>292.0</v>
      </c>
      <c r="D11" s="34">
        <v>31.0</v>
      </c>
      <c r="E11" s="35">
        <f t="shared" si="2"/>
        <v>12.61904762</v>
      </c>
      <c r="F11" s="95">
        <v>3.0</v>
      </c>
      <c r="G11" s="96">
        <v>0.0</v>
      </c>
      <c r="H11" s="97">
        <v>9.0</v>
      </c>
      <c r="I11" s="96">
        <v>0.0</v>
      </c>
      <c r="J11" s="96">
        <v>0.0</v>
      </c>
      <c r="K11" s="96">
        <v>0.0</v>
      </c>
      <c r="L11" s="98">
        <v>9.0</v>
      </c>
      <c r="M11" s="96">
        <v>0.0</v>
      </c>
      <c r="N11" s="34">
        <f t="shared" ref="N11:O11" si="16">C11+L11</f>
        <v>301</v>
      </c>
      <c r="O11" s="34">
        <f t="shared" si="16"/>
        <v>31</v>
      </c>
      <c r="P11" s="49" t="s">
        <v>58</v>
      </c>
      <c r="Q11" s="49" t="s">
        <v>58</v>
      </c>
      <c r="R11" s="49" t="s">
        <v>58</v>
      </c>
      <c r="S11" s="50">
        <f t="shared" si="4"/>
        <v>21</v>
      </c>
      <c r="T11" s="52">
        <f t="shared" si="5"/>
        <v>0</v>
      </c>
      <c r="U11" s="52"/>
      <c r="V11" s="50">
        <f t="shared" si="6"/>
        <v>3</v>
      </c>
      <c r="W11" s="52">
        <f t="shared" si="7"/>
        <v>0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113</v>
      </c>
      <c r="C12" s="34">
        <v>292.0</v>
      </c>
      <c r="D12" s="34">
        <v>25.0</v>
      </c>
      <c r="E12" s="35">
        <f t="shared" si="2"/>
        <v>13.47058824</v>
      </c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7">C12+L12</f>
        <v>301</v>
      </c>
      <c r="O12" s="34">
        <f t="shared" si="17"/>
        <v>25</v>
      </c>
      <c r="P12" s="49" t="s">
        <v>58</v>
      </c>
      <c r="Q12" s="49" t="s">
        <v>58</v>
      </c>
      <c r="R12" s="49" t="s">
        <v>58</v>
      </c>
      <c r="S12" s="50">
        <f t="shared" si="4"/>
        <v>17</v>
      </c>
      <c r="T12" s="52">
        <f t="shared" si="5"/>
        <v>0</v>
      </c>
      <c r="U12" s="52"/>
      <c r="V12" s="50">
        <f t="shared" si="6"/>
        <v>7</v>
      </c>
      <c r="W12" s="52">
        <f t="shared" si="7"/>
        <v>0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94</v>
      </c>
      <c r="C13" s="34">
        <v>291.0</v>
      </c>
      <c r="D13" s="34">
        <v>26.0</v>
      </c>
      <c r="E13" s="35">
        <f t="shared" si="2"/>
        <v>12.57142857</v>
      </c>
      <c r="F13" s="95">
        <v>1.0</v>
      </c>
      <c r="G13" s="96">
        <v>1.0</v>
      </c>
      <c r="H13" s="97">
        <v>0.0</v>
      </c>
      <c r="I13" s="96">
        <v>2.0</v>
      </c>
      <c r="J13" s="96">
        <v>4.0</v>
      </c>
      <c r="K13" s="96">
        <v>6.0</v>
      </c>
      <c r="L13" s="98">
        <v>12.0</v>
      </c>
      <c r="M13" s="96">
        <v>1.0</v>
      </c>
      <c r="N13" s="34">
        <f t="shared" ref="N13:O13" si="18">C13+L13</f>
        <v>303</v>
      </c>
      <c r="O13" s="34">
        <f t="shared" si="18"/>
        <v>27</v>
      </c>
      <c r="P13" s="49" t="s">
        <v>58</v>
      </c>
      <c r="Q13" s="49" t="s">
        <v>58</v>
      </c>
      <c r="R13" s="49" t="s">
        <v>58</v>
      </c>
      <c r="S13" s="50">
        <f t="shared" si="4"/>
        <v>21</v>
      </c>
      <c r="T13" s="52">
        <f t="shared" si="5"/>
        <v>0</v>
      </c>
      <c r="U13" s="52"/>
      <c r="V13" s="50">
        <f t="shared" si="6"/>
        <v>3</v>
      </c>
      <c r="W13" s="52">
        <f t="shared" si="7"/>
        <v>1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91</v>
      </c>
      <c r="C14" s="34">
        <v>289.0</v>
      </c>
      <c r="D14" s="34">
        <v>30.0</v>
      </c>
      <c r="E14" s="35">
        <f t="shared" si="2"/>
        <v>12.13636364</v>
      </c>
      <c r="F14" s="95">
        <v>1.0</v>
      </c>
      <c r="G14" s="96">
        <v>1.0</v>
      </c>
      <c r="H14" s="97">
        <v>0.0</v>
      </c>
      <c r="I14" s="96">
        <v>2.0</v>
      </c>
      <c r="J14" s="96">
        <v>6.0</v>
      </c>
      <c r="K14" s="96">
        <v>4.0</v>
      </c>
      <c r="L14" s="98">
        <v>12.0</v>
      </c>
      <c r="M14" s="96">
        <v>1.0</v>
      </c>
      <c r="N14" s="34">
        <f t="shared" ref="N14:O14" si="19">C14+L14</f>
        <v>301</v>
      </c>
      <c r="O14" s="34">
        <f t="shared" si="19"/>
        <v>31</v>
      </c>
      <c r="P14" s="49" t="s">
        <v>58</v>
      </c>
      <c r="Q14" s="49" t="s">
        <v>58</v>
      </c>
      <c r="R14" s="49" t="s">
        <v>58</v>
      </c>
      <c r="S14" s="50">
        <f t="shared" si="4"/>
        <v>22</v>
      </c>
      <c r="T14" s="52">
        <f t="shared" si="5"/>
        <v>1</v>
      </c>
      <c r="U14" s="52"/>
      <c r="V14" s="50">
        <f t="shared" si="6"/>
        <v>1</v>
      </c>
      <c r="W14" s="52">
        <f t="shared" si="7"/>
        <v>-5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125</v>
      </c>
      <c r="C15" s="34">
        <v>286.0</v>
      </c>
      <c r="D15" s="34">
        <v>25.0</v>
      </c>
      <c r="E15" s="35">
        <f t="shared" si="2"/>
        <v>12.88888889</v>
      </c>
      <c r="F15" s="95">
        <v>1.0</v>
      </c>
      <c r="G15" s="96">
        <v>2.0</v>
      </c>
      <c r="H15" s="97">
        <v>0.0</v>
      </c>
      <c r="I15" s="96">
        <v>6.0</v>
      </c>
      <c r="J15" s="96">
        <v>2.0</v>
      </c>
      <c r="K15" s="96">
        <v>6.0</v>
      </c>
      <c r="L15" s="98">
        <v>14.0</v>
      </c>
      <c r="M15" s="96">
        <v>1.0</v>
      </c>
      <c r="N15" s="34">
        <f t="shared" ref="N15:O15" si="20">C15+L15</f>
        <v>300</v>
      </c>
      <c r="O15" s="34">
        <f t="shared" si="20"/>
        <v>26</v>
      </c>
      <c r="P15" s="49" t="s">
        <v>58</v>
      </c>
      <c r="Q15" s="49" t="s">
        <v>58</v>
      </c>
      <c r="R15" s="49" t="s">
        <v>58</v>
      </c>
      <c r="S15" s="50">
        <f t="shared" si="4"/>
        <v>18</v>
      </c>
      <c r="T15" s="52">
        <f t="shared" si="5"/>
        <v>0</v>
      </c>
      <c r="U15" s="52"/>
      <c r="V15" s="50">
        <f t="shared" si="6"/>
        <v>6</v>
      </c>
      <c r="W15" s="52">
        <f t="shared" si="7"/>
        <v>4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103</v>
      </c>
      <c r="C16" s="34">
        <v>285.0</v>
      </c>
      <c r="D16" s="34">
        <v>20.0</v>
      </c>
      <c r="E16" s="35">
        <f t="shared" si="2"/>
        <v>12.61111111</v>
      </c>
      <c r="F16" s="95">
        <v>1.0</v>
      </c>
      <c r="G16" s="96">
        <v>2.0</v>
      </c>
      <c r="H16" s="97">
        <v>0.0</v>
      </c>
      <c r="I16" s="96">
        <v>6.0</v>
      </c>
      <c r="J16" s="96">
        <v>6.0</v>
      </c>
      <c r="K16" s="96">
        <v>3.0</v>
      </c>
      <c r="L16" s="98">
        <v>15.0</v>
      </c>
      <c r="M16" s="96">
        <v>1.0</v>
      </c>
      <c r="N16" s="34">
        <f t="shared" ref="N16:O16" si="21">C16+L16</f>
        <v>300</v>
      </c>
      <c r="O16" s="34">
        <f t="shared" si="21"/>
        <v>21</v>
      </c>
      <c r="P16" s="49" t="s">
        <v>58</v>
      </c>
      <c r="Q16" s="49" t="s">
        <v>58</v>
      </c>
      <c r="R16" s="49" t="s">
        <v>58</v>
      </c>
      <c r="S16" s="50">
        <f t="shared" si="4"/>
        <v>18</v>
      </c>
      <c r="T16" s="52">
        <f t="shared" si="5"/>
        <v>1</v>
      </c>
      <c r="U16" s="52"/>
      <c r="V16" s="50">
        <f t="shared" si="6"/>
        <v>5</v>
      </c>
      <c r="W16" s="52">
        <f t="shared" si="7"/>
        <v>-1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134</v>
      </c>
      <c r="C17" s="34">
        <v>283.0</v>
      </c>
      <c r="D17" s="34">
        <v>27.0</v>
      </c>
      <c r="E17" s="35">
        <f t="shared" si="2"/>
        <v>14.15384615</v>
      </c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22">C17+L17</f>
        <v>292</v>
      </c>
      <c r="O17" s="34">
        <f t="shared" si="22"/>
        <v>27</v>
      </c>
      <c r="P17" s="49" t="s">
        <v>58</v>
      </c>
      <c r="Q17" s="49" t="s">
        <v>58</v>
      </c>
      <c r="R17" s="49" t="s">
        <v>58</v>
      </c>
      <c r="S17" s="50">
        <f t="shared" si="4"/>
        <v>13</v>
      </c>
      <c r="T17" s="52">
        <f t="shared" si="5"/>
        <v>0</v>
      </c>
      <c r="U17" s="52"/>
      <c r="V17" s="50">
        <f t="shared" si="6"/>
        <v>11</v>
      </c>
      <c r="W17" s="52">
        <f t="shared" si="7"/>
        <v>-1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133</v>
      </c>
      <c r="C18" s="34">
        <v>280.0</v>
      </c>
      <c r="D18" s="34">
        <v>28.0</v>
      </c>
      <c r="E18" s="35">
        <f t="shared" si="2"/>
        <v>12.36842105</v>
      </c>
      <c r="F18" s="95">
        <v>1.0</v>
      </c>
      <c r="G18" s="96">
        <v>2.0</v>
      </c>
      <c r="H18" s="97">
        <v>0.0</v>
      </c>
      <c r="I18" s="96">
        <v>7.0</v>
      </c>
      <c r="J18" s="96">
        <v>2.0</v>
      </c>
      <c r="K18" s="96">
        <v>3.0</v>
      </c>
      <c r="L18" s="98">
        <v>12.0</v>
      </c>
      <c r="M18" s="96">
        <v>1.0</v>
      </c>
      <c r="N18" s="34">
        <f t="shared" ref="N18:O18" si="23">C18+L18</f>
        <v>292</v>
      </c>
      <c r="O18" s="34">
        <f t="shared" si="23"/>
        <v>29</v>
      </c>
      <c r="P18" s="49" t="s">
        <v>58</v>
      </c>
      <c r="Q18" s="49" t="s">
        <v>58</v>
      </c>
      <c r="R18" s="49" t="s">
        <v>58</v>
      </c>
      <c r="S18" s="50">
        <f t="shared" si="4"/>
        <v>19</v>
      </c>
      <c r="T18" s="52">
        <f t="shared" si="5"/>
        <v>0</v>
      </c>
      <c r="U18" s="52"/>
      <c r="V18" s="50">
        <f t="shared" si="6"/>
        <v>5</v>
      </c>
      <c r="W18" s="52">
        <f t="shared" si="7"/>
        <v>-1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87</v>
      </c>
      <c r="C19" s="34">
        <v>280.0</v>
      </c>
      <c r="D19" s="34">
        <v>27.0</v>
      </c>
      <c r="E19" s="35">
        <f t="shared" si="2"/>
        <v>12.15789474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4">C19+L19</f>
        <v>289</v>
      </c>
      <c r="O19" s="34">
        <f t="shared" si="24"/>
        <v>27</v>
      </c>
      <c r="P19" s="49" t="s">
        <v>58</v>
      </c>
      <c r="Q19" s="49" t="s">
        <v>58</v>
      </c>
      <c r="R19" s="49" t="s">
        <v>58</v>
      </c>
      <c r="S19" s="50">
        <f t="shared" si="4"/>
        <v>19</v>
      </c>
      <c r="T19" s="52">
        <f t="shared" si="5"/>
        <v>1</v>
      </c>
      <c r="U19" s="52"/>
      <c r="V19" s="50">
        <f t="shared" si="6"/>
        <v>4</v>
      </c>
      <c r="W19" s="52">
        <f t="shared" si="7"/>
        <v>-1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111</v>
      </c>
      <c r="C20" s="34">
        <v>279.0</v>
      </c>
      <c r="D20" s="34">
        <v>25.0</v>
      </c>
      <c r="E20" s="35">
        <f t="shared" si="2"/>
        <v>12.10526316</v>
      </c>
      <c r="F20" s="95">
        <v>2.0</v>
      </c>
      <c r="G20" s="96">
        <v>2.0</v>
      </c>
      <c r="H20" s="97">
        <v>0.0</v>
      </c>
      <c r="I20" s="96">
        <v>7.0</v>
      </c>
      <c r="J20" s="96">
        <v>6.0</v>
      </c>
      <c r="K20" s="96">
        <v>6.0</v>
      </c>
      <c r="L20" s="98">
        <v>19.0</v>
      </c>
      <c r="M20" s="96">
        <v>3.0</v>
      </c>
      <c r="N20" s="34">
        <f t="shared" ref="N20:O20" si="25">C20+L20</f>
        <v>298</v>
      </c>
      <c r="O20" s="34">
        <f t="shared" si="25"/>
        <v>28</v>
      </c>
      <c r="P20" s="49" t="s">
        <v>58</v>
      </c>
      <c r="Q20" s="49" t="s">
        <v>58</v>
      </c>
      <c r="R20" s="49" t="s">
        <v>58</v>
      </c>
      <c r="S20" s="50">
        <f t="shared" si="4"/>
        <v>19</v>
      </c>
      <c r="T20" s="52">
        <f t="shared" si="5"/>
        <v>1</v>
      </c>
      <c r="U20" s="52"/>
      <c r="V20" s="50">
        <f t="shared" si="6"/>
        <v>4</v>
      </c>
      <c r="W20" s="52">
        <f t="shared" si="7"/>
        <v>2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65</v>
      </c>
      <c r="C21" s="34">
        <v>278.0</v>
      </c>
      <c r="D21" s="34">
        <v>27.0</v>
      </c>
      <c r="E21" s="35">
        <f t="shared" si="2"/>
        <v>13.13333333</v>
      </c>
      <c r="F21" s="95">
        <v>1.0</v>
      </c>
      <c r="G21" s="96">
        <v>3.0</v>
      </c>
      <c r="H21" s="97">
        <v>0.0</v>
      </c>
      <c r="I21" s="96">
        <v>6.0</v>
      </c>
      <c r="J21" s="96">
        <v>3.0</v>
      </c>
      <c r="K21" s="96">
        <v>6.0</v>
      </c>
      <c r="L21" s="98">
        <v>15.0</v>
      </c>
      <c r="M21" s="96">
        <v>2.0</v>
      </c>
      <c r="N21" s="34">
        <f t="shared" ref="N21:O21" si="26">C21+L21</f>
        <v>293</v>
      </c>
      <c r="O21" s="34">
        <f t="shared" si="26"/>
        <v>29</v>
      </c>
      <c r="P21" s="49" t="s">
        <v>58</v>
      </c>
      <c r="Q21" s="49" t="s">
        <v>58</v>
      </c>
      <c r="R21" s="49" t="s">
        <v>58</v>
      </c>
      <c r="S21" s="50">
        <f t="shared" si="4"/>
        <v>15</v>
      </c>
      <c r="T21" s="52">
        <f t="shared" si="5"/>
        <v>0</v>
      </c>
      <c r="U21" s="52"/>
      <c r="V21" s="50">
        <f t="shared" si="6"/>
        <v>9</v>
      </c>
      <c r="W21" s="52">
        <f t="shared" si="7"/>
        <v>-1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110</v>
      </c>
      <c r="C22" s="34">
        <v>277.0</v>
      </c>
      <c r="D22" s="34">
        <v>28.0</v>
      </c>
      <c r="E22" s="35">
        <f t="shared" si="2"/>
        <v>11.77272727</v>
      </c>
      <c r="F22" s="95">
        <v>1.0</v>
      </c>
      <c r="G22" s="96">
        <v>3.0</v>
      </c>
      <c r="H22" s="97">
        <v>0.0</v>
      </c>
      <c r="I22" s="96">
        <v>3.0</v>
      </c>
      <c r="J22" s="96">
        <v>6.0</v>
      </c>
      <c r="K22" s="96">
        <v>6.0</v>
      </c>
      <c r="L22" s="98">
        <v>15.0</v>
      </c>
      <c r="M22" s="96">
        <v>2.0</v>
      </c>
      <c r="N22" s="34">
        <f t="shared" ref="N22:O22" si="27">C22+L22</f>
        <v>292</v>
      </c>
      <c r="O22" s="34">
        <f t="shared" si="27"/>
        <v>30</v>
      </c>
      <c r="P22" s="49" t="s">
        <v>58</v>
      </c>
      <c r="Q22" s="49" t="s">
        <v>58</v>
      </c>
      <c r="R22" s="49" t="s">
        <v>58</v>
      </c>
      <c r="S22" s="50">
        <f t="shared" si="4"/>
        <v>22</v>
      </c>
      <c r="T22" s="52">
        <f t="shared" si="5"/>
        <v>0</v>
      </c>
      <c r="U22" s="52"/>
      <c r="V22" s="50">
        <f t="shared" si="6"/>
        <v>2</v>
      </c>
      <c r="W22" s="52">
        <f t="shared" si="7"/>
        <v>2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99</v>
      </c>
      <c r="C23" s="34">
        <v>277.0</v>
      </c>
      <c r="D23" s="34">
        <v>21.0</v>
      </c>
      <c r="E23" s="35">
        <f t="shared" si="2"/>
        <v>12.8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8">C23+L23</f>
        <v>286</v>
      </c>
      <c r="O23" s="34">
        <f t="shared" si="28"/>
        <v>21</v>
      </c>
      <c r="P23" s="49" t="s">
        <v>58</v>
      </c>
      <c r="Q23" s="49" t="s">
        <v>58</v>
      </c>
      <c r="R23" s="49" t="s">
        <v>58</v>
      </c>
      <c r="S23" s="50">
        <f t="shared" si="4"/>
        <v>15</v>
      </c>
      <c r="T23" s="52">
        <f t="shared" si="5"/>
        <v>1</v>
      </c>
      <c r="U23" s="52"/>
      <c r="V23" s="50">
        <f t="shared" si="6"/>
        <v>8</v>
      </c>
      <c r="W23" s="52">
        <f t="shared" si="7"/>
        <v>6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66</v>
      </c>
      <c r="C24" s="34">
        <v>275.0</v>
      </c>
      <c r="D24" s="34">
        <v>24.0</v>
      </c>
      <c r="E24" s="35">
        <f t="shared" si="2"/>
        <v>11.68181818</v>
      </c>
      <c r="F24" s="95">
        <v>1.0</v>
      </c>
      <c r="G24" s="96">
        <v>3.0</v>
      </c>
      <c r="H24" s="97">
        <v>0.0</v>
      </c>
      <c r="I24" s="96">
        <v>3.0</v>
      </c>
      <c r="J24" s="96">
        <v>3.0</v>
      </c>
      <c r="K24" s="96">
        <v>3.0</v>
      </c>
      <c r="L24" s="98">
        <v>9.0</v>
      </c>
      <c r="M24" s="96">
        <v>0.0</v>
      </c>
      <c r="N24" s="34">
        <f t="shared" ref="N24:O24" si="29">C24+L24</f>
        <v>284</v>
      </c>
      <c r="O24" s="34">
        <f t="shared" si="29"/>
        <v>24</v>
      </c>
      <c r="P24" s="49" t="s">
        <v>58</v>
      </c>
      <c r="Q24" s="49" t="s">
        <v>58</v>
      </c>
      <c r="R24" s="49" t="s">
        <v>58</v>
      </c>
      <c r="S24" s="50">
        <f t="shared" si="4"/>
        <v>22</v>
      </c>
      <c r="T24" s="52">
        <f t="shared" si="5"/>
        <v>0</v>
      </c>
      <c r="U24" s="52"/>
      <c r="V24" s="50">
        <f t="shared" si="6"/>
        <v>2</v>
      </c>
      <c r="W24" s="52">
        <f t="shared" si="7"/>
        <v>9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107</v>
      </c>
      <c r="C25" s="34">
        <v>275.0</v>
      </c>
      <c r="D25" s="34">
        <v>23.0</v>
      </c>
      <c r="E25" s="35">
        <f t="shared" si="2"/>
        <v>13.23076923</v>
      </c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30">C25+L25</f>
        <v>284</v>
      </c>
      <c r="O25" s="34">
        <f t="shared" si="30"/>
        <v>23</v>
      </c>
      <c r="P25" s="49" t="s">
        <v>58</v>
      </c>
      <c r="Q25" s="49" t="s">
        <v>58</v>
      </c>
      <c r="R25" s="49" t="s">
        <v>58</v>
      </c>
      <c r="S25" s="50">
        <f t="shared" si="4"/>
        <v>13</v>
      </c>
      <c r="T25" s="52">
        <f t="shared" si="5"/>
        <v>1</v>
      </c>
      <c r="U25" s="52"/>
      <c r="V25" s="50">
        <f t="shared" si="6"/>
        <v>10</v>
      </c>
      <c r="W25" s="52">
        <f t="shared" si="7"/>
        <v>-4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128</v>
      </c>
      <c r="C26" s="34">
        <v>274.0</v>
      </c>
      <c r="D26" s="34">
        <v>22.0</v>
      </c>
      <c r="E26" s="35">
        <f t="shared" si="2"/>
        <v>12.625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31">C26+L26</f>
        <v>283</v>
      </c>
      <c r="O26" s="34">
        <f t="shared" si="31"/>
        <v>22</v>
      </c>
      <c r="P26" s="49" t="s">
        <v>58</v>
      </c>
      <c r="Q26" s="49" t="s">
        <v>58</v>
      </c>
      <c r="R26" s="49" t="s">
        <v>58</v>
      </c>
      <c r="S26" s="50">
        <f t="shared" si="4"/>
        <v>16</v>
      </c>
      <c r="T26" s="52">
        <f t="shared" si="5"/>
        <v>0</v>
      </c>
      <c r="U26" s="52"/>
      <c r="V26" s="50">
        <f t="shared" si="6"/>
        <v>8</v>
      </c>
      <c r="W26" s="52">
        <f t="shared" si="7"/>
        <v>-3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93</v>
      </c>
      <c r="C27" s="34">
        <v>272.0</v>
      </c>
      <c r="D27" s="34">
        <v>24.0</v>
      </c>
      <c r="E27" s="35">
        <f t="shared" si="2"/>
        <v>13.30769231</v>
      </c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2">C27+L27</f>
        <v>281</v>
      </c>
      <c r="O27" s="34">
        <f t="shared" si="32"/>
        <v>24</v>
      </c>
      <c r="P27" s="49" t="s">
        <v>58</v>
      </c>
      <c r="Q27" s="49" t="s">
        <v>58</v>
      </c>
      <c r="R27" s="49" t="s">
        <v>58</v>
      </c>
      <c r="S27" s="50">
        <f t="shared" si="4"/>
        <v>13</v>
      </c>
      <c r="T27" s="52">
        <f t="shared" si="5"/>
        <v>0</v>
      </c>
      <c r="U27" s="52"/>
      <c r="V27" s="50">
        <f t="shared" si="6"/>
        <v>11</v>
      </c>
      <c r="W27" s="52">
        <f t="shared" si="7"/>
        <v>8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97</v>
      </c>
      <c r="C28" s="34">
        <v>271.0</v>
      </c>
      <c r="D28" s="34">
        <v>25.0</v>
      </c>
      <c r="E28" s="35">
        <f t="shared" si="2"/>
        <v>12.4375</v>
      </c>
      <c r="F28" s="95">
        <v>1.0</v>
      </c>
      <c r="G28" s="96">
        <v>3.0</v>
      </c>
      <c r="H28" s="97">
        <v>0.0</v>
      </c>
      <c r="I28" s="96">
        <v>6.0</v>
      </c>
      <c r="J28" s="96">
        <v>6.0</v>
      </c>
      <c r="K28" s="96">
        <v>3.0</v>
      </c>
      <c r="L28" s="98">
        <v>15.0</v>
      </c>
      <c r="M28" s="96">
        <v>2.0</v>
      </c>
      <c r="N28" s="34">
        <f t="shared" ref="N28:O28" si="33">C28+L28</f>
        <v>286</v>
      </c>
      <c r="O28" s="34">
        <f t="shared" si="33"/>
        <v>27</v>
      </c>
      <c r="P28" s="49" t="s">
        <v>58</v>
      </c>
      <c r="Q28" s="49" t="s">
        <v>58</v>
      </c>
      <c r="R28" s="49" t="s">
        <v>58</v>
      </c>
      <c r="S28" s="50">
        <f t="shared" si="4"/>
        <v>16</v>
      </c>
      <c r="T28" s="52">
        <f t="shared" si="5"/>
        <v>0</v>
      </c>
      <c r="U28" s="52"/>
      <c r="V28" s="50">
        <f t="shared" si="6"/>
        <v>8</v>
      </c>
      <c r="W28" s="52">
        <f t="shared" si="7"/>
        <v>-3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100</v>
      </c>
      <c r="C29" s="34">
        <v>271.0</v>
      </c>
      <c r="D29" s="34">
        <v>21.0</v>
      </c>
      <c r="E29" s="35">
        <f t="shared" si="2"/>
        <v>12.66666667</v>
      </c>
      <c r="F29" s="95">
        <v>2.0</v>
      </c>
      <c r="G29" s="96">
        <v>4.0</v>
      </c>
      <c r="H29" s="97">
        <v>0.0</v>
      </c>
      <c r="I29" s="96">
        <v>4.0</v>
      </c>
      <c r="J29" s="96">
        <v>6.0</v>
      </c>
      <c r="K29" s="96">
        <v>5.0</v>
      </c>
      <c r="L29" s="98">
        <v>15.0</v>
      </c>
      <c r="M29" s="96">
        <v>1.0</v>
      </c>
      <c r="N29" s="34">
        <f t="shared" ref="N29:O29" si="34">C29+L29</f>
        <v>286</v>
      </c>
      <c r="O29" s="34">
        <f t="shared" si="34"/>
        <v>22</v>
      </c>
      <c r="P29" s="49" t="s">
        <v>58</v>
      </c>
      <c r="Q29" s="49" t="s">
        <v>58</v>
      </c>
      <c r="R29" s="49"/>
      <c r="S29" s="50">
        <f t="shared" si="4"/>
        <v>15</v>
      </c>
      <c r="T29" s="52">
        <f t="shared" si="5"/>
        <v>0</v>
      </c>
      <c r="U29" s="52"/>
      <c r="V29" s="50">
        <f t="shared" si="6"/>
        <v>9</v>
      </c>
      <c r="W29" s="52">
        <f t="shared" si="7"/>
        <v>5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96</v>
      </c>
      <c r="C30" s="34">
        <v>270.0</v>
      </c>
      <c r="D30" s="34">
        <v>21.0</v>
      </c>
      <c r="E30" s="35">
        <f t="shared" si="2"/>
        <v>11.57142857</v>
      </c>
      <c r="F30" s="95">
        <v>2.0</v>
      </c>
      <c r="G30" s="96">
        <v>4.0</v>
      </c>
      <c r="H30" s="97">
        <v>0.0</v>
      </c>
      <c r="I30" s="96">
        <v>6.0</v>
      </c>
      <c r="J30" s="96">
        <v>4.0</v>
      </c>
      <c r="K30" s="96">
        <v>5.0</v>
      </c>
      <c r="L30" s="98">
        <v>15.0</v>
      </c>
      <c r="M30" s="96">
        <v>1.0</v>
      </c>
      <c r="N30" s="34">
        <f t="shared" ref="N30:O30" si="35">C30+L30</f>
        <v>285</v>
      </c>
      <c r="O30" s="34">
        <f t="shared" si="35"/>
        <v>22</v>
      </c>
      <c r="P30" s="49" t="s">
        <v>58</v>
      </c>
      <c r="Q30" s="49" t="s">
        <v>58</v>
      </c>
      <c r="R30" s="49" t="s">
        <v>58</v>
      </c>
      <c r="S30" s="50">
        <f t="shared" si="4"/>
        <v>21</v>
      </c>
      <c r="T30" s="52">
        <f t="shared" si="5"/>
        <v>0</v>
      </c>
      <c r="U30" s="52"/>
      <c r="V30" s="50">
        <f t="shared" si="6"/>
        <v>3</v>
      </c>
      <c r="W30" s="52">
        <f t="shared" si="7"/>
        <v>-3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135</v>
      </c>
      <c r="C31" s="34">
        <v>269.0</v>
      </c>
      <c r="D31" s="34">
        <v>26.0</v>
      </c>
      <c r="E31" s="35">
        <f t="shared" si="2"/>
        <v>12.11764706</v>
      </c>
      <c r="F31" s="95">
        <v>1.0</v>
      </c>
      <c r="G31" s="96">
        <v>4.0</v>
      </c>
      <c r="H31" s="97">
        <v>0.0</v>
      </c>
      <c r="I31" s="96">
        <v>6.0</v>
      </c>
      <c r="J31" s="96">
        <v>6.0</v>
      </c>
      <c r="K31" s="96">
        <v>7.0</v>
      </c>
      <c r="L31" s="98">
        <v>19.0</v>
      </c>
      <c r="M31" s="96">
        <v>3.0</v>
      </c>
      <c r="N31" s="34">
        <f t="shared" ref="N31:O31" si="36">C31+L31</f>
        <v>288</v>
      </c>
      <c r="O31" s="34">
        <f t="shared" si="36"/>
        <v>29</v>
      </c>
      <c r="P31" s="49" t="s">
        <v>58</v>
      </c>
      <c r="Q31" s="49" t="s">
        <v>58</v>
      </c>
      <c r="R31" s="49" t="s">
        <v>58</v>
      </c>
      <c r="S31" s="50">
        <f t="shared" si="4"/>
        <v>17</v>
      </c>
      <c r="T31" s="52">
        <f t="shared" si="5"/>
        <v>0</v>
      </c>
      <c r="U31" s="52"/>
      <c r="V31" s="50">
        <f t="shared" si="6"/>
        <v>7</v>
      </c>
      <c r="W31" s="52">
        <f t="shared" si="7"/>
        <v>-3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50</v>
      </c>
      <c r="C32" s="34">
        <v>268.0</v>
      </c>
      <c r="D32" s="34">
        <v>23.0</v>
      </c>
      <c r="E32" s="35">
        <f t="shared" si="2"/>
        <v>11.6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7">C32+L32</f>
        <v>277</v>
      </c>
      <c r="O32" s="34">
        <f t="shared" si="37"/>
        <v>23</v>
      </c>
      <c r="P32" s="49" t="s">
        <v>58</v>
      </c>
      <c r="Q32" s="49" t="s">
        <v>58</v>
      </c>
      <c r="R32" s="49" t="s">
        <v>58</v>
      </c>
      <c r="S32" s="50">
        <f t="shared" si="4"/>
        <v>20</v>
      </c>
      <c r="T32" s="52">
        <f t="shared" si="5"/>
        <v>0</v>
      </c>
      <c r="U32" s="52"/>
      <c r="V32" s="50">
        <f t="shared" si="6"/>
        <v>4</v>
      </c>
      <c r="W32" s="52">
        <f t="shared" si="7"/>
        <v>-2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109</v>
      </c>
      <c r="C33" s="34">
        <v>268.0</v>
      </c>
      <c r="D33" s="34">
        <v>22.0</v>
      </c>
      <c r="E33" s="35">
        <f t="shared" si="2"/>
        <v>11.82352941</v>
      </c>
      <c r="F33" s="95">
        <v>5.0</v>
      </c>
      <c r="G33" s="96">
        <v>0.0</v>
      </c>
      <c r="H33" s="97">
        <v>13.0</v>
      </c>
      <c r="I33" s="96">
        <v>0.0</v>
      </c>
      <c r="J33" s="96">
        <v>0.0</v>
      </c>
      <c r="K33" s="96">
        <v>0.0</v>
      </c>
      <c r="L33" s="98">
        <v>13.0</v>
      </c>
      <c r="M33" s="96">
        <v>0.0</v>
      </c>
      <c r="N33" s="34">
        <f t="shared" ref="N33:O33" si="38">C33+L33</f>
        <v>281</v>
      </c>
      <c r="O33" s="34">
        <f t="shared" si="38"/>
        <v>22</v>
      </c>
      <c r="P33" s="49" t="s">
        <v>58</v>
      </c>
      <c r="Q33" s="49" t="s">
        <v>58</v>
      </c>
      <c r="R33" s="49"/>
      <c r="S33" s="50">
        <f t="shared" si="4"/>
        <v>17</v>
      </c>
      <c r="T33" s="52">
        <f t="shared" si="5"/>
        <v>1</v>
      </c>
      <c r="U33" s="52"/>
      <c r="V33" s="50">
        <f t="shared" si="6"/>
        <v>6</v>
      </c>
      <c r="W33" s="52">
        <f t="shared" si="7"/>
        <v>-2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136</v>
      </c>
      <c r="C34" s="34">
        <v>268.0</v>
      </c>
      <c r="D34" s="34">
        <v>22.0</v>
      </c>
      <c r="E34" s="35">
        <f t="shared" si="2"/>
        <v>11.08695652</v>
      </c>
      <c r="F34" s="95">
        <v>1.0</v>
      </c>
      <c r="G34" s="96">
        <v>4.0</v>
      </c>
      <c r="H34" s="97">
        <v>0.0</v>
      </c>
      <c r="I34" s="96">
        <v>4.0</v>
      </c>
      <c r="J34" s="96">
        <v>4.0</v>
      </c>
      <c r="K34" s="96">
        <v>7.0</v>
      </c>
      <c r="L34" s="98">
        <v>15.0</v>
      </c>
      <c r="M34" s="96">
        <v>1.0</v>
      </c>
      <c r="N34" s="34">
        <f t="shared" ref="N34:O34" si="39">C34+L34</f>
        <v>283</v>
      </c>
      <c r="O34" s="34">
        <f t="shared" si="39"/>
        <v>23</v>
      </c>
      <c r="P34" s="49" t="s">
        <v>58</v>
      </c>
      <c r="Q34" s="49" t="s">
        <v>58</v>
      </c>
      <c r="R34" s="49" t="s">
        <v>58</v>
      </c>
      <c r="S34" s="50">
        <f t="shared" si="4"/>
        <v>23</v>
      </c>
      <c r="T34" s="52">
        <f t="shared" si="5"/>
        <v>1</v>
      </c>
      <c r="U34" s="52"/>
      <c r="V34" s="50">
        <f t="shared" si="6"/>
        <v>0</v>
      </c>
      <c r="W34" s="52">
        <f t="shared" si="7"/>
        <v>2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114</v>
      </c>
      <c r="C35" s="34">
        <v>268.0</v>
      </c>
      <c r="D35" s="34">
        <v>19.0</v>
      </c>
      <c r="E35" s="35">
        <f t="shared" si="2"/>
        <v>11.52631579</v>
      </c>
      <c r="F35" s="95">
        <v>1.0</v>
      </c>
      <c r="G35" s="96">
        <v>5.0</v>
      </c>
      <c r="H35" s="97">
        <v>0.0</v>
      </c>
      <c r="I35" s="96">
        <v>2.0</v>
      </c>
      <c r="J35" s="96">
        <v>6.0</v>
      </c>
      <c r="K35" s="96">
        <v>2.0</v>
      </c>
      <c r="L35" s="98">
        <v>10.0</v>
      </c>
      <c r="M35" s="96">
        <v>0.0</v>
      </c>
      <c r="N35" s="34">
        <f t="shared" ref="N35:O35" si="40">C35+L35</f>
        <v>278</v>
      </c>
      <c r="O35" s="34">
        <f t="shared" si="40"/>
        <v>19</v>
      </c>
      <c r="P35" s="49" t="s">
        <v>58</v>
      </c>
      <c r="Q35" s="49" t="s">
        <v>58</v>
      </c>
      <c r="R35" s="49" t="s">
        <v>58</v>
      </c>
      <c r="S35" s="50">
        <f t="shared" si="4"/>
        <v>19</v>
      </c>
      <c r="T35" s="52">
        <f t="shared" si="5"/>
        <v>1</v>
      </c>
      <c r="U35" s="52"/>
      <c r="V35" s="50">
        <f t="shared" si="6"/>
        <v>4</v>
      </c>
      <c r="W35" s="52">
        <f t="shared" si="7"/>
        <v>-3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60</v>
      </c>
      <c r="C36" s="34">
        <v>266.0</v>
      </c>
      <c r="D36" s="34">
        <v>27.0</v>
      </c>
      <c r="E36" s="35">
        <f t="shared" si="2"/>
        <v>11.38095238</v>
      </c>
      <c r="F36" s="95">
        <v>1.0</v>
      </c>
      <c r="G36" s="96">
        <v>5.0</v>
      </c>
      <c r="H36" s="97">
        <v>0.0</v>
      </c>
      <c r="I36" s="96">
        <v>2.0</v>
      </c>
      <c r="J36" s="96">
        <v>7.0</v>
      </c>
      <c r="K36" s="96">
        <v>6.0</v>
      </c>
      <c r="L36" s="98">
        <v>15.0</v>
      </c>
      <c r="M36" s="96">
        <v>2.0</v>
      </c>
      <c r="N36" s="34">
        <f t="shared" ref="N36:O36" si="41">C36+L36</f>
        <v>281</v>
      </c>
      <c r="O36" s="34">
        <f t="shared" si="41"/>
        <v>29</v>
      </c>
      <c r="P36" s="49" t="s">
        <v>58</v>
      </c>
      <c r="Q36" s="49" t="s">
        <v>58</v>
      </c>
      <c r="R36" s="49" t="s">
        <v>58</v>
      </c>
      <c r="S36" s="50">
        <f t="shared" si="4"/>
        <v>21</v>
      </c>
      <c r="T36" s="52">
        <f t="shared" si="5"/>
        <v>0</v>
      </c>
      <c r="U36" s="52"/>
      <c r="V36" s="50">
        <f t="shared" si="6"/>
        <v>3</v>
      </c>
      <c r="W36" s="52">
        <f t="shared" si="7"/>
        <v>1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49</v>
      </c>
      <c r="C37" s="34">
        <v>265.0</v>
      </c>
      <c r="D37" s="34">
        <v>23.0</v>
      </c>
      <c r="E37" s="35">
        <f t="shared" si="2"/>
        <v>11.33333333</v>
      </c>
      <c r="F37" s="95">
        <v>1.0</v>
      </c>
      <c r="G37" s="96">
        <v>5.0</v>
      </c>
      <c r="H37" s="97">
        <v>0.0</v>
      </c>
      <c r="I37" s="96">
        <v>6.0</v>
      </c>
      <c r="J37" s="96">
        <v>6.0</v>
      </c>
      <c r="K37" s="96">
        <v>6.0</v>
      </c>
      <c r="L37" s="98">
        <v>18.0</v>
      </c>
      <c r="M37" s="96">
        <v>2.0</v>
      </c>
      <c r="N37" s="34">
        <f t="shared" ref="N37:O37" si="42">C37+L37</f>
        <v>283</v>
      </c>
      <c r="O37" s="34">
        <f t="shared" si="42"/>
        <v>25</v>
      </c>
      <c r="P37" s="49" t="s">
        <v>58</v>
      </c>
      <c r="Q37" s="49" t="s">
        <v>58</v>
      </c>
      <c r="R37" s="49" t="s">
        <v>58</v>
      </c>
      <c r="S37" s="50">
        <f t="shared" si="4"/>
        <v>21</v>
      </c>
      <c r="T37" s="52">
        <f t="shared" si="5"/>
        <v>0</v>
      </c>
      <c r="U37" s="52"/>
      <c r="V37" s="50">
        <f t="shared" si="6"/>
        <v>3</v>
      </c>
      <c r="W37" s="52">
        <f t="shared" si="7"/>
        <v>-11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89</v>
      </c>
      <c r="C38" s="34">
        <v>262.0</v>
      </c>
      <c r="D38" s="34">
        <v>21.0</v>
      </c>
      <c r="E38" s="35">
        <f t="shared" si="2"/>
        <v>12.83333333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3">C38+L38</f>
        <v>271</v>
      </c>
      <c r="O38" s="34">
        <f t="shared" si="43"/>
        <v>21</v>
      </c>
      <c r="P38" s="49" t="s">
        <v>58</v>
      </c>
      <c r="Q38" s="49" t="s">
        <v>58</v>
      </c>
      <c r="R38" s="49" t="s">
        <v>58</v>
      </c>
      <c r="S38" s="50">
        <f t="shared" si="4"/>
        <v>12</v>
      </c>
      <c r="T38" s="52">
        <f t="shared" si="5"/>
        <v>0</v>
      </c>
      <c r="U38" s="52"/>
      <c r="V38" s="50">
        <f t="shared" si="6"/>
        <v>12</v>
      </c>
      <c r="W38" s="52">
        <f t="shared" si="7"/>
        <v>0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106</v>
      </c>
      <c r="C39" s="34">
        <v>256.0</v>
      </c>
      <c r="D39" s="34">
        <v>20.0</v>
      </c>
      <c r="E39" s="35">
        <f t="shared" si="2"/>
        <v>11.25</v>
      </c>
      <c r="F39" s="95">
        <v>1.0</v>
      </c>
      <c r="G39" s="96">
        <v>5.0</v>
      </c>
      <c r="H39" s="97">
        <v>0.0</v>
      </c>
      <c r="I39" s="96">
        <v>6.0</v>
      </c>
      <c r="J39" s="96">
        <v>7.0</v>
      </c>
      <c r="K39" s="96">
        <v>2.0</v>
      </c>
      <c r="L39" s="98">
        <v>15.0</v>
      </c>
      <c r="M39" s="96">
        <v>2.0</v>
      </c>
      <c r="N39" s="34">
        <f t="shared" ref="N39:O39" si="44">C39+L39</f>
        <v>271</v>
      </c>
      <c r="O39" s="34">
        <f t="shared" si="44"/>
        <v>22</v>
      </c>
      <c r="P39" s="49" t="s">
        <v>58</v>
      </c>
      <c r="Q39" s="49" t="s">
        <v>58</v>
      </c>
      <c r="R39" s="49" t="s">
        <v>58</v>
      </c>
      <c r="S39" s="50">
        <f t="shared" si="4"/>
        <v>16</v>
      </c>
      <c r="T39" s="52">
        <f t="shared" si="5"/>
        <v>1</v>
      </c>
      <c r="U39" s="52"/>
      <c r="V39" s="50">
        <f t="shared" si="6"/>
        <v>7</v>
      </c>
      <c r="W39" s="52">
        <f t="shared" si="7"/>
        <v>0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122</v>
      </c>
      <c r="C40" s="34">
        <v>256.0</v>
      </c>
      <c r="D40" s="34">
        <v>19.0</v>
      </c>
      <c r="E40" s="35">
        <f t="shared" si="2"/>
        <v>12.07692308</v>
      </c>
      <c r="F40" s="95">
        <v>1.0</v>
      </c>
      <c r="G40" s="96">
        <v>6.0</v>
      </c>
      <c r="H40" s="97">
        <v>0.0</v>
      </c>
      <c r="I40" s="96">
        <v>7.0</v>
      </c>
      <c r="J40" s="96">
        <v>6.0</v>
      </c>
      <c r="K40" s="96">
        <v>6.0</v>
      </c>
      <c r="L40" s="98">
        <v>19.0</v>
      </c>
      <c r="M40" s="96">
        <v>3.0</v>
      </c>
      <c r="N40" s="34">
        <f t="shared" ref="N40:O40" si="45">C40+L40</f>
        <v>275</v>
      </c>
      <c r="O40" s="34">
        <f t="shared" si="45"/>
        <v>22</v>
      </c>
      <c r="P40" s="49" t="s">
        <v>58</v>
      </c>
      <c r="Q40" s="49" t="s">
        <v>58</v>
      </c>
      <c r="R40" s="49" t="s">
        <v>58</v>
      </c>
      <c r="S40" s="50">
        <f t="shared" si="4"/>
        <v>13</v>
      </c>
      <c r="T40" s="52">
        <f t="shared" si="5"/>
        <v>0</v>
      </c>
      <c r="U40" s="52"/>
      <c r="V40" s="50">
        <f t="shared" si="6"/>
        <v>11</v>
      </c>
      <c r="W40" s="52">
        <f t="shared" si="7"/>
        <v>0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138</v>
      </c>
      <c r="C41" s="34">
        <v>250.0</v>
      </c>
      <c r="D41" s="34">
        <v>16.0</v>
      </c>
      <c r="E41" s="35">
        <f t="shared" si="2"/>
        <v>11.61538462</v>
      </c>
      <c r="F41" s="95">
        <v>2.0</v>
      </c>
      <c r="G41" s="96">
        <v>6.0</v>
      </c>
      <c r="H41" s="97">
        <v>0.0</v>
      </c>
      <c r="I41" s="96">
        <v>7.0</v>
      </c>
      <c r="J41" s="96">
        <v>3.0</v>
      </c>
      <c r="K41" s="96">
        <v>3.0</v>
      </c>
      <c r="L41" s="98">
        <v>13.0</v>
      </c>
      <c r="M41" s="96">
        <v>1.0</v>
      </c>
      <c r="N41" s="34">
        <f t="shared" ref="N41:O41" si="46">C41+L41</f>
        <v>263</v>
      </c>
      <c r="O41" s="34">
        <f t="shared" si="46"/>
        <v>17</v>
      </c>
      <c r="P41" s="49" t="s">
        <v>58</v>
      </c>
      <c r="Q41" s="49" t="s">
        <v>58</v>
      </c>
      <c r="R41" s="49" t="s">
        <v>58</v>
      </c>
      <c r="S41" s="50">
        <f t="shared" si="4"/>
        <v>13</v>
      </c>
      <c r="T41" s="52">
        <f t="shared" si="5"/>
        <v>0</v>
      </c>
      <c r="U41" s="52"/>
      <c r="V41" s="50">
        <f t="shared" si="6"/>
        <v>11</v>
      </c>
      <c r="W41" s="52">
        <f t="shared" si="7"/>
        <v>3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129</v>
      </c>
      <c r="C42" s="34">
        <v>247.0</v>
      </c>
      <c r="D42" s="34">
        <v>23.0</v>
      </c>
      <c r="E42" s="35">
        <f t="shared" si="2"/>
        <v>10.47619048</v>
      </c>
      <c r="F42" s="95">
        <v>1.0</v>
      </c>
      <c r="G42" s="96">
        <v>6.0</v>
      </c>
      <c r="H42" s="97">
        <v>0.0</v>
      </c>
      <c r="I42" s="96">
        <v>5.0</v>
      </c>
      <c r="J42" s="96">
        <v>6.0</v>
      </c>
      <c r="K42" s="96">
        <v>3.0</v>
      </c>
      <c r="L42" s="98">
        <v>14.0</v>
      </c>
      <c r="M42" s="96">
        <v>1.0</v>
      </c>
      <c r="N42" s="34">
        <f t="shared" ref="N42:O42" si="47">C42+L42</f>
        <v>261</v>
      </c>
      <c r="O42" s="34">
        <f t="shared" si="47"/>
        <v>24</v>
      </c>
      <c r="P42" s="49" t="s">
        <v>58</v>
      </c>
      <c r="Q42" s="49" t="s">
        <v>58</v>
      </c>
      <c r="R42" s="49" t="s">
        <v>58</v>
      </c>
      <c r="S42" s="50">
        <f t="shared" si="4"/>
        <v>21</v>
      </c>
      <c r="T42" s="52">
        <f t="shared" si="5"/>
        <v>0</v>
      </c>
      <c r="U42" s="52"/>
      <c r="V42" s="50">
        <f t="shared" si="6"/>
        <v>3</v>
      </c>
      <c r="W42" s="52">
        <f t="shared" si="7"/>
        <v>-1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121</v>
      </c>
      <c r="C43" s="34">
        <v>247.0</v>
      </c>
      <c r="D43" s="34">
        <v>16.0</v>
      </c>
      <c r="E43" s="35">
        <f t="shared" si="2"/>
        <v>12.85714286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256</v>
      </c>
      <c r="O43" s="34">
        <f t="shared" si="48"/>
        <v>16</v>
      </c>
      <c r="P43" s="49" t="s">
        <v>58</v>
      </c>
      <c r="Q43" s="49" t="s">
        <v>58</v>
      </c>
      <c r="R43" s="49" t="s">
        <v>58</v>
      </c>
      <c r="S43" s="50">
        <f t="shared" si="4"/>
        <v>7</v>
      </c>
      <c r="T43" s="52">
        <f t="shared" si="5"/>
        <v>1</v>
      </c>
      <c r="U43" s="52"/>
      <c r="V43" s="50">
        <f t="shared" si="6"/>
        <v>16</v>
      </c>
      <c r="W43" s="52">
        <f t="shared" si="7"/>
        <v>-1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137</v>
      </c>
      <c r="C44" s="34">
        <v>245.0</v>
      </c>
      <c r="D44" s="34">
        <v>18.0</v>
      </c>
      <c r="E44" s="35">
        <f t="shared" si="2"/>
        <v>10.93333333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254</v>
      </c>
      <c r="O44" s="34">
        <f t="shared" si="49"/>
        <v>18</v>
      </c>
      <c r="P44" s="49" t="s">
        <v>58</v>
      </c>
      <c r="Q44" s="49" t="s">
        <v>58</v>
      </c>
      <c r="R44" s="49" t="s">
        <v>58</v>
      </c>
      <c r="S44" s="50">
        <f t="shared" si="4"/>
        <v>15</v>
      </c>
      <c r="T44" s="52">
        <f t="shared" si="5"/>
        <v>0</v>
      </c>
      <c r="U44" s="52"/>
      <c r="V44" s="50">
        <f t="shared" si="6"/>
        <v>9</v>
      </c>
      <c r="W44" s="52">
        <f t="shared" si="7"/>
        <v>-1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72</v>
      </c>
      <c r="C45" s="34">
        <v>240.0</v>
      </c>
      <c r="D45" s="34">
        <v>12.0</v>
      </c>
      <c r="E45" s="35">
        <f t="shared" si="2"/>
        <v>10.81818182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249</v>
      </c>
      <c r="O45" s="34">
        <f t="shared" si="50"/>
        <v>12</v>
      </c>
      <c r="P45" s="49" t="s">
        <v>58</v>
      </c>
      <c r="Q45" s="49" t="s">
        <v>58</v>
      </c>
      <c r="R45" s="49" t="s">
        <v>58</v>
      </c>
      <c r="S45" s="50">
        <f t="shared" si="4"/>
        <v>11</v>
      </c>
      <c r="T45" s="52">
        <f t="shared" si="5"/>
        <v>1</v>
      </c>
      <c r="U45" s="52"/>
      <c r="V45" s="50">
        <f t="shared" si="6"/>
        <v>12</v>
      </c>
      <c r="W45" s="52">
        <f t="shared" si="7"/>
        <v>0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75</v>
      </c>
      <c r="C46" s="34">
        <v>240.0</v>
      </c>
      <c r="D46" s="34">
        <v>11.0</v>
      </c>
      <c r="E46" s="35">
        <f t="shared" si="2"/>
        <v>11.66666667</v>
      </c>
      <c r="F46" s="95">
        <v>1.0</v>
      </c>
      <c r="G46" s="96">
        <v>6.0</v>
      </c>
      <c r="H46" s="97">
        <v>0.0</v>
      </c>
      <c r="I46" s="96">
        <v>5.0</v>
      </c>
      <c r="J46" s="96">
        <v>3.0</v>
      </c>
      <c r="K46" s="96">
        <v>6.0</v>
      </c>
      <c r="L46" s="98">
        <v>14.0</v>
      </c>
      <c r="M46" s="96">
        <v>1.0</v>
      </c>
      <c r="N46" s="34">
        <f t="shared" ref="N46:O46" si="51">C46+L46</f>
        <v>254</v>
      </c>
      <c r="O46" s="34">
        <f t="shared" si="51"/>
        <v>12</v>
      </c>
      <c r="P46" s="49" t="s">
        <v>58</v>
      </c>
      <c r="Q46" s="49" t="s">
        <v>58</v>
      </c>
      <c r="R46" s="49" t="s">
        <v>58</v>
      </c>
      <c r="S46" s="50">
        <f t="shared" si="4"/>
        <v>9</v>
      </c>
      <c r="T46" s="52">
        <f t="shared" si="5"/>
        <v>0</v>
      </c>
      <c r="U46" s="52"/>
      <c r="V46" s="50">
        <f t="shared" si="6"/>
        <v>15</v>
      </c>
      <c r="W46" s="52">
        <f t="shared" si="7"/>
        <v>0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132</v>
      </c>
      <c r="C47" s="34">
        <v>238.0</v>
      </c>
      <c r="D47" s="34">
        <v>12.0</v>
      </c>
      <c r="E47" s="35">
        <f t="shared" si="2"/>
        <v>11.75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247</v>
      </c>
      <c r="O47" s="34">
        <f t="shared" si="52"/>
        <v>12</v>
      </c>
      <c r="P47" s="49" t="s">
        <v>58</v>
      </c>
      <c r="Q47" s="49" t="s">
        <v>58</v>
      </c>
      <c r="R47" s="49" t="s">
        <v>58</v>
      </c>
      <c r="S47" s="50">
        <f t="shared" si="4"/>
        <v>8</v>
      </c>
      <c r="T47" s="52">
        <f t="shared" si="5"/>
        <v>0</v>
      </c>
      <c r="U47" s="52"/>
      <c r="V47" s="50">
        <f t="shared" si="6"/>
        <v>16</v>
      </c>
      <c r="W47" s="52">
        <f t="shared" si="7"/>
        <v>0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139</v>
      </c>
      <c r="C48" s="34">
        <v>232.0</v>
      </c>
      <c r="D48" s="34">
        <v>17.0</v>
      </c>
      <c r="E48" s="35">
        <f t="shared" si="2"/>
        <v>10</v>
      </c>
      <c r="F48" s="95">
        <v>1.0</v>
      </c>
      <c r="G48" s="96">
        <v>7.0</v>
      </c>
      <c r="H48" s="97">
        <v>0.0</v>
      </c>
      <c r="I48" s="96">
        <v>4.0</v>
      </c>
      <c r="J48" s="96">
        <v>6.0</v>
      </c>
      <c r="K48" s="96">
        <v>4.0</v>
      </c>
      <c r="L48" s="98">
        <v>14.0</v>
      </c>
      <c r="M48" s="96">
        <v>1.0</v>
      </c>
      <c r="N48" s="34">
        <f t="shared" ref="N48:O48" si="53">C48+L48</f>
        <v>246</v>
      </c>
      <c r="O48" s="34">
        <f t="shared" si="53"/>
        <v>18</v>
      </c>
      <c r="P48" s="49" t="s">
        <v>58</v>
      </c>
      <c r="Q48" s="49" t="s">
        <v>58</v>
      </c>
      <c r="R48" s="49" t="s">
        <v>58</v>
      </c>
      <c r="S48" s="50">
        <f t="shared" si="4"/>
        <v>16</v>
      </c>
      <c r="T48" s="52">
        <f t="shared" si="5"/>
        <v>0</v>
      </c>
      <c r="U48" s="52"/>
      <c r="V48" s="50">
        <f t="shared" si="6"/>
        <v>8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54</v>
      </c>
      <c r="C49" s="34">
        <v>229.0</v>
      </c>
      <c r="D49" s="34">
        <v>19.0</v>
      </c>
      <c r="E49" s="35">
        <f t="shared" si="2"/>
        <v>9.722222222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4">C49+L49</f>
        <v>238</v>
      </c>
      <c r="O49" s="34">
        <f t="shared" si="54"/>
        <v>19</v>
      </c>
      <c r="P49" s="49" t="s">
        <v>58</v>
      </c>
      <c r="Q49" s="49" t="s">
        <v>58</v>
      </c>
      <c r="R49" s="49" t="s">
        <v>58</v>
      </c>
      <c r="S49" s="50">
        <f t="shared" si="4"/>
        <v>18</v>
      </c>
      <c r="T49" s="52">
        <f t="shared" si="5"/>
        <v>0</v>
      </c>
      <c r="U49" s="52"/>
      <c r="V49" s="50">
        <f t="shared" si="6"/>
        <v>6</v>
      </c>
      <c r="W49" s="52">
        <f t="shared" si="7"/>
        <v>0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108</v>
      </c>
      <c r="C50" s="34">
        <v>228.0</v>
      </c>
      <c r="D50" s="34">
        <v>10.0</v>
      </c>
      <c r="E50" s="35">
        <f t="shared" si="2"/>
        <v>9.75</v>
      </c>
      <c r="F50" s="95">
        <v>1.0</v>
      </c>
      <c r="G50" s="96">
        <v>7.0</v>
      </c>
      <c r="H50" s="97">
        <v>0.0</v>
      </c>
      <c r="I50" s="96">
        <v>4.0</v>
      </c>
      <c r="J50" s="96">
        <v>2.0</v>
      </c>
      <c r="K50" s="96">
        <v>6.0</v>
      </c>
      <c r="L50" s="98">
        <v>12.0</v>
      </c>
      <c r="M50" s="96">
        <v>1.0</v>
      </c>
      <c r="N50" s="34">
        <f t="shared" ref="N50:O50" si="55">C50+L50</f>
        <v>240</v>
      </c>
      <c r="O50" s="34">
        <f t="shared" si="55"/>
        <v>11</v>
      </c>
      <c r="P50" s="49" t="s">
        <v>58</v>
      </c>
      <c r="Q50" s="49" t="s">
        <v>58</v>
      </c>
      <c r="R50" s="49" t="s">
        <v>58</v>
      </c>
      <c r="S50" s="50">
        <f t="shared" si="4"/>
        <v>16</v>
      </c>
      <c r="T50" s="52">
        <f t="shared" si="5"/>
        <v>0</v>
      </c>
      <c r="U50" s="52"/>
      <c r="V50" s="50">
        <f t="shared" si="6"/>
        <v>8</v>
      </c>
      <c r="W50" s="52">
        <f t="shared" si="7"/>
        <v>1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140</v>
      </c>
      <c r="C51" s="34">
        <v>227.0</v>
      </c>
      <c r="D51" s="34">
        <v>10.0</v>
      </c>
      <c r="E51" s="35">
        <f t="shared" si="2"/>
        <v>10.83333333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236</v>
      </c>
      <c r="O51" s="34">
        <f t="shared" si="56"/>
        <v>10</v>
      </c>
      <c r="P51" s="49" t="s">
        <v>58</v>
      </c>
      <c r="Q51" s="49" t="s">
        <v>58</v>
      </c>
      <c r="R51" s="49" t="s">
        <v>58</v>
      </c>
      <c r="S51" s="50">
        <f t="shared" si="4"/>
        <v>6</v>
      </c>
      <c r="T51" s="52">
        <f t="shared" si="5"/>
        <v>0</v>
      </c>
      <c r="U51" s="52"/>
      <c r="V51" s="50">
        <f t="shared" si="6"/>
        <v>18</v>
      </c>
      <c r="W51" s="52">
        <f t="shared" si="7"/>
        <v>-1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47</v>
      </c>
      <c r="C52" s="34">
        <v>223.0</v>
      </c>
      <c r="D52" s="34">
        <v>8.0</v>
      </c>
      <c r="E52" s="35">
        <f t="shared" si="2"/>
        <v>10.75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232</v>
      </c>
      <c r="O52" s="34">
        <f t="shared" si="57"/>
        <v>8</v>
      </c>
      <c r="P52" s="49" t="s">
        <v>58</v>
      </c>
      <c r="Q52" s="49" t="s">
        <v>58</v>
      </c>
      <c r="R52" s="49"/>
      <c r="S52" s="50">
        <f t="shared" si="4"/>
        <v>4</v>
      </c>
      <c r="T52" s="52">
        <f t="shared" si="5"/>
        <v>0</v>
      </c>
      <c r="U52" s="52"/>
      <c r="V52" s="50">
        <f t="shared" si="6"/>
        <v>20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143</v>
      </c>
      <c r="C53" s="34">
        <v>223.0</v>
      </c>
      <c r="D53" s="34">
        <v>8.0</v>
      </c>
      <c r="E53" s="35">
        <f t="shared" si="2"/>
        <v>10.16666667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232</v>
      </c>
      <c r="O53" s="34">
        <f t="shared" si="58"/>
        <v>8</v>
      </c>
      <c r="P53" s="49" t="s">
        <v>58</v>
      </c>
      <c r="Q53" s="49" t="s">
        <v>58</v>
      </c>
      <c r="R53" s="49" t="s">
        <v>58</v>
      </c>
      <c r="S53" s="50">
        <f t="shared" si="4"/>
        <v>6</v>
      </c>
      <c r="T53" s="52">
        <f t="shared" si="5"/>
        <v>0</v>
      </c>
      <c r="U53" s="52"/>
      <c r="V53" s="50">
        <f t="shared" si="6"/>
        <v>18</v>
      </c>
      <c r="W53" s="52">
        <f t="shared" si="7"/>
        <v>0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146</v>
      </c>
      <c r="C54" s="34">
        <v>221.0</v>
      </c>
      <c r="D54" s="34">
        <v>11.0</v>
      </c>
      <c r="E54" s="35">
        <f t="shared" si="2"/>
        <v>9.111111111</v>
      </c>
      <c r="F54" s="95">
        <v>1.0</v>
      </c>
      <c r="G54" s="96">
        <v>7.0</v>
      </c>
      <c r="H54" s="97">
        <v>0.0</v>
      </c>
      <c r="I54" s="96">
        <v>6.0</v>
      </c>
      <c r="J54" s="96">
        <v>6.0</v>
      </c>
      <c r="K54" s="96">
        <v>6.0</v>
      </c>
      <c r="L54" s="98">
        <v>18.0</v>
      </c>
      <c r="M54" s="96">
        <v>3.0</v>
      </c>
      <c r="N54" s="34">
        <f t="shared" ref="N54:O54" si="59">C54+L54</f>
        <v>239</v>
      </c>
      <c r="O54" s="34">
        <f t="shared" si="59"/>
        <v>14</v>
      </c>
      <c r="P54" s="49" t="s">
        <v>58</v>
      </c>
      <c r="Q54" s="49" t="s">
        <v>58</v>
      </c>
      <c r="R54" s="49" t="s">
        <v>58</v>
      </c>
      <c r="S54" s="50">
        <f t="shared" si="4"/>
        <v>9</v>
      </c>
      <c r="T54" s="52">
        <f t="shared" si="5"/>
        <v>1</v>
      </c>
      <c r="U54" s="52"/>
      <c r="V54" s="50">
        <f t="shared" si="6"/>
        <v>14</v>
      </c>
      <c r="W54" s="52">
        <f t="shared" si="7"/>
        <v>6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144</v>
      </c>
      <c r="C55" s="34">
        <v>220.0</v>
      </c>
      <c r="D55" s="34">
        <v>9.0</v>
      </c>
      <c r="E55" s="35">
        <f t="shared" si="2"/>
        <v>9</v>
      </c>
      <c r="F55" s="95">
        <v>1.0</v>
      </c>
      <c r="G55" s="96">
        <v>7.0</v>
      </c>
      <c r="H55" s="97">
        <v>0.0</v>
      </c>
      <c r="I55" s="96">
        <v>6.0</v>
      </c>
      <c r="J55" s="96">
        <v>2.0</v>
      </c>
      <c r="K55" s="96">
        <v>4.0</v>
      </c>
      <c r="L55" s="98">
        <v>12.0</v>
      </c>
      <c r="M55" s="96">
        <v>1.0</v>
      </c>
      <c r="N55" s="34">
        <f t="shared" ref="N55:O55" si="60">C55+L55</f>
        <v>232</v>
      </c>
      <c r="O55" s="34">
        <f t="shared" si="60"/>
        <v>10</v>
      </c>
      <c r="P55" s="49" t="s">
        <v>58</v>
      </c>
      <c r="Q55" s="49" t="s">
        <v>58</v>
      </c>
      <c r="R55" s="49" t="s">
        <v>58</v>
      </c>
      <c r="S55" s="50">
        <f t="shared" si="4"/>
        <v>9</v>
      </c>
      <c r="T55" s="52">
        <f t="shared" si="5"/>
        <v>1</v>
      </c>
      <c r="U55" s="52"/>
      <c r="V55" s="50">
        <f t="shared" si="6"/>
        <v>14</v>
      </c>
      <c r="W55" s="52">
        <f t="shared" si="7"/>
        <v>-1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105</v>
      </c>
      <c r="C56" s="34">
        <v>218.0</v>
      </c>
      <c r="D56" s="34">
        <v>8.0</v>
      </c>
      <c r="E56" s="35">
        <f t="shared" si="2"/>
        <v>9.4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227</v>
      </c>
      <c r="O56" s="34">
        <f t="shared" si="61"/>
        <v>8</v>
      </c>
      <c r="P56" s="49" t="s">
        <v>58</v>
      </c>
      <c r="Q56" s="49" t="s">
        <v>58</v>
      </c>
      <c r="R56" s="49" t="s">
        <v>58</v>
      </c>
      <c r="S56" s="50">
        <f t="shared" si="4"/>
        <v>5</v>
      </c>
      <c r="T56" s="52">
        <f t="shared" si="5"/>
        <v>0</v>
      </c>
      <c r="U56" s="52"/>
      <c r="V56" s="50">
        <f t="shared" si="6"/>
        <v>19</v>
      </c>
      <c r="W56" s="52">
        <f t="shared" si="7"/>
        <v>-1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95</v>
      </c>
      <c r="C57" s="34">
        <v>218.0</v>
      </c>
      <c r="D57" s="34">
        <v>7.0</v>
      </c>
      <c r="E57" s="35">
        <f t="shared" si="2"/>
        <v>8.666666667</v>
      </c>
      <c r="F57" s="95">
        <v>1.0</v>
      </c>
      <c r="G57" s="96">
        <v>8.0</v>
      </c>
      <c r="H57" s="97">
        <v>0.0</v>
      </c>
      <c r="I57" s="96">
        <v>6.0</v>
      </c>
      <c r="J57" s="96">
        <v>6.0</v>
      </c>
      <c r="K57" s="96">
        <v>6.0</v>
      </c>
      <c r="L57" s="98">
        <v>18.0</v>
      </c>
      <c r="M57" s="96">
        <v>2.0</v>
      </c>
      <c r="N57" s="34">
        <f t="shared" ref="N57:O57" si="62">C57+L57</f>
        <v>236</v>
      </c>
      <c r="O57" s="34">
        <f t="shared" si="62"/>
        <v>9</v>
      </c>
      <c r="P57" s="49" t="s">
        <v>58</v>
      </c>
      <c r="Q57" s="49" t="s">
        <v>58</v>
      </c>
      <c r="R57" s="49" t="s">
        <v>58</v>
      </c>
      <c r="S57" s="50">
        <f t="shared" si="4"/>
        <v>6</v>
      </c>
      <c r="T57" s="52">
        <f t="shared" si="5"/>
        <v>1</v>
      </c>
      <c r="U57" s="52"/>
      <c r="V57" s="50">
        <f t="shared" si="6"/>
        <v>17</v>
      </c>
      <c r="W57" s="52">
        <f t="shared" si="7"/>
        <v>-1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145</v>
      </c>
      <c r="C58" s="34">
        <v>217.0</v>
      </c>
      <c r="D58" s="34">
        <v>12.0</v>
      </c>
      <c r="E58" s="35">
        <f t="shared" si="2"/>
        <v>9.083333333</v>
      </c>
      <c r="F58" s="95">
        <v>1.0</v>
      </c>
      <c r="G58" s="96">
        <v>8.0</v>
      </c>
      <c r="H58" s="97">
        <v>0.0</v>
      </c>
      <c r="I58" s="96">
        <v>6.0</v>
      </c>
      <c r="J58" s="96">
        <v>3.0</v>
      </c>
      <c r="K58" s="96">
        <v>7.0</v>
      </c>
      <c r="L58" s="98">
        <v>16.0</v>
      </c>
      <c r="M58" s="96">
        <v>2.0</v>
      </c>
      <c r="N58" s="34">
        <f t="shared" ref="N58:O58" si="63">C58+L58</f>
        <v>233</v>
      </c>
      <c r="O58" s="34">
        <f t="shared" si="63"/>
        <v>14</v>
      </c>
      <c r="P58" s="49" t="s">
        <v>58</v>
      </c>
      <c r="Q58" s="49" t="s">
        <v>58</v>
      </c>
      <c r="R58" s="49" t="s">
        <v>58</v>
      </c>
      <c r="S58" s="50">
        <f t="shared" si="4"/>
        <v>12</v>
      </c>
      <c r="T58" s="52">
        <f t="shared" si="5"/>
        <v>0</v>
      </c>
      <c r="U58" s="52"/>
      <c r="V58" s="50">
        <f t="shared" si="6"/>
        <v>12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142</v>
      </c>
      <c r="C59" s="34">
        <v>216.0</v>
      </c>
      <c r="D59" s="34">
        <v>12.0</v>
      </c>
      <c r="E59" s="35">
        <f t="shared" si="2"/>
        <v>9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225</v>
      </c>
      <c r="O59" s="34">
        <f t="shared" si="64"/>
        <v>12</v>
      </c>
      <c r="P59" s="49" t="s">
        <v>58</v>
      </c>
      <c r="Q59" s="49" t="s">
        <v>58</v>
      </c>
      <c r="R59" s="49" t="s">
        <v>58</v>
      </c>
      <c r="S59" s="50">
        <f t="shared" si="4"/>
        <v>12</v>
      </c>
      <c r="T59" s="52">
        <f t="shared" si="5"/>
        <v>0</v>
      </c>
      <c r="U59" s="52"/>
      <c r="V59" s="50">
        <f t="shared" si="6"/>
        <v>12</v>
      </c>
      <c r="W59" s="52">
        <f t="shared" si="7"/>
        <v>-1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69</v>
      </c>
      <c r="C60" s="34">
        <v>215.0</v>
      </c>
      <c r="D60" s="34">
        <v>7.0</v>
      </c>
      <c r="E60" s="35">
        <f t="shared" si="2"/>
        <v>8.75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224</v>
      </c>
      <c r="O60" s="34">
        <f t="shared" si="65"/>
        <v>7</v>
      </c>
      <c r="P60" s="49" t="s">
        <v>58</v>
      </c>
      <c r="Q60" s="49" t="s">
        <v>58</v>
      </c>
      <c r="R60" s="49" t="s">
        <v>58</v>
      </c>
      <c r="S60" s="50">
        <f t="shared" si="4"/>
        <v>4</v>
      </c>
      <c r="T60" s="52">
        <f t="shared" si="5"/>
        <v>0</v>
      </c>
      <c r="U60" s="52"/>
      <c r="V60" s="50">
        <f t="shared" si="6"/>
        <v>20</v>
      </c>
      <c r="W60" s="52">
        <f t="shared" si="7"/>
        <v>-1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141</v>
      </c>
      <c r="C61" s="34">
        <v>207.0</v>
      </c>
      <c r="D61" s="34">
        <v>5.0</v>
      </c>
      <c r="E61" s="35">
        <f t="shared" si="2"/>
        <v>6.75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216</v>
      </c>
      <c r="O61" s="34">
        <f t="shared" si="66"/>
        <v>5</v>
      </c>
      <c r="P61" s="49" t="s">
        <v>58</v>
      </c>
      <c r="Q61" s="49" t="s">
        <v>58</v>
      </c>
      <c r="R61" s="49" t="s">
        <v>58</v>
      </c>
      <c r="S61" s="50">
        <f t="shared" si="4"/>
        <v>4</v>
      </c>
      <c r="T61" s="52">
        <f t="shared" si="5"/>
        <v>0</v>
      </c>
      <c r="U61" s="52"/>
      <c r="V61" s="50">
        <f t="shared" si="6"/>
        <v>20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131</v>
      </c>
      <c r="C62" s="34">
        <v>207.0</v>
      </c>
      <c r="D62" s="34">
        <v>3.0</v>
      </c>
      <c r="E62" s="35">
        <f t="shared" si="2"/>
        <v>4.5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216</v>
      </c>
      <c r="O62" s="34">
        <f t="shared" si="67"/>
        <v>3</v>
      </c>
      <c r="P62" s="49" t="s">
        <v>58</v>
      </c>
      <c r="Q62" s="49" t="s">
        <v>58</v>
      </c>
      <c r="R62" s="49" t="s">
        <v>58</v>
      </c>
      <c r="S62" s="50">
        <f t="shared" si="4"/>
        <v>2</v>
      </c>
      <c r="T62" s="52">
        <f t="shared" si="5"/>
        <v>0</v>
      </c>
      <c r="U62" s="52"/>
      <c r="V62" s="50">
        <f t="shared" si="6"/>
        <v>22</v>
      </c>
      <c r="W62" s="52">
        <f t="shared" si="7"/>
        <v>2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147</v>
      </c>
      <c r="C63" s="34">
        <v>203.0</v>
      </c>
      <c r="D63" s="34">
        <v>4.0</v>
      </c>
      <c r="E63" s="35">
        <f t="shared" si="2"/>
        <v>5.75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212</v>
      </c>
      <c r="O63" s="34">
        <f t="shared" si="68"/>
        <v>4</v>
      </c>
      <c r="P63" s="49" t="s">
        <v>58</v>
      </c>
      <c r="Q63" s="49" t="s">
        <v>58</v>
      </c>
      <c r="R63" s="49" t="s">
        <v>149</v>
      </c>
      <c r="S63" s="50">
        <f t="shared" si="4"/>
        <v>4</v>
      </c>
      <c r="T63" s="52">
        <f t="shared" si="5"/>
        <v>0</v>
      </c>
      <c r="U63" s="52"/>
      <c r="V63" s="50">
        <f t="shared" si="6"/>
        <v>20</v>
      </c>
      <c r="W63" s="52">
        <f t="shared" si="7"/>
        <v>-1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148</v>
      </c>
      <c r="C64" s="34">
        <v>203.0</v>
      </c>
      <c r="D64" s="34">
        <v>2.0</v>
      </c>
      <c r="E64" s="35">
        <f t="shared" si="2"/>
        <v>6.571428571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212</v>
      </c>
      <c r="O64" s="34">
        <f t="shared" si="69"/>
        <v>2</v>
      </c>
      <c r="P64" s="49" t="s">
        <v>58</v>
      </c>
      <c r="Q64" s="49" t="s">
        <v>58</v>
      </c>
      <c r="R64" s="49" t="s">
        <v>58</v>
      </c>
      <c r="S64" s="50">
        <f t="shared" si="4"/>
        <v>7</v>
      </c>
      <c r="T64" s="52">
        <f t="shared" si="5"/>
        <v>1</v>
      </c>
      <c r="U64" s="52"/>
      <c r="V64" s="50">
        <f t="shared" si="6"/>
        <v>16</v>
      </c>
      <c r="W64" s="52">
        <f t="shared" si="7"/>
        <v>-1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130</v>
      </c>
      <c r="C65" s="34">
        <v>198.0</v>
      </c>
      <c r="D65" s="34">
        <v>0.0</v>
      </c>
      <c r="E65" s="35">
        <f t="shared" si="2"/>
        <v>-9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207</v>
      </c>
      <c r="O65" s="34">
        <f t="shared" si="70"/>
        <v>0</v>
      </c>
      <c r="P65" s="49" t="s">
        <v>58</v>
      </c>
      <c r="Q65" s="49" t="s">
        <v>58</v>
      </c>
      <c r="R65" s="49" t="s">
        <v>58</v>
      </c>
      <c r="S65" s="50">
        <f t="shared" si="4"/>
        <v>1</v>
      </c>
      <c r="T65" s="52">
        <f t="shared" si="5"/>
        <v>0</v>
      </c>
      <c r="U65" s="52"/>
      <c r="V65" s="50">
        <f t="shared" si="6"/>
        <v>23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104</v>
      </c>
      <c r="C66" s="34">
        <v>198.0</v>
      </c>
      <c r="D66" s="34">
        <v>0.0</v>
      </c>
      <c r="E66" s="35">
        <f t="shared" si="2"/>
        <v>-9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207</v>
      </c>
      <c r="O66" s="34">
        <f t="shared" si="71"/>
        <v>0</v>
      </c>
      <c r="P66" s="49" t="s">
        <v>58</v>
      </c>
      <c r="Q66" s="49" t="s">
        <v>58</v>
      </c>
      <c r="R66" s="49" t="s">
        <v>58</v>
      </c>
      <c r="S66" s="50">
        <f t="shared" si="4"/>
        <v>1</v>
      </c>
      <c r="T66" s="52">
        <f t="shared" si="5"/>
        <v>0</v>
      </c>
      <c r="U66" s="52"/>
      <c r="V66" s="50">
        <f t="shared" si="6"/>
        <v>23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118</v>
      </c>
      <c r="C67" s="34">
        <v>196.0</v>
      </c>
      <c r="D67" s="34">
        <v>1.0</v>
      </c>
      <c r="E67" s="35">
        <f t="shared" si="2"/>
        <v>1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205</v>
      </c>
      <c r="O67" s="34">
        <f t="shared" si="72"/>
        <v>1</v>
      </c>
      <c r="P67" s="49" t="s">
        <v>58</v>
      </c>
      <c r="Q67" s="49" t="s">
        <v>58</v>
      </c>
      <c r="R67" s="49" t="s">
        <v>58</v>
      </c>
      <c r="S67" s="50">
        <f t="shared" si="4"/>
        <v>3</v>
      </c>
      <c r="T67" s="52">
        <f t="shared" si="5"/>
        <v>1</v>
      </c>
      <c r="U67" s="52"/>
      <c r="V67" s="50">
        <f t="shared" si="6"/>
        <v>20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101</v>
      </c>
      <c r="C68" s="34">
        <v>195.0</v>
      </c>
      <c r="D68" s="34">
        <v>8.0</v>
      </c>
      <c r="E68" s="35">
        <f t="shared" si="2"/>
        <v>7.6</v>
      </c>
      <c r="F68" s="95">
        <v>1.0</v>
      </c>
      <c r="G68" s="96">
        <v>8.0</v>
      </c>
      <c r="H68" s="97">
        <v>0.0</v>
      </c>
      <c r="I68" s="96">
        <v>0.0</v>
      </c>
      <c r="J68" s="96">
        <v>6.0</v>
      </c>
      <c r="K68" s="96">
        <v>7.0</v>
      </c>
      <c r="L68" s="98">
        <v>13.0</v>
      </c>
      <c r="M68" s="96">
        <v>2.0</v>
      </c>
      <c r="N68" s="34">
        <f t="shared" ref="N68:O68" si="73">C68+L68</f>
        <v>208</v>
      </c>
      <c r="O68" s="34">
        <f t="shared" si="73"/>
        <v>10</v>
      </c>
      <c r="P68" s="49" t="s">
        <v>58</v>
      </c>
      <c r="Q68" s="49" t="s">
        <v>58</v>
      </c>
      <c r="R68" s="49" t="s">
        <v>58</v>
      </c>
      <c r="S68" s="50">
        <f t="shared" si="4"/>
        <v>15</v>
      </c>
      <c r="T68" s="52">
        <f t="shared" si="5"/>
        <v>0</v>
      </c>
      <c r="U68" s="52"/>
      <c r="V68" s="50">
        <f t="shared" si="6"/>
        <v>9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183.0</v>
      </c>
      <c r="D69" s="34">
        <v>2.0</v>
      </c>
      <c r="E69" s="35">
        <f t="shared" si="2"/>
        <v>4.285714286</v>
      </c>
      <c r="F69" s="95">
        <v>1.0</v>
      </c>
      <c r="G69" s="96">
        <v>8.0</v>
      </c>
      <c r="H69" s="97">
        <v>0.0</v>
      </c>
      <c r="I69" s="96">
        <v>0.0</v>
      </c>
      <c r="J69" s="96">
        <v>3.0</v>
      </c>
      <c r="K69" s="96">
        <v>6.0</v>
      </c>
      <c r="L69" s="98">
        <v>9.0</v>
      </c>
      <c r="M69" s="96">
        <v>0.0</v>
      </c>
      <c r="N69" s="34">
        <f t="shared" ref="N69:O69" si="74">C69+L69</f>
        <v>192</v>
      </c>
      <c r="O69" s="34">
        <f t="shared" si="74"/>
        <v>2</v>
      </c>
      <c r="P69" s="49" t="s">
        <v>58</v>
      </c>
      <c r="Q69" s="49" t="s">
        <v>58</v>
      </c>
      <c r="R69" s="49" t="s">
        <v>58</v>
      </c>
      <c r="S69" s="50">
        <f t="shared" si="4"/>
        <v>7</v>
      </c>
      <c r="T69" s="52">
        <f t="shared" si="5"/>
        <v>0</v>
      </c>
      <c r="U69" s="52"/>
      <c r="V69" s="50">
        <f t="shared" si="6"/>
        <v>17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  <c r="P73" s="101" t="s">
        <v>151</v>
      </c>
      <c r="Q73" s="25"/>
      <c r="R73" s="26"/>
    </row>
    <row r="74">
      <c r="A74" s="1"/>
      <c r="C74" s="1"/>
      <c r="D74" s="1"/>
      <c r="E74" s="1"/>
      <c r="F74" s="1"/>
      <c r="P74" s="102" t="s">
        <v>152</v>
      </c>
      <c r="Q74" s="26"/>
      <c r="R74" s="103">
        <f>countif(R5:R69,"X")</f>
        <v>61</v>
      </c>
      <c r="S74" s="104">
        <f>R74/R77</f>
        <v>0.9384615385</v>
      </c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  <c r="P75" s="102" t="s">
        <v>154</v>
      </c>
      <c r="Q75" s="26"/>
      <c r="R75" s="103">
        <f>countif(R5:R69,"N")</f>
        <v>1</v>
      </c>
    </row>
    <row r="76">
      <c r="A76" s="1"/>
      <c r="C76" s="1"/>
      <c r="D76" s="1"/>
      <c r="E76" s="1"/>
      <c r="F76" s="1"/>
      <c r="P76" s="102" t="s">
        <v>155</v>
      </c>
      <c r="Q76" s="26"/>
      <c r="R76" s="103">
        <f>countif(R5:R69,"")</f>
        <v>3</v>
      </c>
    </row>
    <row r="77">
      <c r="A77" s="82"/>
      <c r="C77" s="1"/>
      <c r="D77" s="1"/>
      <c r="E77" s="1"/>
      <c r="F77" s="1"/>
      <c r="P77" s="106" t="s">
        <v>61</v>
      </c>
      <c r="Q77" s="26"/>
      <c r="R77" s="107">
        <f>sum(R74:R76)</f>
        <v>65</v>
      </c>
    </row>
    <row r="78">
      <c r="A78" s="1"/>
      <c r="B78" s="108" t="str">
        <f>concatenate("Top Scores : " &amp;AC2)</f>
        <v>Top Scores : 12/06/25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desc"",0)"),"Vishnu Amarnath")</f>
        <v>Vishnu Amarnath</v>
      </c>
      <c r="C81" s="117">
        <f>IFERROR(__xludf.DUMMYFUNCTION("""COMPUTED_VALUE"""),18.0)</f>
        <v>18</v>
      </c>
      <c r="D81" s="117">
        <f>IFERROR(__xludf.DUMMYFUNCTION("""COMPUTED_VALUE"""),3.0)</f>
        <v>3</v>
      </c>
      <c r="E81" s="117">
        <f>IFERROR(__xludf.DUMMYFUNCTION("""COMPUTED_VALUE"""),6.0)</f>
        <v>6</v>
      </c>
      <c r="F81" s="1"/>
    </row>
    <row r="82">
      <c r="A82" s="1"/>
      <c r="B82" s="33" t="str">
        <f>IFERROR(__xludf.DUMMYFUNCTION("""COMPUTED_VALUE"""),"Luis Hsu")</f>
        <v>Luis Hsu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IFERROR(__xludf.DUMMYFUNCTION("""COMPUTED_VALUE"""),7.0)</f>
        <v>7</v>
      </c>
      <c r="F82" s="1"/>
    </row>
    <row r="83">
      <c r="A83" s="1"/>
      <c r="B83" s="33" t="str">
        <f>IFERROR(__xludf.DUMMYFUNCTION("""COMPUTED_VALUE"""),"Allen Zhang")</f>
        <v>Allen Zhang</v>
      </c>
      <c r="C83" s="117">
        <f>IFERROR(__xludf.DUMMYFUNCTION("""COMPUTED_VALUE"""),18.0)</f>
        <v>18</v>
      </c>
      <c r="D83" s="117">
        <f>IFERROR(__xludf.DUMMYFUNCTION("""COMPUTED_VALUE"""),2.0)</f>
        <v>2</v>
      </c>
      <c r="E83" s="117">
        <f>IFERROR(__xludf.DUMMYFUNCTION("""COMPUTED_VALUE"""),4.0)</f>
        <v>4</v>
      </c>
      <c r="F83" s="1"/>
    </row>
    <row r="84">
      <c r="A84" s="1"/>
      <c r="B84" s="33"/>
      <c r="C84" s="117"/>
      <c r="D84" s="117"/>
      <c r="E84" s="117"/>
      <c r="F84" s="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10"")"),"Allen Zhang")</f>
        <v>Allen Zhang</v>
      </c>
      <c r="C100" s="117">
        <f>IFERROR(__xludf.DUMMYFUNCTION("""COMPUTED_VALUE"""),9.0)</f>
        <v>9</v>
      </c>
      <c r="D100" s="117">
        <f t="shared" ref="D100:D109" si="75">VLOOKUP(B100,indirect($AC$2&amp;"!B$5:X$69"),23, false)</f>
        <v>29</v>
      </c>
      <c r="E100" s="117">
        <f t="shared" ref="E100:E109" si="76">VLOOKUP(B100,B$5:X$69,23, false)</f>
        <v>20</v>
      </c>
      <c r="F100" s="117">
        <f t="shared" ref="F100:F109" si="77">VLOOKUP(B100,indirect($AC$2&amp;"!B$5:U$70"),11, false)</f>
        <v>18</v>
      </c>
      <c r="G100" s="117">
        <f t="shared" ref="G100:G109" si="78">VLOOKUP(B100,indirect($AC$2&amp;"!B$5:U$70"),6, false)</f>
        <v>4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IFERROR(__xludf.DUMMYFUNCTION("""COMPUTED_VALUE"""),"Cid Macaraeg")</f>
        <v>Cid Macaraeg</v>
      </c>
      <c r="C101" s="117">
        <f>IFERROR(__xludf.DUMMYFUNCTION("""COMPUTED_VALUE"""),8.0)</f>
        <v>8</v>
      </c>
      <c r="D101" s="117">
        <f t="shared" si="75"/>
        <v>31</v>
      </c>
      <c r="E101" s="117">
        <f t="shared" si="76"/>
        <v>23</v>
      </c>
      <c r="F101" s="117">
        <f t="shared" si="77"/>
        <v>17</v>
      </c>
      <c r="G101" s="117">
        <f t="shared" si="78"/>
        <v>4</v>
      </c>
      <c r="L101" s="117" t="str">
        <f t="shared" si="79"/>
        <v>ok</v>
      </c>
    </row>
    <row r="102">
      <c r="A102" s="1"/>
      <c r="B102" s="33" t="str">
        <f>IFERROR(__xludf.DUMMYFUNCTION("""COMPUTED_VALUE"""),"Elayaraja Thangaraj")</f>
        <v>Elayaraja Thangaraj</v>
      </c>
      <c r="C102" s="117">
        <f>IFERROR(__xludf.DUMMYFUNCTION("""COMPUTED_VALUE"""),6.0)</f>
        <v>6</v>
      </c>
      <c r="D102" s="117">
        <f t="shared" si="75"/>
        <v>25</v>
      </c>
      <c r="E102" s="117">
        <f t="shared" si="76"/>
        <v>19</v>
      </c>
      <c r="F102" s="117">
        <f t="shared" si="77"/>
        <v>17</v>
      </c>
      <c r="G102" s="117">
        <f t="shared" si="78"/>
        <v>4</v>
      </c>
      <c r="L102" s="117" t="str">
        <f t="shared" si="79"/>
        <v>ok</v>
      </c>
    </row>
    <row r="103">
      <c r="A103" s="1"/>
      <c r="B103" s="33" t="str">
        <f>IFERROR(__xludf.DUMMYFUNCTION("""COMPUTED_VALUE"""),"Vishnu Amarnath")</f>
        <v>Vishnu Amarnath</v>
      </c>
      <c r="C103" s="117">
        <f>IFERROR(__xludf.DUMMYFUNCTION("""COMPUTED_VALUE"""),6.0)</f>
        <v>6</v>
      </c>
      <c r="D103" s="117">
        <f t="shared" si="75"/>
        <v>56</v>
      </c>
      <c r="E103" s="117">
        <f t="shared" si="76"/>
        <v>50</v>
      </c>
      <c r="F103" s="117">
        <f t="shared" si="77"/>
        <v>18</v>
      </c>
      <c r="G103" s="117">
        <f t="shared" si="78"/>
        <v>6</v>
      </c>
      <c r="L103" s="117" t="str">
        <f t="shared" si="79"/>
        <v>ok</v>
      </c>
    </row>
    <row r="104">
      <c r="A104" s="1"/>
      <c r="B104" s="33" t="str">
        <f>IFERROR(__xludf.DUMMYFUNCTION("""COMPUTED_VALUE"""),"Mauricio Palacios")</f>
        <v>Mauricio Palacios</v>
      </c>
      <c r="C104" s="117">
        <f>IFERROR(__xludf.DUMMYFUNCTION("""COMPUTED_VALUE"""),5.0)</f>
        <v>5</v>
      </c>
      <c r="D104" s="117">
        <f t="shared" si="75"/>
        <v>30</v>
      </c>
      <c r="E104" s="117">
        <f t="shared" si="76"/>
        <v>25</v>
      </c>
      <c r="F104" s="117">
        <f t="shared" si="77"/>
        <v>14</v>
      </c>
      <c r="G104" s="117">
        <f t="shared" si="78"/>
        <v>4</v>
      </c>
      <c r="L104" s="117" t="str">
        <f t="shared" si="79"/>
        <v>ok</v>
      </c>
    </row>
    <row r="105">
      <c r="A105" s="1"/>
      <c r="B105" s="33" t="str">
        <f>IFERROR(__xludf.DUMMYFUNCTION("""COMPUTED_VALUE"""),"Pulkit Mathur")</f>
        <v>Pulkit Mathur</v>
      </c>
      <c r="C105" s="117">
        <f>IFERROR(__xludf.DUMMYFUNCTION("""COMPUTED_VALUE"""),4.0)</f>
        <v>4</v>
      </c>
      <c r="D105" s="117">
        <f t="shared" si="75"/>
        <v>9</v>
      </c>
      <c r="E105" s="117">
        <f t="shared" si="76"/>
        <v>5</v>
      </c>
      <c r="F105" s="117">
        <f t="shared" si="77"/>
        <v>15</v>
      </c>
      <c r="G105" s="117">
        <f t="shared" si="78"/>
        <v>2</v>
      </c>
      <c r="L105" s="117" t="str">
        <f t="shared" si="79"/>
        <v>ok</v>
      </c>
    </row>
    <row r="106">
      <c r="A106" s="1"/>
      <c r="B106" s="33" t="str">
        <f>IFERROR(__xludf.DUMMYFUNCTION("""COMPUTED_VALUE"""),"Oscar Bonilla")</f>
        <v>Oscar Bonilla</v>
      </c>
      <c r="C106" s="117">
        <f>IFERROR(__xludf.DUMMYFUNCTION("""COMPUTED_VALUE"""),4.0)</f>
        <v>4</v>
      </c>
      <c r="D106" s="117">
        <f t="shared" si="75"/>
        <v>15</v>
      </c>
      <c r="E106" s="117">
        <f t="shared" si="76"/>
        <v>11</v>
      </c>
      <c r="F106" s="117">
        <f t="shared" si="77"/>
        <v>16</v>
      </c>
      <c r="G106" s="117">
        <f t="shared" si="78"/>
        <v>2</v>
      </c>
      <c r="L106" s="117" t="str">
        <f t="shared" si="79"/>
        <v>ok</v>
      </c>
    </row>
    <row r="107">
      <c r="A107" s="1"/>
      <c r="B107" s="33" t="str">
        <f>IFERROR(__xludf.DUMMYFUNCTION("""COMPUTED_VALUE"""),"Ramesh Bandaru")</f>
        <v>Ramesh Bandaru</v>
      </c>
      <c r="C107" s="117">
        <f>IFERROR(__xludf.DUMMYFUNCTION("""COMPUTED_VALUE"""),3.0)</f>
        <v>3</v>
      </c>
      <c r="D107" s="117">
        <f t="shared" si="75"/>
        <v>40</v>
      </c>
      <c r="E107" s="117">
        <f t="shared" si="76"/>
        <v>37</v>
      </c>
      <c r="F107" s="117">
        <f t="shared" si="77"/>
        <v>15</v>
      </c>
      <c r="G107" s="117">
        <f t="shared" si="78"/>
        <v>5</v>
      </c>
      <c r="L107" s="117" t="str">
        <f t="shared" si="79"/>
        <v>ok</v>
      </c>
    </row>
    <row r="108">
      <c r="A108" s="1"/>
      <c r="B108" s="33" t="str">
        <f>IFERROR(__xludf.DUMMYFUNCTION("""COMPUTED_VALUE"""),"Sandeep Kamalon")</f>
        <v>Sandeep Kamalon</v>
      </c>
      <c r="C108" s="117">
        <f>IFERROR(__xludf.DUMMYFUNCTION("""COMPUTED_VALUE"""),2.0)</f>
        <v>2</v>
      </c>
      <c r="D108" s="117">
        <f t="shared" si="75"/>
        <v>6</v>
      </c>
      <c r="E108" s="117">
        <f t="shared" si="76"/>
        <v>4</v>
      </c>
      <c r="F108" s="117">
        <f t="shared" si="77"/>
        <v>14</v>
      </c>
      <c r="G108" s="117">
        <f t="shared" si="78"/>
        <v>2</v>
      </c>
      <c r="L108" s="117" t="str">
        <f t="shared" si="79"/>
        <v>ok</v>
      </c>
    </row>
    <row r="109">
      <c r="A109" s="1"/>
      <c r="B109" s="33" t="str">
        <f>IFERROR(__xludf.DUMMYFUNCTION("""COMPUTED_VALUE"""),"Herman Au")</f>
        <v>Herman Au</v>
      </c>
      <c r="C109" s="117">
        <f>IFERROR(__xludf.DUMMYFUNCTION("""COMPUTED_VALUE"""),2.0)</f>
        <v>2</v>
      </c>
      <c r="D109" s="117">
        <f t="shared" si="75"/>
        <v>18</v>
      </c>
      <c r="E109" s="117">
        <f t="shared" si="76"/>
        <v>16</v>
      </c>
      <c r="F109" s="117">
        <f t="shared" si="77"/>
        <v>14</v>
      </c>
      <c r="G109" s="117">
        <f t="shared" si="78"/>
        <v>3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24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321</v>
      </c>
      <c r="D118" s="117">
        <f t="shared" si="80"/>
        <v>38</v>
      </c>
      <c r="E118" s="117">
        <f t="shared" si="80"/>
        <v>15.17647059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310</v>
      </c>
      <c r="D119" s="117">
        <f t="shared" si="81"/>
        <v>34</v>
      </c>
      <c r="E119" s="117">
        <f t="shared" si="81"/>
        <v>14.29411765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305</v>
      </c>
      <c r="D120" s="117">
        <f t="shared" si="82"/>
        <v>31</v>
      </c>
      <c r="E120" s="117">
        <f t="shared" si="82"/>
        <v>13.45</v>
      </c>
      <c r="F120" s="1"/>
    </row>
    <row r="121">
      <c r="A121" s="117">
        <f t="shared" ref="A121:E121" si="83">A8</f>
        <v>4</v>
      </c>
      <c r="B121" s="33" t="str">
        <f t="shared" si="83"/>
        <v>Sandeep Kamalon</v>
      </c>
      <c r="C121" s="117">
        <f t="shared" si="83"/>
        <v>297</v>
      </c>
      <c r="D121" s="117">
        <f t="shared" si="83"/>
        <v>34</v>
      </c>
      <c r="E121" s="117">
        <f t="shared" si="83"/>
        <v>12.5</v>
      </c>
      <c r="F121" s="1"/>
    </row>
    <row r="122">
      <c r="A122" s="117">
        <f t="shared" ref="A122:E122" si="84">A9</f>
        <v>5</v>
      </c>
      <c r="B122" s="33" t="str">
        <f t="shared" si="84"/>
        <v>Pulkit Mathur</v>
      </c>
      <c r="C122" s="117">
        <f t="shared" si="84"/>
        <v>297</v>
      </c>
      <c r="D122" s="117">
        <f t="shared" si="84"/>
        <v>30</v>
      </c>
      <c r="E122" s="117">
        <f t="shared" si="84"/>
        <v>13.5</v>
      </c>
      <c r="F122" s="1"/>
    </row>
    <row r="123">
      <c r="A123" s="117">
        <f t="shared" ref="A123:E123" si="85">A10</f>
        <v>6</v>
      </c>
      <c r="B123" s="33" t="str">
        <f t="shared" si="85"/>
        <v>Eric Pan</v>
      </c>
      <c r="C123" s="117">
        <f t="shared" si="85"/>
        <v>297</v>
      </c>
      <c r="D123" s="117">
        <f t="shared" si="85"/>
        <v>29</v>
      </c>
      <c r="E123" s="117">
        <f t="shared" si="85"/>
        <v>14.5</v>
      </c>
      <c r="F123" s="1"/>
    </row>
    <row r="124">
      <c r="A124" s="117">
        <f t="shared" ref="A124:E124" si="86">A11</f>
        <v>7</v>
      </c>
      <c r="B124" s="33" t="str">
        <f t="shared" si="86"/>
        <v>Ethan Gu</v>
      </c>
      <c r="C124" s="117">
        <f t="shared" si="86"/>
        <v>292</v>
      </c>
      <c r="D124" s="117">
        <f t="shared" si="86"/>
        <v>31</v>
      </c>
      <c r="E124" s="117">
        <f t="shared" si="86"/>
        <v>12.61904762</v>
      </c>
      <c r="F124" s="1"/>
    </row>
    <row r="125">
      <c r="A125" s="117">
        <f t="shared" ref="A125:E125" si="87">A12</f>
        <v>8</v>
      </c>
      <c r="B125" s="33" t="str">
        <f t="shared" si="87"/>
        <v>Pavan Akkimsetty</v>
      </c>
      <c r="C125" s="117">
        <f t="shared" si="87"/>
        <v>292</v>
      </c>
      <c r="D125" s="117">
        <f t="shared" si="87"/>
        <v>25</v>
      </c>
      <c r="E125" s="117">
        <f t="shared" si="87"/>
        <v>13.47058824</v>
      </c>
      <c r="F125" s="1"/>
    </row>
    <row r="126">
      <c r="A126" s="117">
        <f t="shared" ref="A126:E126" si="88">A13</f>
        <v>9</v>
      </c>
      <c r="B126" s="33" t="str">
        <f t="shared" si="88"/>
        <v>David Shin</v>
      </c>
      <c r="C126" s="117">
        <f t="shared" si="88"/>
        <v>291</v>
      </c>
      <c r="D126" s="117">
        <f t="shared" si="88"/>
        <v>26</v>
      </c>
      <c r="E126" s="117">
        <f t="shared" si="88"/>
        <v>12.57142857</v>
      </c>
      <c r="F126" s="1"/>
    </row>
    <row r="127">
      <c r="A127" s="117">
        <f t="shared" ref="A127:E127" si="89">A14</f>
        <v>10</v>
      </c>
      <c r="B127" s="33" t="str">
        <f t="shared" si="89"/>
        <v>Rajasekar Ramasamy</v>
      </c>
      <c r="C127" s="117">
        <f t="shared" si="89"/>
        <v>289</v>
      </c>
      <c r="D127" s="117">
        <f t="shared" si="89"/>
        <v>30</v>
      </c>
      <c r="E127" s="117">
        <f t="shared" si="89"/>
        <v>12.13636364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 t="str">
        <f>if(B153&lt;&gt;"",1,0)</f>
        <v>#N/A</v>
      </c>
      <c r="B153" s="33" t="str">
        <f>IFERROR(__xludf.DUMMYFUNCTION("query(B5:Y69,""select B where Y = 'Y' order by B ASC"")"),"#N/A")</f>
        <v>#N/A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</row>
    <row r="155">
      <c r="A155" s="117">
        <f t="shared" si="90"/>
        <v>0</v>
      </c>
      <c r="B155" s="33"/>
      <c r="C155" s="1"/>
      <c r="D155" s="1"/>
      <c r="E155" s="1"/>
      <c r="F155" s="1"/>
      <c r="P155" s="33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12/06/25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IFERROR(__xludf.DUMMYFUNCTION("""COMPUTED_VALUE"""),"Adrian Tay")</f>
        <v>Adrian Tay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IFERROR(__xludf.DUMMYFUNCTION("""COMPUTED_VALUE"""),1.0)</f>
        <v>1</v>
      </c>
      <c r="F184" s="122">
        <f>IFERROR(__xludf.DUMMYFUNCTION("""COMPUTED_VALUE"""),13.0)</f>
        <v>13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IFERROR(__xludf.DUMMYFUNCTION("""COMPUTED_VALUE"""),"Darren Wong")</f>
        <v>Darren Wong</v>
      </c>
      <c r="C185" s="122">
        <f>IFERROR(__xludf.DUMMYFUNCTION("""COMPUTED_VALUE"""),6.0)</f>
        <v>6</v>
      </c>
      <c r="D185" s="122">
        <f>IFERROR(__xludf.DUMMYFUNCTION("""COMPUTED_VALUE"""),2.0)</f>
        <v>2</v>
      </c>
      <c r="E185" s="122">
        <f>IFERROR(__xludf.DUMMYFUNCTION("""COMPUTED_VALUE"""),6.0)</f>
        <v>6</v>
      </c>
      <c r="F185" s="122">
        <f>IFERROR(__xludf.DUMMYFUNCTION("""COMPUTED_VALUE"""),14.0)</f>
        <v>14</v>
      </c>
      <c r="G185" s="122">
        <f>IFERROR(__xludf.DUMMYFUNCTION("""COMPUTED_VALUE"""),2.0)</f>
        <v>2</v>
      </c>
    </row>
    <row r="186">
      <c r="A186" s="117">
        <f>IFERROR(__xludf.DUMMYFUNCTION("""COMPUTED_VALUE"""),1.0)</f>
        <v>1</v>
      </c>
      <c r="B186" s="33" t="str">
        <f>IFERROR(__xludf.DUMMYFUNCTION("""COMPUTED_VALUE"""),"Lam Bui")</f>
        <v>Lam Bui</v>
      </c>
      <c r="C186" s="122">
        <f>IFERROR(__xludf.DUMMYFUNCTION("""COMPUTED_VALUE"""),1.0)</f>
        <v>1</v>
      </c>
      <c r="D186" s="122">
        <f>IFERROR(__xludf.DUMMYFUNCTION("""COMPUTED_VALUE"""),6.0)</f>
        <v>6</v>
      </c>
      <c r="E186" s="122">
        <f>IFERROR(__xludf.DUMMYFUNCTION("""COMPUTED_VALUE"""),6.0)</f>
        <v>6</v>
      </c>
      <c r="F186" s="122">
        <f>IFERROR(__xludf.DUMMYFUNCTION("""COMPUTED_VALUE"""),13.0)</f>
        <v>13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IFERROR(__xludf.DUMMYFUNCTION("""COMPUTED_VALUE"""),"Rajasekar Ramasamy")</f>
        <v>Rajasekar Ramasamy</v>
      </c>
      <c r="C187" s="122">
        <f>IFERROR(__xludf.DUMMYFUNCTION("""COMPUTED_VALUE"""),1.0)</f>
        <v>1</v>
      </c>
      <c r="D187" s="122">
        <f>IFERROR(__xludf.DUMMYFUNCTION("""COMPUTED_VALUE"""),2.0)</f>
        <v>2</v>
      </c>
      <c r="E187" s="122">
        <f>IFERROR(__xludf.DUMMYFUNCTION("""COMPUTED_VALUE"""),1.0)</f>
        <v>1</v>
      </c>
      <c r="F187" s="122">
        <f>IFERROR(__xludf.DUMMYFUNCTION("""COMPUTED_VALUE"""),4.0)</f>
        <v>4</v>
      </c>
      <c r="G187" s="122">
        <f>IFERROR(__xludf.DUMMYFUNCTION("""COMPUTED_VALUE"""),0.0)</f>
        <v>0</v>
      </c>
    </row>
    <row r="188">
      <c r="A188" s="123">
        <f>IFERROR(__xludf.DUMMYFUNCTION("""COMPUTED_VALUE"""),2.0)</f>
        <v>2</v>
      </c>
      <c r="B188" s="124" t="str">
        <f>IFERROR(__xludf.DUMMYFUNCTION("""COMPUTED_VALUE"""),"Sandeep Kamalon")</f>
        <v>Sandeep Kamalon</v>
      </c>
      <c r="C188" s="125">
        <f>IFERROR(__xludf.DUMMYFUNCTION("""COMPUTED_VALUE"""),6.0)</f>
        <v>6</v>
      </c>
      <c r="D188" s="125">
        <f>IFERROR(__xludf.DUMMYFUNCTION("""COMPUTED_VALUE"""),6.0)</f>
        <v>6</v>
      </c>
      <c r="E188" s="125">
        <f>IFERROR(__xludf.DUMMYFUNCTION("""COMPUTED_VALUE"""),2.0)</f>
        <v>2</v>
      </c>
      <c r="F188" s="125">
        <f>IFERROR(__xludf.DUMMYFUNCTION("""COMPUTED_VALUE"""),14.0)</f>
        <v>14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IFERROR(__xludf.DUMMYFUNCTION("""COMPUTED_VALUE"""),"Pulkit Mathur")</f>
        <v>Pulkit Mathur</v>
      </c>
      <c r="C189" s="125">
        <f>IFERROR(__xludf.DUMMYFUNCTION("""COMPUTED_VALUE"""),3.0)</f>
        <v>3</v>
      </c>
      <c r="D189" s="125">
        <f>IFERROR(__xludf.DUMMYFUNCTION("""COMPUTED_VALUE"""),6.0)</f>
        <v>6</v>
      </c>
      <c r="E189" s="125">
        <f>IFERROR(__xludf.DUMMYFUNCTION("""COMPUTED_VALUE"""),6.0)</f>
        <v>6</v>
      </c>
      <c r="F189" s="125">
        <f>IFERROR(__xludf.DUMMYFUNCTION("""COMPUTED_VALUE"""),15.0)</f>
        <v>15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IFERROR(__xludf.DUMMYFUNCTION("""COMPUTED_VALUE"""),"Tina Hanson")</f>
        <v>Tina Hanson</v>
      </c>
      <c r="C190" s="125">
        <f>IFERROR(__xludf.DUMMYFUNCTION("""COMPUTED_VALUE"""),3.0)</f>
        <v>3</v>
      </c>
      <c r="D190" s="125">
        <f>IFERROR(__xludf.DUMMYFUNCTION("""COMPUTED_VALUE"""),4.0)</f>
        <v>4</v>
      </c>
      <c r="E190" s="125">
        <f>IFERROR(__xludf.DUMMYFUNCTION("""COMPUTED_VALUE"""),2.0)</f>
        <v>2</v>
      </c>
      <c r="F190" s="125">
        <f>IFERROR(__xludf.DUMMYFUNCTION("""COMPUTED_VALUE"""),9.0)</f>
        <v>9</v>
      </c>
      <c r="G190" s="125">
        <f>IFERROR(__xludf.DUMMYFUNCTION("""COMPUTED_VALUE"""),0.0)</f>
        <v>0</v>
      </c>
    </row>
    <row r="191">
      <c r="A191" s="123">
        <f>IFERROR(__xludf.DUMMYFUNCTION("""COMPUTED_VALUE"""),2.0)</f>
        <v>2</v>
      </c>
      <c r="B191" s="124" t="str">
        <f>IFERROR(__xludf.DUMMYFUNCTION("""COMPUTED_VALUE"""),"Oscar Bonilla")</f>
        <v>Oscar Bonilla</v>
      </c>
      <c r="C191" s="125">
        <f>IFERROR(__xludf.DUMMYFUNCTION("""COMPUTED_VALUE"""),6.0)</f>
        <v>6</v>
      </c>
      <c r="D191" s="125">
        <f>IFERROR(__xludf.DUMMYFUNCTION("""COMPUTED_VALUE"""),4.0)</f>
        <v>4</v>
      </c>
      <c r="E191" s="125">
        <f>IFERROR(__xludf.DUMMYFUNCTION("""COMPUTED_VALUE"""),6.0)</f>
        <v>6</v>
      </c>
      <c r="F191" s="125">
        <f>IFERROR(__xludf.DUMMYFUNCTION("""COMPUTED_VALUE"""),16.0)</f>
        <v>16</v>
      </c>
      <c r="G191" s="125">
        <f>IFERROR(__xludf.DUMMYFUNCTION("""COMPUTED_VALUE"""),2.0)</f>
        <v>2</v>
      </c>
    </row>
    <row r="192">
      <c r="A192" s="117">
        <f>IFERROR(__xludf.DUMMYFUNCTION("""COMPUTED_VALUE"""),3.0)</f>
        <v>3</v>
      </c>
      <c r="B192" s="33" t="str">
        <f>IFERROR(__xludf.DUMMYFUNCTION("""COMPUTED_VALUE"""),"Suleman Alidina")</f>
        <v>Suleman Alidina</v>
      </c>
      <c r="C192" s="122">
        <f>IFERROR(__xludf.DUMMYFUNCTION("""COMPUTED_VALUE"""),6.0)</f>
        <v>6</v>
      </c>
      <c r="D192" s="122">
        <f>IFERROR(__xludf.DUMMYFUNCTION("""COMPUTED_VALUE"""),6.0)</f>
        <v>6</v>
      </c>
      <c r="E192" s="122">
        <f>IFERROR(__xludf.DUMMYFUNCTION("""COMPUTED_VALUE"""),0.0)</f>
        <v>0</v>
      </c>
      <c r="F192" s="122">
        <f>IFERROR(__xludf.DUMMYFUNCTION("""COMPUTED_VALUE"""),12.0)</f>
        <v>12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IFERROR(__xludf.DUMMYFUNCTION("""COMPUTED_VALUE"""),"Herman Au")</f>
        <v>Herman Au</v>
      </c>
      <c r="C193" s="122">
        <f>IFERROR(__xludf.DUMMYFUNCTION("""COMPUTED_VALUE"""),6.0)</f>
        <v>6</v>
      </c>
      <c r="D193" s="122">
        <f>IFERROR(__xludf.DUMMYFUNCTION("""COMPUTED_VALUE"""),2.0)</f>
        <v>2</v>
      </c>
      <c r="E193" s="122">
        <f>IFERROR(__xludf.DUMMYFUNCTION("""COMPUTED_VALUE"""),6.0)</f>
        <v>6</v>
      </c>
      <c r="F193" s="122">
        <f>IFERROR(__xludf.DUMMYFUNCTION("""COMPUTED_VALUE"""),14.0)</f>
        <v>14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IFERROR(__xludf.DUMMYFUNCTION("""COMPUTED_VALUE"""),"Frank Moon")</f>
        <v>Frank Moon</v>
      </c>
      <c r="C194" s="122">
        <f>IFERROR(__xludf.DUMMYFUNCTION("""COMPUTED_VALUE"""),2.0)</f>
        <v>2</v>
      </c>
      <c r="D194" s="122">
        <f>IFERROR(__xludf.DUMMYFUNCTION("""COMPUTED_VALUE"""),6.0)</f>
        <v>6</v>
      </c>
      <c r="E194" s="122">
        <f>IFERROR(__xludf.DUMMYFUNCTION("""COMPUTED_VALUE"""),6.0)</f>
        <v>6</v>
      </c>
      <c r="F194" s="122">
        <f>IFERROR(__xludf.DUMMYFUNCTION("""COMPUTED_VALUE"""),14.0)</f>
        <v>14</v>
      </c>
      <c r="G194" s="122">
        <f>IFERROR(__xludf.DUMMYFUNCTION("""COMPUTED_VALUE"""),2.0)</f>
        <v>2</v>
      </c>
    </row>
    <row r="195">
      <c r="A195" s="117">
        <f>IFERROR(__xludf.DUMMYFUNCTION("""COMPUTED_VALUE"""),3.0)</f>
        <v>3</v>
      </c>
      <c r="B195" s="33" t="str">
        <f>IFERROR(__xludf.DUMMYFUNCTION("""COMPUTED_VALUE"""),"Jimmy Awolesi")</f>
        <v>Jimmy Awolesi</v>
      </c>
      <c r="C195" s="122">
        <f>IFERROR(__xludf.DUMMYFUNCTION("""COMPUTED_VALUE"""),2.0)</f>
        <v>2</v>
      </c>
      <c r="D195" s="122">
        <f>IFERROR(__xludf.DUMMYFUNCTION("""COMPUTED_VALUE"""),2.0)</f>
        <v>2</v>
      </c>
      <c r="E195" s="122">
        <f>IFERROR(__xludf.DUMMYFUNCTION("""COMPUTED_VALUE"""),0.0)</f>
        <v>0</v>
      </c>
      <c r="F195" s="122">
        <f>IFERROR(__xludf.DUMMYFUNCTION("""COMPUTED_VALUE"""),4.0)</f>
        <v>4</v>
      </c>
      <c r="G195" s="122">
        <f>IFERROR(__xludf.DUMMYFUNCTION("""COMPUTED_VALUE"""),0.0)</f>
        <v>0</v>
      </c>
    </row>
    <row r="196">
      <c r="A196" s="123">
        <f>IFERROR(__xludf.DUMMYFUNCTION("""COMPUTED_VALUE"""),4.0)</f>
        <v>4</v>
      </c>
      <c r="B196" s="124" t="str">
        <f>IFERROR(__xludf.DUMMYFUNCTION("""COMPUTED_VALUE"""),"Elayaraja Thangaraj")</f>
        <v>Elayaraja Thangaraj</v>
      </c>
      <c r="C196" s="125">
        <f>IFERROR(__xludf.DUMMYFUNCTION("""COMPUTED_VALUE"""),4.0)</f>
        <v>4</v>
      </c>
      <c r="D196" s="125">
        <f>IFERROR(__xludf.DUMMYFUNCTION("""COMPUTED_VALUE"""),7.0)</f>
        <v>7</v>
      </c>
      <c r="E196" s="125">
        <f>IFERROR(__xludf.DUMMYFUNCTION("""COMPUTED_VALUE"""),6.0)</f>
        <v>6</v>
      </c>
      <c r="F196" s="125">
        <f>IFERROR(__xludf.DUMMYFUNCTION("""COMPUTED_VALUE"""),17.0)</f>
        <v>17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IFERROR(__xludf.DUMMYFUNCTION("""COMPUTED_VALUE"""),"Allen Zhang")</f>
        <v>Allen Zhang</v>
      </c>
      <c r="C197" s="125">
        <f>IFERROR(__xludf.DUMMYFUNCTION("""COMPUTED_VALUE"""),6.0)</f>
        <v>6</v>
      </c>
      <c r="D197" s="125">
        <f>IFERROR(__xludf.DUMMYFUNCTION("""COMPUTED_VALUE"""),6.0)</f>
        <v>6</v>
      </c>
      <c r="E197" s="125">
        <f>IFERROR(__xludf.DUMMYFUNCTION("""COMPUTED_VALUE"""),6.0)</f>
        <v>6</v>
      </c>
      <c r="F197" s="125">
        <f>IFERROR(__xludf.DUMMYFUNCTION("""COMPUTED_VALUE"""),18.0)</f>
        <v>18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IFERROR(__xludf.DUMMYFUNCTION("""COMPUTED_VALUE"""),"Mauricio Palacios")</f>
        <v>Mauricio Palacios</v>
      </c>
      <c r="C198" s="125">
        <f>IFERROR(__xludf.DUMMYFUNCTION("""COMPUTED_VALUE"""),4.0)</f>
        <v>4</v>
      </c>
      <c r="D198" s="125">
        <f>IFERROR(__xludf.DUMMYFUNCTION("""COMPUTED_VALUE"""),6.0)</f>
        <v>6</v>
      </c>
      <c r="E198" s="125">
        <f>IFERROR(__xludf.DUMMYFUNCTION("""COMPUTED_VALUE"""),4.0)</f>
        <v>4</v>
      </c>
      <c r="F198" s="125">
        <f>IFERROR(__xludf.DUMMYFUNCTION("""COMPUTED_VALUE"""),14.0)</f>
        <v>14</v>
      </c>
      <c r="G198" s="125">
        <f>IFERROR(__xludf.DUMMYFUNCTION("""COMPUTED_VALUE"""),0.0)</f>
        <v>0</v>
      </c>
    </row>
    <row r="199">
      <c r="A199" s="123">
        <f>IFERROR(__xludf.DUMMYFUNCTION("""COMPUTED_VALUE"""),4.0)</f>
        <v>4</v>
      </c>
      <c r="B199" s="124" t="str">
        <f>IFERROR(__xludf.DUMMYFUNCTION("""COMPUTED_VALUE"""),"Cid Macaraeg")</f>
        <v>Cid Macaraeg</v>
      </c>
      <c r="C199" s="125">
        <f>IFERROR(__xludf.DUMMYFUNCTION("""COMPUTED_VALUE"""),6.0)</f>
        <v>6</v>
      </c>
      <c r="D199" s="125">
        <f>IFERROR(__xludf.DUMMYFUNCTION("""COMPUTED_VALUE"""),7.0)</f>
        <v>7</v>
      </c>
      <c r="E199" s="125">
        <f>IFERROR(__xludf.DUMMYFUNCTION("""COMPUTED_VALUE"""),4.0)</f>
        <v>4</v>
      </c>
      <c r="F199" s="125">
        <f>IFERROR(__xludf.DUMMYFUNCTION("""COMPUTED_VALUE"""),17.0)</f>
        <v>17</v>
      </c>
      <c r="G199" s="125">
        <f>IFERROR(__xludf.DUMMYFUNCTION("""COMPUTED_VALUE"""),2.0)</f>
        <v>2</v>
      </c>
    </row>
    <row r="200">
      <c r="A200" s="117">
        <f>IFERROR(__xludf.DUMMYFUNCTION("""COMPUTED_VALUE"""),5.0)</f>
        <v>5</v>
      </c>
      <c r="B200" s="33" t="str">
        <f>IFERROR(__xludf.DUMMYFUNCTION("""COMPUTED_VALUE"""),"Alex Hou")</f>
        <v>Alex Hou</v>
      </c>
      <c r="C200" s="122">
        <f>IFERROR(__xludf.DUMMYFUNCTION("""COMPUTED_VALUE"""),1.0)</f>
        <v>1</v>
      </c>
      <c r="D200" s="122">
        <f>IFERROR(__xludf.DUMMYFUNCTION("""COMPUTED_VALUE"""),6.0)</f>
        <v>6</v>
      </c>
      <c r="E200" s="122">
        <f>IFERROR(__xludf.DUMMYFUNCTION("""COMPUTED_VALUE"""),6.0)</f>
        <v>6</v>
      </c>
      <c r="F200" s="122">
        <f>IFERROR(__xludf.DUMMYFUNCTION("""COMPUTED_VALUE"""),13.0)</f>
        <v>13</v>
      </c>
      <c r="G200" s="122">
        <f>IFERROR(__xludf.DUMMYFUNCTION("""COMPUTED_VALUE"""),2.0)</f>
        <v>2</v>
      </c>
    </row>
    <row r="201">
      <c r="A201" s="117">
        <f>IFERROR(__xludf.DUMMYFUNCTION("""COMPUTED_VALUE"""),5.0)</f>
        <v>5</v>
      </c>
      <c r="B201" s="33" t="str">
        <f>IFERROR(__xludf.DUMMYFUNCTION("""COMPUTED_VALUE"""),"Jim Miao")</f>
        <v>Jim Miao</v>
      </c>
      <c r="C201" s="122">
        <f>IFERROR(__xludf.DUMMYFUNCTION("""COMPUTED_VALUE"""),6.0)</f>
        <v>6</v>
      </c>
      <c r="D201" s="122">
        <f>IFERROR(__xludf.DUMMYFUNCTION("""COMPUTED_VALUE"""),1.0)</f>
        <v>1</v>
      </c>
      <c r="E201" s="122">
        <f>IFERROR(__xludf.DUMMYFUNCTION("""COMPUTED_VALUE"""),6.0)</f>
        <v>6</v>
      </c>
      <c r="F201" s="122">
        <f>IFERROR(__xludf.DUMMYFUNCTION("""COMPUTED_VALUE"""),13.0)</f>
        <v>13</v>
      </c>
      <c r="G201" s="122">
        <f>IFERROR(__xludf.DUMMYFUNCTION("""COMPUTED_VALUE"""),2.0)</f>
        <v>2</v>
      </c>
    </row>
    <row r="202">
      <c r="A202" s="117">
        <f>IFERROR(__xludf.DUMMYFUNCTION("""COMPUTED_VALUE"""),5.0)</f>
        <v>5</v>
      </c>
      <c r="B202" s="33" t="str">
        <f>IFERROR(__xludf.DUMMYFUNCTION("""COMPUTED_VALUE"""),"Kumar Palakeel")</f>
        <v>Kumar Palakeel</v>
      </c>
      <c r="C202" s="122">
        <f>IFERROR(__xludf.DUMMYFUNCTION("""COMPUTED_VALUE"""),1.0)</f>
        <v>1</v>
      </c>
      <c r="D202" s="122">
        <f>IFERROR(__xludf.DUMMYFUNCTION("""COMPUTED_VALUE"""),1.0)</f>
        <v>1</v>
      </c>
      <c r="E202" s="122">
        <f>IFERROR(__xludf.DUMMYFUNCTION("""COMPUTED_VALUE"""),3.0)</f>
        <v>3</v>
      </c>
      <c r="F202" s="122">
        <f>IFERROR(__xludf.DUMMYFUNCTION("""COMPUTED_VALUE"""),5.0)</f>
        <v>5</v>
      </c>
      <c r="G202" s="122">
        <f>IFERROR(__xludf.DUMMYFUNCTION("""COMPUTED_VALUE"""),0.0)</f>
        <v>0</v>
      </c>
    </row>
    <row r="203">
      <c r="A203" s="117">
        <f>IFERROR(__xludf.DUMMYFUNCTION("""COMPUTED_VALUE"""),5.0)</f>
        <v>5</v>
      </c>
      <c r="B203" s="33" t="str">
        <f>IFERROR(__xludf.DUMMYFUNCTION("""COMPUTED_VALUE"""),"Ramesh Bandaru")</f>
        <v>Ramesh Bandaru</v>
      </c>
      <c r="C203" s="122">
        <f>IFERROR(__xludf.DUMMYFUNCTION("""COMPUTED_VALUE"""),6.0)</f>
        <v>6</v>
      </c>
      <c r="D203" s="122">
        <f>IFERROR(__xludf.DUMMYFUNCTION("""COMPUTED_VALUE"""),6.0)</f>
        <v>6</v>
      </c>
      <c r="E203" s="122">
        <f>IFERROR(__xludf.DUMMYFUNCTION("""COMPUTED_VALUE"""),3.0)</f>
        <v>3</v>
      </c>
      <c r="F203" s="122">
        <f>IFERROR(__xludf.DUMMYFUNCTION("""COMPUTED_VALUE"""),15.0)</f>
        <v>15</v>
      </c>
      <c r="G203" s="122">
        <f>IFERROR(__xludf.DUMMYFUNCTION("""COMPUTED_VALUE"""),2.0)</f>
        <v>2</v>
      </c>
    </row>
    <row r="204">
      <c r="A204" s="123">
        <f>IFERROR(__xludf.DUMMYFUNCTION("""COMPUTED_VALUE"""),6.0)</f>
        <v>6</v>
      </c>
      <c r="B204" s="124" t="str">
        <f>IFERROR(__xludf.DUMMYFUNCTION("""COMPUTED_VALUE"""),"Vinaya Kajla")</f>
        <v>Vinaya Kajla</v>
      </c>
      <c r="C204" s="125">
        <f>IFERROR(__xludf.DUMMYFUNCTION("""COMPUTED_VALUE"""),3.0)</f>
        <v>3</v>
      </c>
      <c r="D204" s="125">
        <f>IFERROR(__xludf.DUMMYFUNCTION("""COMPUTED_VALUE"""),2.0)</f>
        <v>2</v>
      </c>
      <c r="E204" s="125">
        <f>IFERROR(__xludf.DUMMYFUNCTION("""COMPUTED_VALUE"""),6.0)</f>
        <v>6</v>
      </c>
      <c r="F204" s="125">
        <f>IFERROR(__xludf.DUMMYFUNCTION("""COMPUTED_VALUE"""),11.0)</f>
        <v>11</v>
      </c>
      <c r="G204" s="125">
        <f>IFERROR(__xludf.DUMMYFUNCTION("""COMPUTED_VALUE"""),1.0)</f>
        <v>1</v>
      </c>
    </row>
    <row r="205">
      <c r="A205" s="123">
        <f>IFERROR(__xludf.DUMMYFUNCTION("""COMPUTED_VALUE"""),6.0)</f>
        <v>6</v>
      </c>
      <c r="B205" s="124" t="str">
        <f>IFERROR(__xludf.DUMMYFUNCTION("""COMPUTED_VALUE"""),"Eric Tan")</f>
        <v>Eric Tan</v>
      </c>
      <c r="C205" s="125">
        <f>IFERROR(__xludf.DUMMYFUNCTION("""COMPUTED_VALUE"""),3.0)</f>
        <v>3</v>
      </c>
      <c r="D205" s="125">
        <f>IFERROR(__xludf.DUMMYFUNCTION("""COMPUTED_VALUE"""),6.0)</f>
        <v>6</v>
      </c>
      <c r="E205" s="125">
        <f>IFERROR(__xludf.DUMMYFUNCTION("""COMPUTED_VALUE"""),2.0)</f>
        <v>2</v>
      </c>
      <c r="F205" s="125">
        <f>IFERROR(__xludf.DUMMYFUNCTION("""COMPUTED_VALUE"""),11.0)</f>
        <v>11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IFERROR(__xludf.DUMMYFUNCTION("""COMPUTED_VALUE"""),"Saravanan Veerapandian")</f>
        <v>Saravanan Veerapandian</v>
      </c>
      <c r="C206" s="125">
        <f>IFERROR(__xludf.DUMMYFUNCTION("""COMPUTED_VALUE"""),6.0)</f>
        <v>6</v>
      </c>
      <c r="D206" s="125">
        <f>IFERROR(__xludf.DUMMYFUNCTION("""COMPUTED_VALUE"""),2.0)</f>
        <v>2</v>
      </c>
      <c r="E206" s="125">
        <f>IFERROR(__xludf.DUMMYFUNCTION("""COMPUTED_VALUE"""),2.0)</f>
        <v>2</v>
      </c>
      <c r="F206" s="125">
        <f>IFERROR(__xludf.DUMMYFUNCTION("""COMPUTED_VALUE"""),10.0)</f>
        <v>10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IFERROR(__xludf.DUMMYFUNCTION("""COMPUTED_VALUE"""),"Vishnu Amarnath")</f>
        <v>Vishnu Amarnath</v>
      </c>
      <c r="C207" s="125">
        <f>IFERROR(__xludf.DUMMYFUNCTION("""COMPUTED_VALUE"""),6.0)</f>
        <v>6</v>
      </c>
      <c r="D207" s="125">
        <f>IFERROR(__xludf.DUMMYFUNCTION("""COMPUTED_VALUE"""),6.0)</f>
        <v>6</v>
      </c>
      <c r="E207" s="125">
        <f>IFERROR(__xludf.DUMMYFUNCTION("""COMPUTED_VALUE"""),6.0)</f>
        <v>6</v>
      </c>
      <c r="F207" s="125">
        <f>IFERROR(__xludf.DUMMYFUNCTION("""COMPUTED_VALUE"""),18.0)</f>
        <v>18</v>
      </c>
      <c r="G207" s="125">
        <f>IFERROR(__xludf.DUMMYFUNCTION("""COMPUTED_VALUE"""),3.0)</f>
        <v>3</v>
      </c>
    </row>
    <row r="208">
      <c r="A208" s="117">
        <f>IFERROR(__xludf.DUMMYFUNCTION("""COMPUTED_VALUE"""),7.0)</f>
        <v>7</v>
      </c>
      <c r="B208" s="33" t="str">
        <f>IFERROR(__xludf.DUMMYFUNCTION("""COMPUTED_VALUE"""),"Vicki Martinet")</f>
        <v>Vicki Martinet</v>
      </c>
      <c r="C208" s="122">
        <f>IFERROR(__xludf.DUMMYFUNCTION("""COMPUTED_VALUE"""),2.0)</f>
        <v>2</v>
      </c>
      <c r="D208" s="122">
        <f>IFERROR(__xludf.DUMMYFUNCTION("""COMPUTED_VALUE"""),1.0)</f>
        <v>1</v>
      </c>
      <c r="E208" s="122">
        <f>IFERROR(__xludf.DUMMYFUNCTION("""COMPUTED_VALUE"""),6.0)</f>
        <v>6</v>
      </c>
      <c r="F208" s="122">
        <f>IFERROR(__xludf.DUMMYFUNCTION("""COMPUTED_VALUE"""),9.0)</f>
        <v>9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IFERROR(__xludf.DUMMYFUNCTION("""COMPUTED_VALUE"""),"Luis Hsu")</f>
        <v>Luis Hsu</v>
      </c>
      <c r="C209" s="122">
        <f>IFERROR(__xludf.DUMMYFUNCTION("""COMPUTED_VALUE"""),6.0)</f>
        <v>6</v>
      </c>
      <c r="D209" s="122">
        <f>IFERROR(__xludf.DUMMYFUNCTION("""COMPUTED_VALUE"""),6.0)</f>
        <v>6</v>
      </c>
      <c r="E209" s="122">
        <f>IFERROR(__xludf.DUMMYFUNCTION("""COMPUTED_VALUE"""),6.0)</f>
        <v>6</v>
      </c>
      <c r="F209" s="122">
        <f>IFERROR(__xludf.DUMMYFUNCTION("""COMPUTED_VALUE"""),18.0)</f>
        <v>18</v>
      </c>
      <c r="G209" s="122">
        <f>IFERROR(__xludf.DUMMYFUNCTION("""COMPUTED_VALUE"""),3.0)</f>
        <v>3</v>
      </c>
    </row>
    <row r="210">
      <c r="A210" s="117">
        <f>IFERROR(__xludf.DUMMYFUNCTION("""COMPUTED_VALUE"""),7.0)</f>
        <v>7</v>
      </c>
      <c r="B210" s="33" t="str">
        <f>IFERROR(__xludf.DUMMYFUNCTION("""COMPUTED_VALUE"""),"Joyce Zhu")</f>
        <v>Joyce Zhu</v>
      </c>
      <c r="C210" s="122">
        <f>IFERROR(__xludf.DUMMYFUNCTION("""COMPUTED_VALUE"""),2.0)</f>
        <v>2</v>
      </c>
      <c r="D210" s="122">
        <f>IFERROR(__xludf.DUMMYFUNCTION("""COMPUTED_VALUE"""),6.0)</f>
        <v>6</v>
      </c>
      <c r="E210" s="122">
        <f>IFERROR(__xludf.DUMMYFUNCTION("""COMPUTED_VALUE"""),1.0)</f>
        <v>1</v>
      </c>
      <c r="F210" s="122">
        <f>IFERROR(__xludf.DUMMYFUNCTION("""COMPUTED_VALUE"""),9.0)</f>
        <v>9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IFERROR(__xludf.DUMMYFUNCTION("""COMPUTED_VALUE"""),"Barathi Sundaram")</f>
        <v>Barathi Sundaram</v>
      </c>
      <c r="C211" s="122">
        <f>IFERROR(__xludf.DUMMYFUNCTION("""COMPUTED_VALUE"""),6.0)</f>
        <v>6</v>
      </c>
      <c r="D211" s="122">
        <f>IFERROR(__xludf.DUMMYFUNCTION("""COMPUTED_VALUE"""),1.0)</f>
        <v>1</v>
      </c>
      <c r="E211" s="122">
        <f>IFERROR(__xludf.DUMMYFUNCTION("""COMPUTED_VALUE"""),1.0)</f>
        <v>1</v>
      </c>
      <c r="F211" s="122">
        <f>IFERROR(__xludf.DUMMYFUNCTION("""COMPUTED_VALUE"""),8.0)</f>
        <v>8</v>
      </c>
      <c r="G211" s="122">
        <f>IFERROR(__xludf.DUMMYFUNCTION("""COMPUTED_VALUE"""),1.0)</f>
        <v>1</v>
      </c>
    </row>
    <row r="212">
      <c r="A212" s="123"/>
      <c r="B212" s="124"/>
      <c r="C212" s="125"/>
      <c r="D212" s="125"/>
      <c r="E212" s="125"/>
      <c r="F212" s="125"/>
      <c r="G212" s="125"/>
    </row>
    <row r="213">
      <c r="A213" s="123"/>
      <c r="B213" s="124"/>
      <c r="C213" s="125"/>
      <c r="D213" s="125"/>
      <c r="E213" s="125"/>
      <c r="F213" s="125"/>
      <c r="G213" s="125"/>
    </row>
    <row r="214">
      <c r="A214" s="123"/>
      <c r="B214" s="124"/>
      <c r="C214" s="125"/>
      <c r="D214" s="125"/>
      <c r="E214" s="125"/>
      <c r="F214" s="125"/>
      <c r="G214" s="125"/>
    </row>
    <row r="215">
      <c r="A215" s="123"/>
      <c r="B215" s="124"/>
      <c r="C215" s="125"/>
      <c r="D215" s="125"/>
      <c r="E215" s="125"/>
      <c r="F215" s="125"/>
      <c r="G215" s="125"/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64"/>
      <c r="B231" s="124" t="s">
        <v>177</v>
      </c>
      <c r="C231" s="1"/>
      <c r="D231" s="105" t="s">
        <v>155</v>
      </c>
      <c r="E231" s="25"/>
      <c r="F231" s="26"/>
    </row>
    <row r="232">
      <c r="A232" s="126">
        <v>1.0</v>
      </c>
      <c r="B232" s="127" t="str">
        <f>IFERROR(__xludf.DUMMYFUNCTION("QUERY(B5:R69,""Select B where R = 'X' order by B asc"",0)"),"Adrian Tay")</f>
        <v>Adrian Tay</v>
      </c>
      <c r="C232" s="1"/>
      <c r="D232" s="128" t="str">
        <f>IFERROR(__xludf.DUMMYFUNCTION("QUERY(B5:R69,""Select B where R = '' order by B asc"",0)"),"Alejandro Mejia")</f>
        <v>Alejandro Mejia</v>
      </c>
      <c r="E232" s="25"/>
      <c r="F232" s="26"/>
    </row>
    <row r="233">
      <c r="A233" s="126">
        <f t="shared" ref="A233:A296" si="91">A232+1</f>
        <v>2</v>
      </c>
      <c r="B233" s="127" t="str">
        <f>IFERROR(__xludf.DUMMYFUNCTION("""COMPUTED_VALUE"""),"Alex Hou")</f>
        <v>Alex Hou</v>
      </c>
      <c r="C233" s="1"/>
      <c r="D233" s="128" t="str">
        <f>IFERROR(__xludf.DUMMYFUNCTION("""COMPUTED_VALUE"""),"Erik Hoeckmann")</f>
        <v>Erik Hoeckmann</v>
      </c>
      <c r="E233" s="25"/>
      <c r="F233" s="26"/>
    </row>
    <row r="234">
      <c r="A234" s="126">
        <f t="shared" si="91"/>
        <v>3</v>
      </c>
      <c r="B234" s="127" t="str">
        <f>IFERROR(__xludf.DUMMYFUNCTION("""COMPUTED_VALUE"""),"Allen Zhang")</f>
        <v>Allen Zhang</v>
      </c>
      <c r="C234" s="1"/>
      <c r="D234" s="128" t="str">
        <f>IFERROR(__xludf.DUMMYFUNCTION("""COMPUTED_VALUE"""),"Mauricio Palacios")</f>
        <v>Mauricio Palacios</v>
      </c>
      <c r="E234" s="25"/>
      <c r="F234" s="26"/>
    </row>
    <row r="235">
      <c r="A235" s="126">
        <f t="shared" si="91"/>
        <v>4</v>
      </c>
      <c r="B235" s="127" t="str">
        <f>IFERROR(__xludf.DUMMYFUNCTION("""COMPUTED_VALUE"""),"Andrew Wen")</f>
        <v>Andrew Wen</v>
      </c>
      <c r="C235" s="1"/>
      <c r="D235" s="128"/>
      <c r="E235" s="25"/>
      <c r="F235" s="26"/>
    </row>
    <row r="236">
      <c r="A236" s="126">
        <f t="shared" si="91"/>
        <v>5</v>
      </c>
      <c r="B236" s="127" t="str">
        <f>IFERROR(__xludf.DUMMYFUNCTION("""COMPUTED_VALUE"""),"Balaji Alahari")</f>
        <v>Balaji Alahari</v>
      </c>
      <c r="C236" s="1"/>
      <c r="D236" s="128"/>
      <c r="E236" s="25"/>
      <c r="F236" s="26"/>
    </row>
    <row r="237">
      <c r="A237" s="126">
        <f t="shared" si="91"/>
        <v>6</v>
      </c>
      <c r="B237" s="127" t="str">
        <f>IFERROR(__xludf.DUMMYFUNCTION("""COMPUTED_VALUE"""),"Barathi Sundaram")</f>
        <v>Barathi Sundaram</v>
      </c>
      <c r="C237" s="1"/>
      <c r="D237" s="128"/>
      <c r="E237" s="25"/>
      <c r="F237" s="26"/>
    </row>
    <row r="238">
      <c r="A238" s="126">
        <f t="shared" si="91"/>
        <v>7</v>
      </c>
      <c r="B238" s="127" t="str">
        <f>IFERROR(__xludf.DUMMYFUNCTION("""COMPUTED_VALUE"""),"Basudev Thoppai Vidyasankar")</f>
        <v>Basudev Thoppai Vidyasankar</v>
      </c>
      <c r="C238" s="1"/>
      <c r="D238" s="128"/>
      <c r="E238" s="25"/>
      <c r="F238" s="26"/>
    </row>
    <row r="239">
      <c r="A239" s="126">
        <f t="shared" si="91"/>
        <v>8</v>
      </c>
      <c r="B239" s="127" t="str">
        <f>IFERROR(__xludf.DUMMYFUNCTION("""COMPUTED_VALUE"""),"Chinna Ponnaganti")</f>
        <v>Chinna Ponnaganti</v>
      </c>
      <c r="C239" s="1"/>
      <c r="D239" s="128"/>
      <c r="E239" s="25"/>
      <c r="F239" s="26"/>
    </row>
    <row r="240">
      <c r="A240" s="126">
        <f t="shared" si="91"/>
        <v>9</v>
      </c>
      <c r="B240" s="127" t="str">
        <f>IFERROR(__xludf.DUMMYFUNCTION("""COMPUTED_VALUE"""),"Cid Macaraeg")</f>
        <v>Cid Macaraeg</v>
      </c>
      <c r="C240" s="1"/>
      <c r="D240" s="128"/>
      <c r="E240" s="25"/>
      <c r="F240" s="26"/>
    </row>
    <row r="241">
      <c r="A241" s="126">
        <f t="shared" si="91"/>
        <v>10</v>
      </c>
      <c r="B241" s="127" t="str">
        <f>IFERROR(__xludf.DUMMYFUNCTION("""COMPUTED_VALUE"""),"Coco Yan")</f>
        <v>Coco Yan</v>
      </c>
      <c r="C241" s="1"/>
      <c r="D241" s="128"/>
      <c r="E241" s="25"/>
      <c r="F241" s="26"/>
    </row>
    <row r="242">
      <c r="A242" s="126">
        <f t="shared" si="91"/>
        <v>11</v>
      </c>
      <c r="B242" s="127" t="str">
        <f>IFERROR(__xludf.DUMMYFUNCTION("""COMPUTED_VALUE"""),"Darren Wong")</f>
        <v>Darren Wong</v>
      </c>
      <c r="C242" s="1"/>
      <c r="D242" s="128"/>
      <c r="E242" s="25"/>
      <c r="F242" s="26"/>
    </row>
    <row r="243">
      <c r="A243" s="126">
        <f t="shared" si="91"/>
        <v>12</v>
      </c>
      <c r="B243" s="127" t="str">
        <f>IFERROR(__xludf.DUMMYFUNCTION("""COMPUTED_VALUE"""),"David Shin")</f>
        <v>David Shin</v>
      </c>
      <c r="C243" s="1"/>
      <c r="D243" s="128"/>
      <c r="E243" s="25"/>
      <c r="F243" s="26"/>
    </row>
    <row r="244">
      <c r="A244" s="126">
        <f t="shared" si="91"/>
        <v>13</v>
      </c>
      <c r="B244" s="127" t="str">
        <f>IFERROR(__xludf.DUMMYFUNCTION("""COMPUTED_VALUE"""),"Elayaraja Thangaraj")</f>
        <v>Elayaraja Thangaraj</v>
      </c>
      <c r="C244" s="1"/>
      <c r="D244" s="128"/>
      <c r="E244" s="25"/>
      <c r="F244" s="26"/>
    </row>
    <row r="245">
      <c r="A245" s="126">
        <f t="shared" si="91"/>
        <v>14</v>
      </c>
      <c r="B245" s="127" t="str">
        <f>IFERROR(__xludf.DUMMYFUNCTION("""COMPUTED_VALUE"""),"Eric Pan")</f>
        <v>Eric Pan</v>
      </c>
      <c r="C245" s="1"/>
      <c r="D245" s="128"/>
      <c r="E245" s="25"/>
      <c r="F245" s="26"/>
    </row>
    <row r="246">
      <c r="A246" s="126">
        <f t="shared" si="91"/>
        <v>15</v>
      </c>
      <c r="B246" s="127" t="str">
        <f>IFERROR(__xludf.DUMMYFUNCTION("""COMPUTED_VALUE"""),"Eric Tan")</f>
        <v>Eric Tan</v>
      </c>
      <c r="C246" s="1"/>
      <c r="D246" s="128"/>
      <c r="E246" s="25"/>
      <c r="F246" s="26"/>
    </row>
    <row r="247">
      <c r="A247" s="126">
        <f t="shared" si="91"/>
        <v>16</v>
      </c>
      <c r="B247" s="127" t="str">
        <f>IFERROR(__xludf.DUMMYFUNCTION("""COMPUTED_VALUE"""),"Ethan Gu")</f>
        <v>Ethan Gu</v>
      </c>
      <c r="C247" s="1"/>
      <c r="D247" s="128"/>
      <c r="E247" s="25"/>
      <c r="F247" s="26"/>
    </row>
    <row r="248">
      <c r="A248" s="126">
        <f t="shared" si="91"/>
        <v>17</v>
      </c>
      <c r="B248" s="127" t="str">
        <f>IFERROR(__xludf.DUMMYFUNCTION("""COMPUTED_VALUE"""),"Frank Moon")</f>
        <v>Frank Moon</v>
      </c>
      <c r="C248" s="1"/>
      <c r="D248" s="128"/>
      <c r="E248" s="25"/>
      <c r="F248" s="26"/>
    </row>
    <row r="249">
      <c r="A249" s="126">
        <f t="shared" si="91"/>
        <v>18</v>
      </c>
      <c r="B249" s="127" t="str">
        <f>IFERROR(__xludf.DUMMYFUNCTION("""COMPUTED_VALUE"""),"Herman Au")</f>
        <v>Herman Au</v>
      </c>
      <c r="C249" s="1"/>
      <c r="D249" s="128"/>
      <c r="E249" s="25"/>
      <c r="F249" s="26"/>
    </row>
    <row r="250">
      <c r="A250" s="126">
        <f t="shared" si="91"/>
        <v>19</v>
      </c>
      <c r="B250" s="127" t="str">
        <f>IFERROR(__xludf.DUMMYFUNCTION("""COMPUTED_VALUE"""),"Hongyuan Wen")</f>
        <v>Hongyuan Wen</v>
      </c>
      <c r="C250" s="1"/>
      <c r="D250" s="128"/>
      <c r="E250" s="25"/>
      <c r="F250" s="26"/>
    </row>
    <row r="251">
      <c r="A251" s="126">
        <f t="shared" si="91"/>
        <v>20</v>
      </c>
      <c r="B251" s="127" t="str">
        <f>IFERROR(__xludf.DUMMYFUNCTION("""COMPUTED_VALUE"""),"Hubert J Sung")</f>
        <v>Hubert J Sung</v>
      </c>
      <c r="C251" s="1"/>
      <c r="D251" s="128"/>
      <c r="E251" s="25"/>
      <c r="F251" s="26"/>
    </row>
    <row r="252">
      <c r="A252" s="126">
        <f t="shared" si="91"/>
        <v>21</v>
      </c>
      <c r="B252" s="127" t="str">
        <f>IFERROR(__xludf.DUMMYFUNCTION("""COMPUTED_VALUE"""),"James Phan")</f>
        <v>James Phan</v>
      </c>
      <c r="C252" s="1"/>
      <c r="D252" s="128"/>
      <c r="E252" s="25"/>
      <c r="F252" s="26"/>
    </row>
    <row r="253">
      <c r="A253" s="126">
        <f t="shared" si="91"/>
        <v>22</v>
      </c>
      <c r="B253" s="127" t="str">
        <f>IFERROR(__xludf.DUMMYFUNCTION("""COMPUTED_VALUE"""),"Jim Miao")</f>
        <v>Jim Miao</v>
      </c>
      <c r="C253" s="1"/>
      <c r="D253" s="128"/>
      <c r="E253" s="25"/>
      <c r="F253" s="26"/>
    </row>
    <row r="254">
      <c r="A254" s="126">
        <f t="shared" si="91"/>
        <v>23</v>
      </c>
      <c r="B254" s="127" t="str">
        <f>IFERROR(__xludf.DUMMYFUNCTION("""COMPUTED_VALUE"""),"Jimmy Awolesi")</f>
        <v>Jimmy Awolesi</v>
      </c>
      <c r="C254" s="1"/>
      <c r="D254" s="128"/>
      <c r="E254" s="25"/>
      <c r="F254" s="26"/>
    </row>
    <row r="255">
      <c r="A255" s="126">
        <f t="shared" si="91"/>
        <v>24</v>
      </c>
      <c r="B255" s="127" t="str">
        <f>IFERROR(__xludf.DUMMYFUNCTION("""COMPUTED_VALUE"""),"Joe Luzzi")</f>
        <v>Joe Luzzi</v>
      </c>
      <c r="C255" s="1"/>
      <c r="D255" s="128"/>
      <c r="E255" s="25"/>
      <c r="F255" s="26"/>
    </row>
    <row r="256">
      <c r="A256" s="126">
        <f t="shared" si="91"/>
        <v>25</v>
      </c>
      <c r="B256" s="127" t="str">
        <f>IFERROR(__xludf.DUMMYFUNCTION("""COMPUTED_VALUE"""),"Jonathan Phan")</f>
        <v>Jonathan Phan</v>
      </c>
      <c r="C256" s="1"/>
      <c r="D256" s="128"/>
      <c r="E256" s="25"/>
      <c r="F256" s="26"/>
    </row>
    <row r="257">
      <c r="A257" s="126">
        <f t="shared" si="91"/>
        <v>26</v>
      </c>
      <c r="B257" s="127" t="str">
        <f>IFERROR(__xludf.DUMMYFUNCTION("""COMPUTED_VALUE"""),"Joyce Zhu")</f>
        <v>Joyce Zhu</v>
      </c>
      <c r="C257" s="1"/>
      <c r="D257" s="128"/>
      <c r="E257" s="25"/>
      <c r="F257" s="26"/>
    </row>
    <row r="258">
      <c r="A258" s="126">
        <f t="shared" si="91"/>
        <v>27</v>
      </c>
      <c r="B258" s="127" t="str">
        <f>IFERROR(__xludf.DUMMYFUNCTION("""COMPUTED_VALUE"""),"Kumar Palakeel")</f>
        <v>Kumar Palakeel</v>
      </c>
      <c r="C258" s="1"/>
      <c r="D258" s="128"/>
      <c r="E258" s="25"/>
      <c r="F258" s="26"/>
    </row>
    <row r="259">
      <c r="A259" s="126">
        <f t="shared" si="91"/>
        <v>28</v>
      </c>
      <c r="B259" s="127" t="str">
        <f>IFERROR(__xludf.DUMMYFUNCTION("""COMPUTED_VALUE"""),"Lam Bui")</f>
        <v>Lam Bui</v>
      </c>
      <c r="C259" s="1"/>
      <c r="D259" s="128"/>
      <c r="E259" s="25"/>
      <c r="F259" s="26"/>
    </row>
    <row r="260">
      <c r="A260" s="126">
        <f t="shared" si="91"/>
        <v>29</v>
      </c>
      <c r="B260" s="127" t="str">
        <f>IFERROR(__xludf.DUMMYFUNCTION("""COMPUTED_VALUE"""),"Leigh-Anh Nguyen")</f>
        <v>Leigh-Anh Nguyen</v>
      </c>
      <c r="C260" s="1"/>
      <c r="D260" s="128"/>
      <c r="E260" s="25"/>
      <c r="F260" s="26"/>
    </row>
    <row r="261">
      <c r="A261" s="126">
        <f t="shared" si="91"/>
        <v>30</v>
      </c>
      <c r="B261" s="127" t="str">
        <f>IFERROR(__xludf.DUMMYFUNCTION("""COMPUTED_VALUE"""),"Lloyd Sagar")</f>
        <v>Lloyd Sagar</v>
      </c>
      <c r="C261" s="1"/>
      <c r="D261" s="128"/>
      <c r="E261" s="25"/>
      <c r="F261" s="26"/>
    </row>
    <row r="262">
      <c r="A262" s="126">
        <f t="shared" si="91"/>
        <v>31</v>
      </c>
      <c r="B262" s="127" t="str">
        <f>IFERROR(__xludf.DUMMYFUNCTION("""COMPUTED_VALUE"""),"Luis Hsu")</f>
        <v>Luis Hsu</v>
      </c>
      <c r="C262" s="1"/>
      <c r="D262" s="128"/>
      <c r="E262" s="25"/>
      <c r="F262" s="26"/>
    </row>
    <row r="263">
      <c r="A263" s="126">
        <f t="shared" si="91"/>
        <v>32</v>
      </c>
      <c r="B263" s="127" t="str">
        <f>IFERROR(__xludf.DUMMYFUNCTION("""COMPUTED_VALUE"""),"Manish Anand")</f>
        <v>Manish Anand</v>
      </c>
      <c r="C263" s="1"/>
      <c r="D263" s="128"/>
      <c r="E263" s="25"/>
      <c r="F263" s="26"/>
    </row>
    <row r="264">
      <c r="A264" s="126">
        <f t="shared" si="91"/>
        <v>33</v>
      </c>
      <c r="B264" s="127" t="str">
        <f>IFERROR(__xludf.DUMMYFUNCTION("""COMPUTED_VALUE"""),"Manuel Rivera")</f>
        <v>Manuel Rivera</v>
      </c>
      <c r="C264" s="1"/>
      <c r="D264" s="128"/>
      <c r="E264" s="25"/>
      <c r="F264" s="26"/>
    </row>
    <row r="265">
      <c r="A265" s="126">
        <f t="shared" si="91"/>
        <v>34</v>
      </c>
      <c r="B265" s="127" t="str">
        <f>IFERROR(__xludf.DUMMYFUNCTION("""COMPUTED_VALUE"""),"Matthew Huang")</f>
        <v>Matthew Huang</v>
      </c>
      <c r="C265" s="1"/>
      <c r="D265" s="128"/>
      <c r="E265" s="25"/>
      <c r="F265" s="26"/>
    </row>
    <row r="266">
      <c r="A266" s="126">
        <f t="shared" si="91"/>
        <v>35</v>
      </c>
      <c r="B266" s="127" t="str">
        <f>IFERROR(__xludf.DUMMYFUNCTION("""COMPUTED_VALUE"""),"Naveen Raj")</f>
        <v>Naveen Raj</v>
      </c>
      <c r="C266" s="1"/>
      <c r="D266" s="128"/>
      <c r="E266" s="25"/>
      <c r="F266" s="26"/>
    </row>
    <row r="267">
      <c r="A267" s="126">
        <f t="shared" si="91"/>
        <v>36</v>
      </c>
      <c r="B267" s="127" t="str">
        <f>IFERROR(__xludf.DUMMYFUNCTION("""COMPUTED_VALUE"""),"Nicole Ni")</f>
        <v>Nicole Ni</v>
      </c>
      <c r="C267" s="1"/>
      <c r="D267" s="128"/>
      <c r="E267" s="25"/>
      <c r="F267" s="26"/>
    </row>
    <row r="268">
      <c r="A268" s="126">
        <f t="shared" si="91"/>
        <v>37</v>
      </c>
      <c r="B268" s="127" t="str">
        <f>IFERROR(__xludf.DUMMYFUNCTION("""COMPUTED_VALUE"""),"Oscar Bonilla")</f>
        <v>Oscar Bonilla</v>
      </c>
      <c r="C268" s="1"/>
      <c r="D268" s="128"/>
      <c r="E268" s="25"/>
      <c r="F268" s="26"/>
    </row>
    <row r="269">
      <c r="A269" s="126">
        <f t="shared" si="91"/>
        <v>38</v>
      </c>
      <c r="B269" s="127" t="str">
        <f>IFERROR(__xludf.DUMMYFUNCTION("""COMPUTED_VALUE"""),"Pavan Akkimsetty")</f>
        <v>Pavan Akkimsetty</v>
      </c>
      <c r="C269" s="1"/>
      <c r="D269" s="128"/>
      <c r="E269" s="25"/>
      <c r="F269" s="26"/>
    </row>
    <row r="270">
      <c r="A270" s="126">
        <f t="shared" si="91"/>
        <v>39</v>
      </c>
      <c r="B270" s="127" t="str">
        <f>IFERROR(__xludf.DUMMYFUNCTION("""COMPUTED_VALUE"""),"Pulkit Mathur")</f>
        <v>Pulkit Mathur</v>
      </c>
      <c r="C270" s="1"/>
      <c r="D270" s="128"/>
      <c r="E270" s="25"/>
      <c r="F270" s="26"/>
    </row>
    <row r="271">
      <c r="A271" s="126">
        <f t="shared" si="91"/>
        <v>40</v>
      </c>
      <c r="B271" s="127" t="str">
        <f>IFERROR(__xludf.DUMMYFUNCTION("""COMPUTED_VALUE"""),"Rajasekar Ramasamy")</f>
        <v>Rajasekar Ramasamy</v>
      </c>
      <c r="C271" s="1"/>
      <c r="D271" s="128"/>
      <c r="E271" s="25"/>
      <c r="F271" s="26"/>
    </row>
    <row r="272">
      <c r="A272" s="126">
        <f t="shared" si="91"/>
        <v>41</v>
      </c>
      <c r="B272" s="127" t="str">
        <f>IFERROR(__xludf.DUMMYFUNCTION("""COMPUTED_VALUE"""),"Rajesh Dorairaj")</f>
        <v>Rajesh Dorairaj</v>
      </c>
      <c r="C272" s="1"/>
      <c r="D272" s="128"/>
      <c r="E272" s="25"/>
      <c r="F272" s="26"/>
    </row>
    <row r="273">
      <c r="A273" s="126">
        <f t="shared" si="91"/>
        <v>42</v>
      </c>
      <c r="B273" s="127" t="str">
        <f>IFERROR(__xludf.DUMMYFUNCTION("""COMPUTED_VALUE"""),"Ramesh Bandaru")</f>
        <v>Ramesh Bandaru</v>
      </c>
      <c r="C273" s="1"/>
      <c r="D273" s="128"/>
      <c r="E273" s="25"/>
      <c r="F273" s="26"/>
    </row>
    <row r="274">
      <c r="A274" s="126">
        <f t="shared" si="91"/>
        <v>43</v>
      </c>
      <c r="B274" s="127" t="str">
        <f>IFERROR(__xludf.DUMMYFUNCTION("""COMPUTED_VALUE"""),"Robert Chang")</f>
        <v>Robert Chang</v>
      </c>
      <c r="C274" s="1"/>
      <c r="D274" s="128"/>
      <c r="E274" s="25"/>
      <c r="F274" s="26"/>
    </row>
    <row r="275">
      <c r="A275" s="126">
        <f t="shared" si="91"/>
        <v>44</v>
      </c>
      <c r="B275" s="16" t="str">
        <f>IFERROR(__xludf.DUMMYFUNCTION("""COMPUTED_VALUE"""),"Sandeep Kamalon")</f>
        <v>Sandeep Kamalon</v>
      </c>
      <c r="C275" s="1"/>
      <c r="D275" s="128"/>
      <c r="E275" s="25"/>
      <c r="F275" s="26"/>
    </row>
    <row r="276">
      <c r="A276" s="126">
        <f t="shared" si="91"/>
        <v>45</v>
      </c>
      <c r="B276" s="16" t="str">
        <f>IFERROR(__xludf.DUMMYFUNCTION("""COMPUTED_VALUE"""),"Sandy Weyant")</f>
        <v>Sandy Weyant</v>
      </c>
      <c r="C276" s="1"/>
      <c r="D276" s="128"/>
      <c r="E276" s="25"/>
      <c r="F276" s="26"/>
    </row>
    <row r="277">
      <c r="A277" s="126">
        <f t="shared" si="91"/>
        <v>46</v>
      </c>
      <c r="B277" s="16" t="str">
        <f>IFERROR(__xludf.DUMMYFUNCTION("""COMPUTED_VALUE"""),"Sanjaye Elayattu")</f>
        <v>Sanjaye Elayattu</v>
      </c>
      <c r="C277" s="1"/>
      <c r="D277" s="128"/>
      <c r="E277" s="25"/>
      <c r="F277" s="26"/>
    </row>
    <row r="278">
      <c r="A278" s="126">
        <f t="shared" si="91"/>
        <v>47</v>
      </c>
      <c r="B278" s="16" t="str">
        <f>IFERROR(__xludf.DUMMYFUNCTION("""COMPUTED_VALUE"""),"Santosh Sundaresan")</f>
        <v>Santosh Sundaresan</v>
      </c>
      <c r="C278" s="1"/>
      <c r="D278" s="128"/>
      <c r="E278" s="25"/>
      <c r="F278" s="26"/>
    </row>
    <row r="279">
      <c r="A279" s="126">
        <f t="shared" si="91"/>
        <v>48</v>
      </c>
      <c r="B279" s="16" t="str">
        <f>IFERROR(__xludf.DUMMYFUNCTION("""COMPUTED_VALUE"""),"Saravanan Veerapandian")</f>
        <v>Saravanan Veerapandian</v>
      </c>
      <c r="C279" s="1"/>
      <c r="D279" s="128"/>
      <c r="E279" s="25"/>
      <c r="F279" s="26"/>
    </row>
    <row r="280">
      <c r="A280" s="126">
        <f t="shared" si="91"/>
        <v>49</v>
      </c>
      <c r="B280" s="16" t="str">
        <f>IFERROR(__xludf.DUMMYFUNCTION("""COMPUTED_VALUE"""),"Scott Li")</f>
        <v>Scott Li</v>
      </c>
      <c r="C280" s="1"/>
      <c r="D280" s="128"/>
      <c r="E280" s="25"/>
      <c r="F280" s="26"/>
    </row>
    <row r="281">
      <c r="A281" s="126">
        <f t="shared" si="91"/>
        <v>50</v>
      </c>
      <c r="B281" s="16" t="str">
        <f>IFERROR(__xludf.DUMMYFUNCTION("""COMPUTED_VALUE"""),"Sean Chang")</f>
        <v>Sean Chang</v>
      </c>
      <c r="C281" s="1"/>
      <c r="D281" s="128"/>
      <c r="E281" s="25"/>
      <c r="F281" s="26"/>
    </row>
    <row r="282">
      <c r="A282" s="126">
        <f t="shared" si="91"/>
        <v>51</v>
      </c>
      <c r="B282" s="16" t="str">
        <f>IFERROR(__xludf.DUMMYFUNCTION("""COMPUTED_VALUE"""),"Suleman Alidina")</f>
        <v>Suleman Alidina</v>
      </c>
      <c r="C282" s="1"/>
      <c r="D282" s="128"/>
      <c r="E282" s="25"/>
      <c r="F282" s="26"/>
    </row>
    <row r="283">
      <c r="A283" s="126">
        <f t="shared" si="91"/>
        <v>52</v>
      </c>
      <c r="B283" s="16" t="str">
        <f>IFERROR(__xludf.DUMMYFUNCTION("""COMPUTED_VALUE"""),"Susanta Mishra")</f>
        <v>Susanta Mishra</v>
      </c>
      <c r="C283" s="1"/>
      <c r="D283" s="128"/>
      <c r="E283" s="25"/>
      <c r="F283" s="26"/>
    </row>
    <row r="284">
      <c r="A284" s="126">
        <f t="shared" si="91"/>
        <v>53</v>
      </c>
      <c r="B284" s="16" t="str">
        <f>IFERROR(__xludf.DUMMYFUNCTION("""COMPUTED_VALUE"""),"Ted Shen")</f>
        <v>Ted Shen</v>
      </c>
      <c r="C284" s="1"/>
      <c r="D284" s="128"/>
      <c r="E284" s="25"/>
      <c r="F284" s="26"/>
    </row>
    <row r="285">
      <c r="A285" s="126">
        <f t="shared" si="91"/>
        <v>54</v>
      </c>
      <c r="B285" s="16" t="str">
        <f>IFERROR(__xludf.DUMMYFUNCTION("""COMPUTED_VALUE"""),"Tina Hanson")</f>
        <v>Tina Hanson</v>
      </c>
      <c r="C285" s="1"/>
      <c r="D285" s="128"/>
      <c r="E285" s="25"/>
      <c r="F285" s="26"/>
    </row>
    <row r="286">
      <c r="A286" s="126">
        <f t="shared" si="91"/>
        <v>55</v>
      </c>
      <c r="B286" s="16" t="str">
        <f>IFERROR(__xludf.DUMMYFUNCTION("""COMPUTED_VALUE"""),"Tom Le")</f>
        <v>Tom Le</v>
      </c>
      <c r="C286" s="1"/>
      <c r="D286" s="128"/>
      <c r="E286" s="25"/>
      <c r="F286" s="26"/>
    </row>
    <row r="287">
      <c r="A287" s="126">
        <f t="shared" si="91"/>
        <v>56</v>
      </c>
      <c r="B287" s="16" t="str">
        <f>IFERROR(__xludf.DUMMYFUNCTION("""COMPUTED_VALUE"""),"Trish Newlin")</f>
        <v>Trish Newlin</v>
      </c>
      <c r="C287" s="1"/>
      <c r="D287" s="128"/>
      <c r="E287" s="25"/>
      <c r="F287" s="26"/>
    </row>
    <row r="288">
      <c r="A288" s="126">
        <f t="shared" si="91"/>
        <v>57</v>
      </c>
      <c r="B288" s="16" t="str">
        <f>IFERROR(__xludf.DUMMYFUNCTION("""COMPUTED_VALUE"""),"Troy Wong")</f>
        <v>Troy Wong</v>
      </c>
      <c r="C288" s="1"/>
      <c r="D288" s="128"/>
      <c r="E288" s="25"/>
      <c r="F288" s="26"/>
    </row>
    <row r="289">
      <c r="A289" s="126">
        <f t="shared" si="91"/>
        <v>58</v>
      </c>
      <c r="B289" s="16" t="str">
        <f>IFERROR(__xludf.DUMMYFUNCTION("""COMPUTED_VALUE"""),"Vicki Martinet")</f>
        <v>Vicki Martinet</v>
      </c>
      <c r="C289" s="1"/>
      <c r="D289" s="128"/>
      <c r="E289" s="25"/>
      <c r="F289" s="26"/>
    </row>
    <row r="290">
      <c r="A290" s="126">
        <f t="shared" si="91"/>
        <v>59</v>
      </c>
      <c r="B290" s="16" t="str">
        <f>IFERROR(__xludf.DUMMYFUNCTION("""COMPUTED_VALUE"""),"Vinaya Kajla")</f>
        <v>Vinaya Kajla</v>
      </c>
      <c r="C290" s="1"/>
      <c r="D290" s="128"/>
      <c r="E290" s="25"/>
      <c r="F290" s="26"/>
    </row>
    <row r="291">
      <c r="A291" s="126">
        <f t="shared" si="91"/>
        <v>60</v>
      </c>
      <c r="B291" s="16" t="str">
        <f>IFERROR(__xludf.DUMMYFUNCTION("""COMPUTED_VALUE"""),"Vishnu Amarnath")</f>
        <v>Vishnu Amarnath</v>
      </c>
      <c r="C291" s="1"/>
      <c r="D291" s="128"/>
      <c r="E291" s="25"/>
      <c r="F291" s="26"/>
    </row>
    <row r="292">
      <c r="A292" s="126">
        <f t="shared" si="91"/>
        <v>61</v>
      </c>
      <c r="B292" s="16" t="str">
        <f>IFERROR(__xludf.DUMMYFUNCTION("""COMPUTED_VALUE"""),"Wayne Liu")</f>
        <v>Wayne Liu</v>
      </c>
      <c r="C292" s="1"/>
      <c r="D292" s="128"/>
      <c r="E292" s="25"/>
      <c r="F292" s="26"/>
    </row>
    <row r="293">
      <c r="A293" s="126">
        <f t="shared" si="91"/>
        <v>62</v>
      </c>
      <c r="B293" s="16"/>
      <c r="C293" s="1"/>
      <c r="D293" s="128"/>
      <c r="E293" s="25"/>
      <c r="F293" s="26"/>
    </row>
    <row r="294">
      <c r="A294" s="126">
        <f t="shared" si="91"/>
        <v>63</v>
      </c>
      <c r="B294" s="16"/>
      <c r="C294" s="1"/>
      <c r="D294" s="128"/>
      <c r="E294" s="25"/>
      <c r="F294" s="26"/>
    </row>
    <row r="295">
      <c r="A295" s="126">
        <f t="shared" si="91"/>
        <v>64</v>
      </c>
      <c r="B295" s="16"/>
      <c r="C295" s="1"/>
      <c r="D295" s="128"/>
      <c r="E295" s="25"/>
      <c r="F295" s="26"/>
    </row>
    <row r="296">
      <c r="A296" s="126">
        <f t="shared" si="91"/>
        <v>65</v>
      </c>
      <c r="B296" s="16"/>
      <c r="C296" s="1"/>
      <c r="D296" s="128"/>
      <c r="E296" s="25"/>
      <c r="F296" s="26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84"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90:F290"/>
    <mergeCell ref="D291:F291"/>
    <mergeCell ref="D292:F292"/>
    <mergeCell ref="D293:F293"/>
    <mergeCell ref="D294:F294"/>
    <mergeCell ref="D295:F295"/>
    <mergeCell ref="D296:F296"/>
    <mergeCell ref="D283:F283"/>
    <mergeCell ref="D284:F284"/>
    <mergeCell ref="D285:F285"/>
    <mergeCell ref="D286:F286"/>
    <mergeCell ref="D287:F287"/>
    <mergeCell ref="D288:F288"/>
    <mergeCell ref="D289:F289"/>
    <mergeCell ref="C1:F1"/>
    <mergeCell ref="I1:K1"/>
    <mergeCell ref="L1:M1"/>
    <mergeCell ref="B2:C2"/>
    <mergeCell ref="C3:E3"/>
    <mergeCell ref="F3:M3"/>
    <mergeCell ref="N3:O3"/>
    <mergeCell ref="P73:R73"/>
    <mergeCell ref="P74:Q74"/>
    <mergeCell ref="B75:J75"/>
    <mergeCell ref="P75:Q75"/>
    <mergeCell ref="P76:Q76"/>
    <mergeCell ref="P77:Q77"/>
    <mergeCell ref="B78:E78"/>
    <mergeCell ref="B97:G97"/>
    <mergeCell ref="A115:E115"/>
    <mergeCell ref="B131:C131"/>
    <mergeCell ref="A150:B15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45997.0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23.0</v>
      </c>
      <c r="E2" s="1"/>
      <c r="F2" s="1"/>
      <c r="R2" s="17"/>
      <c r="AC2" s="21" t="str">
        <f>text(C1-7,"mm/dd/yy")</f>
        <v>11/29/25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308.0</v>
      </c>
      <c r="D5" s="34">
        <v>36.0</v>
      </c>
      <c r="E5" s="35">
        <f t="shared" ref="E5:E69" si="2">if(S5&gt;0,(C5-(V5*9)-(T5*13))/S5,0)</f>
        <v>15.3125</v>
      </c>
      <c r="F5" s="95">
        <v>1.0</v>
      </c>
      <c r="G5" s="96">
        <v>1.0</v>
      </c>
      <c r="H5" s="97">
        <v>0.0</v>
      </c>
      <c r="I5" s="96">
        <v>6.0</v>
      </c>
      <c r="J5" s="96">
        <v>6.0</v>
      </c>
      <c r="K5" s="96">
        <v>1.0</v>
      </c>
      <c r="L5" s="98">
        <v>13.0</v>
      </c>
      <c r="M5" s="96">
        <v>2.0</v>
      </c>
      <c r="N5" s="34">
        <f t="shared" ref="N5:O5" si="1">C5+L5</f>
        <v>321</v>
      </c>
      <c r="O5" s="34">
        <f t="shared" si="1"/>
        <v>38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16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7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296.0</v>
      </c>
      <c r="D6" s="34">
        <v>32.0</v>
      </c>
      <c r="E6" s="35">
        <f t="shared" si="2"/>
        <v>14.3125</v>
      </c>
      <c r="F6" s="95">
        <v>1.0</v>
      </c>
      <c r="G6" s="96">
        <v>1.0</v>
      </c>
      <c r="H6" s="97">
        <v>0.0</v>
      </c>
      <c r="I6" s="96">
        <v>6.0</v>
      </c>
      <c r="J6" s="96">
        <v>2.0</v>
      </c>
      <c r="K6" s="96">
        <v>6.0</v>
      </c>
      <c r="L6" s="98">
        <v>14.0</v>
      </c>
      <c r="M6" s="96">
        <v>2.0</v>
      </c>
      <c r="N6" s="34">
        <f t="shared" ref="N6:O6" si="3">C6+L6</f>
        <v>310</v>
      </c>
      <c r="O6" s="34">
        <f t="shared" si="3"/>
        <v>34</v>
      </c>
      <c r="P6" s="49" t="s">
        <v>58</v>
      </c>
      <c r="Q6" s="49" t="s">
        <v>58</v>
      </c>
      <c r="R6" s="49" t="s">
        <v>58</v>
      </c>
      <c r="S6" s="50">
        <f t="shared" si="4"/>
        <v>16</v>
      </c>
      <c r="T6" s="52">
        <f t="shared" si="5"/>
        <v>1</v>
      </c>
      <c r="U6" s="52"/>
      <c r="V6" s="50">
        <f t="shared" si="6"/>
        <v>6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292.0</v>
      </c>
      <c r="D7" s="34">
        <v>29.0</v>
      </c>
      <c r="E7" s="35">
        <f t="shared" si="2"/>
        <v>13.47368421</v>
      </c>
      <c r="F7" s="95">
        <v>1.0</v>
      </c>
      <c r="G7" s="96">
        <v>1.0</v>
      </c>
      <c r="H7" s="97">
        <v>0.0</v>
      </c>
      <c r="I7" s="96">
        <v>1.0</v>
      </c>
      <c r="J7" s="96">
        <v>6.0</v>
      </c>
      <c r="K7" s="96">
        <v>6.0</v>
      </c>
      <c r="L7" s="98">
        <v>13.0</v>
      </c>
      <c r="M7" s="96">
        <v>2.0</v>
      </c>
      <c r="N7" s="34">
        <f t="shared" ref="N7:O7" si="11">C7+L7</f>
        <v>305</v>
      </c>
      <c r="O7" s="34">
        <f t="shared" si="11"/>
        <v>31</v>
      </c>
      <c r="P7" s="49" t="s">
        <v>58</v>
      </c>
      <c r="Q7" s="49" t="s">
        <v>58</v>
      </c>
      <c r="R7" s="49" t="s">
        <v>58</v>
      </c>
      <c r="S7" s="50">
        <f t="shared" si="4"/>
        <v>19</v>
      </c>
      <c r="T7" s="52">
        <f t="shared" si="5"/>
        <v>0</v>
      </c>
      <c r="U7" s="52"/>
      <c r="V7" s="50">
        <f t="shared" si="6"/>
        <v>4</v>
      </c>
      <c r="W7" s="52">
        <f t="shared" si="7"/>
        <v>0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83</v>
      </c>
      <c r="C8" s="34">
        <v>288.0</v>
      </c>
      <c r="D8" s="34">
        <v>29.0</v>
      </c>
      <c r="E8" s="35">
        <f t="shared" si="2"/>
        <v>14.92307692</v>
      </c>
      <c r="F8" s="95">
        <v>3.0</v>
      </c>
      <c r="G8" s="96">
        <v>0.0</v>
      </c>
      <c r="H8" s="97">
        <v>9.0</v>
      </c>
      <c r="I8" s="96">
        <v>0.0</v>
      </c>
      <c r="J8" s="96">
        <v>0.0</v>
      </c>
      <c r="K8" s="96">
        <v>0.0</v>
      </c>
      <c r="L8" s="98">
        <v>9.0</v>
      </c>
      <c r="M8" s="96">
        <v>0.0</v>
      </c>
      <c r="N8" s="34">
        <f t="shared" ref="N8:O8" si="13">C8+L8</f>
        <v>297</v>
      </c>
      <c r="O8" s="34">
        <f t="shared" si="13"/>
        <v>29</v>
      </c>
      <c r="P8" s="49" t="s">
        <v>58</v>
      </c>
      <c r="Q8" s="49" t="s">
        <v>58</v>
      </c>
      <c r="R8" s="49" t="s">
        <v>58</v>
      </c>
      <c r="S8" s="50">
        <f t="shared" si="4"/>
        <v>13</v>
      </c>
      <c r="T8" s="52">
        <f t="shared" si="5"/>
        <v>1</v>
      </c>
      <c r="U8" s="52"/>
      <c r="V8" s="50">
        <f t="shared" si="6"/>
        <v>9</v>
      </c>
      <c r="W8" s="52">
        <f t="shared" si="7"/>
        <v>3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91</v>
      </c>
      <c r="C9" s="34">
        <v>285.0</v>
      </c>
      <c r="D9" s="34">
        <v>30.0</v>
      </c>
      <c r="E9" s="35">
        <f t="shared" si="2"/>
        <v>12.52380952</v>
      </c>
      <c r="F9" s="95">
        <v>1.0</v>
      </c>
      <c r="G9" s="96">
        <v>1.0</v>
      </c>
      <c r="H9" s="97">
        <v>0.0</v>
      </c>
      <c r="I9" s="96">
        <v>1.0</v>
      </c>
      <c r="J9" s="96">
        <v>2.0</v>
      </c>
      <c r="K9" s="96">
        <v>1.0</v>
      </c>
      <c r="L9" s="98">
        <v>4.0</v>
      </c>
      <c r="M9" s="96">
        <v>0.0</v>
      </c>
      <c r="N9" s="34">
        <f t="shared" ref="N9:O9" si="14">C9+L9</f>
        <v>289</v>
      </c>
      <c r="O9" s="34">
        <f t="shared" si="14"/>
        <v>30</v>
      </c>
      <c r="P9" s="49" t="s">
        <v>58</v>
      </c>
      <c r="Q9" s="49" t="s">
        <v>58</v>
      </c>
      <c r="R9" s="49" t="s">
        <v>58</v>
      </c>
      <c r="S9" s="50">
        <f t="shared" si="4"/>
        <v>21</v>
      </c>
      <c r="T9" s="52">
        <f t="shared" si="5"/>
        <v>1</v>
      </c>
      <c r="U9" s="52"/>
      <c r="V9" s="50">
        <f t="shared" si="6"/>
        <v>1</v>
      </c>
      <c r="W9" s="52">
        <f t="shared" si="7"/>
        <v>1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90</v>
      </c>
      <c r="C10" s="34">
        <v>283.0</v>
      </c>
      <c r="D10" s="34">
        <v>32.0</v>
      </c>
      <c r="E10" s="35">
        <f t="shared" si="2"/>
        <v>12.42857143</v>
      </c>
      <c r="F10" s="95">
        <v>1.0</v>
      </c>
      <c r="G10" s="96">
        <v>2.0</v>
      </c>
      <c r="H10" s="97">
        <v>0.0</v>
      </c>
      <c r="I10" s="96">
        <v>6.0</v>
      </c>
      <c r="J10" s="96">
        <v>6.0</v>
      </c>
      <c r="K10" s="96">
        <v>2.0</v>
      </c>
      <c r="L10" s="98">
        <v>14.0</v>
      </c>
      <c r="M10" s="96">
        <v>2.0</v>
      </c>
      <c r="N10" s="34">
        <f t="shared" ref="N10:O10" si="15">C10+L10</f>
        <v>297</v>
      </c>
      <c r="O10" s="34">
        <f t="shared" si="15"/>
        <v>34</v>
      </c>
      <c r="P10" s="49" t="s">
        <v>58</v>
      </c>
      <c r="Q10" s="49" t="s">
        <v>58</v>
      </c>
      <c r="R10" s="49" t="s">
        <v>58</v>
      </c>
      <c r="S10" s="50">
        <f t="shared" si="4"/>
        <v>21</v>
      </c>
      <c r="T10" s="52">
        <f t="shared" si="5"/>
        <v>1</v>
      </c>
      <c r="U10" s="52"/>
      <c r="V10" s="50">
        <f t="shared" si="6"/>
        <v>1</v>
      </c>
      <c r="W10" s="52">
        <f t="shared" si="7"/>
        <v>-2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98</v>
      </c>
      <c r="C11" s="34">
        <v>283.0</v>
      </c>
      <c r="D11" s="34">
        <v>31.0</v>
      </c>
      <c r="E11" s="35">
        <f t="shared" si="2"/>
        <v>12.61904762</v>
      </c>
      <c r="F11" s="95">
        <v>3.0</v>
      </c>
      <c r="G11" s="96">
        <v>0.0</v>
      </c>
      <c r="H11" s="97">
        <v>9.0</v>
      </c>
      <c r="I11" s="96">
        <v>0.0</v>
      </c>
      <c r="J11" s="96">
        <v>0.0</v>
      </c>
      <c r="K11" s="96">
        <v>0.0</v>
      </c>
      <c r="L11" s="98">
        <v>9.0</v>
      </c>
      <c r="M11" s="96">
        <v>0.0</v>
      </c>
      <c r="N11" s="34">
        <f t="shared" ref="N11:O11" si="16">C11+L11</f>
        <v>292</v>
      </c>
      <c r="O11" s="34">
        <f t="shared" si="16"/>
        <v>31</v>
      </c>
      <c r="P11" s="49" t="s">
        <v>58</v>
      </c>
      <c r="Q11" s="49" t="s">
        <v>58</v>
      </c>
      <c r="R11" s="49" t="s">
        <v>58</v>
      </c>
      <c r="S11" s="50">
        <f t="shared" si="4"/>
        <v>21</v>
      </c>
      <c r="T11" s="52">
        <f t="shared" si="5"/>
        <v>0</v>
      </c>
      <c r="U11" s="52"/>
      <c r="V11" s="50">
        <f t="shared" si="6"/>
        <v>2</v>
      </c>
      <c r="W11" s="52">
        <f t="shared" si="7"/>
        <v>2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113</v>
      </c>
      <c r="C12" s="34">
        <v>283.0</v>
      </c>
      <c r="D12" s="34">
        <v>25.0</v>
      </c>
      <c r="E12" s="35">
        <f t="shared" si="2"/>
        <v>13.47058824</v>
      </c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7">C12+L12</f>
        <v>292</v>
      </c>
      <c r="O12" s="34">
        <f t="shared" si="17"/>
        <v>25</v>
      </c>
      <c r="P12" s="49" t="s">
        <v>58</v>
      </c>
      <c r="Q12" s="49" t="s">
        <v>58</v>
      </c>
      <c r="R12" s="49" t="s">
        <v>58</v>
      </c>
      <c r="S12" s="50">
        <f t="shared" si="4"/>
        <v>17</v>
      </c>
      <c r="T12" s="52">
        <f t="shared" si="5"/>
        <v>0</v>
      </c>
      <c r="U12" s="52"/>
      <c r="V12" s="50">
        <f t="shared" si="6"/>
        <v>6</v>
      </c>
      <c r="W12" s="52">
        <f t="shared" si="7"/>
        <v>0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84</v>
      </c>
      <c r="C13" s="34">
        <v>282.0</v>
      </c>
      <c r="D13" s="34">
        <v>28.0</v>
      </c>
      <c r="E13" s="35">
        <f t="shared" si="2"/>
        <v>13.41176471</v>
      </c>
      <c r="F13" s="95">
        <v>1.0</v>
      </c>
      <c r="G13" s="96">
        <v>2.0</v>
      </c>
      <c r="H13" s="97">
        <v>0.0</v>
      </c>
      <c r="I13" s="96">
        <v>3.0</v>
      </c>
      <c r="J13" s="96">
        <v>6.0</v>
      </c>
      <c r="K13" s="96">
        <v>6.0</v>
      </c>
      <c r="L13" s="98">
        <v>15.0</v>
      </c>
      <c r="M13" s="96">
        <v>2.0</v>
      </c>
      <c r="N13" s="34">
        <f t="shared" ref="N13:O13" si="18">C13+L13</f>
        <v>297</v>
      </c>
      <c r="O13" s="34">
        <f t="shared" si="18"/>
        <v>30</v>
      </c>
      <c r="P13" s="49" t="s">
        <v>58</v>
      </c>
      <c r="Q13" s="49" t="s">
        <v>58</v>
      </c>
      <c r="R13" s="49" t="s">
        <v>58</v>
      </c>
      <c r="S13" s="50">
        <f t="shared" si="4"/>
        <v>17</v>
      </c>
      <c r="T13" s="52">
        <f t="shared" si="5"/>
        <v>0</v>
      </c>
      <c r="U13" s="52"/>
      <c r="V13" s="50">
        <f t="shared" si="6"/>
        <v>6</v>
      </c>
      <c r="W13" s="52">
        <f t="shared" si="7"/>
        <v>-4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94</v>
      </c>
      <c r="C14" s="34">
        <v>282.0</v>
      </c>
      <c r="D14" s="34">
        <v>26.0</v>
      </c>
      <c r="E14" s="35">
        <f t="shared" si="2"/>
        <v>12.75</v>
      </c>
      <c r="F14" s="95">
        <v>3.0</v>
      </c>
      <c r="G14" s="96">
        <v>0.0</v>
      </c>
      <c r="H14" s="97">
        <v>9.0</v>
      </c>
      <c r="I14" s="96">
        <v>0.0</v>
      </c>
      <c r="J14" s="96">
        <v>0.0</v>
      </c>
      <c r="K14" s="96">
        <v>0.0</v>
      </c>
      <c r="L14" s="98">
        <v>9.0</v>
      </c>
      <c r="M14" s="96">
        <v>0.0</v>
      </c>
      <c r="N14" s="34">
        <f t="shared" ref="N14:O14" si="19">C14+L14</f>
        <v>291</v>
      </c>
      <c r="O14" s="34">
        <f t="shared" si="19"/>
        <v>26</v>
      </c>
      <c r="P14" s="49" t="s">
        <v>58</v>
      </c>
      <c r="Q14" s="49" t="s">
        <v>58</v>
      </c>
      <c r="R14" s="49" t="s">
        <v>58</v>
      </c>
      <c r="S14" s="50">
        <f t="shared" si="4"/>
        <v>20</v>
      </c>
      <c r="T14" s="52">
        <f t="shared" si="5"/>
        <v>0</v>
      </c>
      <c r="U14" s="52"/>
      <c r="V14" s="50">
        <f t="shared" si="6"/>
        <v>3</v>
      </c>
      <c r="W14" s="52">
        <f t="shared" si="7"/>
        <v>0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103</v>
      </c>
      <c r="C15" s="34">
        <v>276.0</v>
      </c>
      <c r="D15" s="34">
        <v>20.0</v>
      </c>
      <c r="E15" s="35">
        <f t="shared" si="2"/>
        <v>12.82352941</v>
      </c>
      <c r="F15" s="95">
        <v>3.0</v>
      </c>
      <c r="G15" s="96">
        <v>0.0</v>
      </c>
      <c r="H15" s="97">
        <v>9.0</v>
      </c>
      <c r="I15" s="96">
        <v>0.0</v>
      </c>
      <c r="J15" s="96">
        <v>0.0</v>
      </c>
      <c r="K15" s="96">
        <v>0.0</v>
      </c>
      <c r="L15" s="98">
        <v>9.0</v>
      </c>
      <c r="M15" s="96">
        <v>0.0</v>
      </c>
      <c r="N15" s="34">
        <f t="shared" ref="N15:O15" si="20">C15+L15</f>
        <v>285</v>
      </c>
      <c r="O15" s="34">
        <f t="shared" si="20"/>
        <v>20</v>
      </c>
      <c r="P15" s="49" t="s">
        <v>58</v>
      </c>
      <c r="Q15" s="49" t="s">
        <v>58</v>
      </c>
      <c r="R15" s="49" t="s">
        <v>58</v>
      </c>
      <c r="S15" s="50">
        <f t="shared" si="4"/>
        <v>17</v>
      </c>
      <c r="T15" s="52">
        <f t="shared" si="5"/>
        <v>1</v>
      </c>
      <c r="U15" s="52"/>
      <c r="V15" s="50">
        <f t="shared" si="6"/>
        <v>5</v>
      </c>
      <c r="W15" s="52">
        <f t="shared" si="7"/>
        <v>2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134</v>
      </c>
      <c r="C16" s="34">
        <v>274.0</v>
      </c>
      <c r="D16" s="34">
        <v>27.0</v>
      </c>
      <c r="E16" s="35">
        <f t="shared" si="2"/>
        <v>14.15384615</v>
      </c>
      <c r="F16" s="95">
        <v>3.0</v>
      </c>
      <c r="G16" s="96">
        <v>0.0</v>
      </c>
      <c r="H16" s="97">
        <v>9.0</v>
      </c>
      <c r="I16" s="96">
        <v>0.0</v>
      </c>
      <c r="J16" s="96">
        <v>0.0</v>
      </c>
      <c r="K16" s="96">
        <v>0.0</v>
      </c>
      <c r="L16" s="98">
        <v>9.0</v>
      </c>
      <c r="M16" s="96">
        <v>0.0</v>
      </c>
      <c r="N16" s="34">
        <f t="shared" ref="N16:O16" si="21">C16+L16</f>
        <v>283</v>
      </c>
      <c r="O16" s="34">
        <f t="shared" si="21"/>
        <v>27</v>
      </c>
      <c r="P16" s="49" t="s">
        <v>58</v>
      </c>
      <c r="Q16" s="49" t="s">
        <v>58</v>
      </c>
      <c r="R16" s="49" t="s">
        <v>58</v>
      </c>
      <c r="S16" s="50">
        <f t="shared" si="4"/>
        <v>13</v>
      </c>
      <c r="T16" s="52">
        <f t="shared" si="5"/>
        <v>0</v>
      </c>
      <c r="U16" s="52"/>
      <c r="V16" s="50">
        <f t="shared" si="6"/>
        <v>10</v>
      </c>
      <c r="W16" s="52">
        <f t="shared" si="7"/>
        <v>-1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133</v>
      </c>
      <c r="C17" s="34">
        <v>271.0</v>
      </c>
      <c r="D17" s="34">
        <v>28.0</v>
      </c>
      <c r="E17" s="35">
        <f t="shared" si="2"/>
        <v>12.55555556</v>
      </c>
      <c r="F17" s="95">
        <v>1.0</v>
      </c>
      <c r="G17" s="96">
        <v>2.0</v>
      </c>
      <c r="H17" s="97">
        <v>0.0</v>
      </c>
      <c r="I17" s="96">
        <v>3.0</v>
      </c>
      <c r="J17" s="96">
        <v>4.0</v>
      </c>
      <c r="K17" s="96">
        <v>2.0</v>
      </c>
      <c r="L17" s="98">
        <v>9.0</v>
      </c>
      <c r="M17" s="96">
        <v>0.0</v>
      </c>
      <c r="N17" s="34">
        <f t="shared" ref="N17:O17" si="22">C17+L17</f>
        <v>280</v>
      </c>
      <c r="O17" s="34">
        <f t="shared" si="22"/>
        <v>28</v>
      </c>
      <c r="P17" s="49" t="s">
        <v>58</v>
      </c>
      <c r="Q17" s="49" t="s">
        <v>58</v>
      </c>
      <c r="R17" s="49" t="s">
        <v>58</v>
      </c>
      <c r="S17" s="50">
        <f t="shared" si="4"/>
        <v>18</v>
      </c>
      <c r="T17" s="52">
        <f t="shared" si="5"/>
        <v>0</v>
      </c>
      <c r="U17" s="52"/>
      <c r="V17" s="50">
        <f t="shared" si="6"/>
        <v>5</v>
      </c>
      <c r="W17" s="52">
        <f t="shared" si="7"/>
        <v>3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87</v>
      </c>
      <c r="C18" s="34">
        <v>271.0</v>
      </c>
      <c r="D18" s="34">
        <v>27.0</v>
      </c>
      <c r="E18" s="35">
        <f t="shared" si="2"/>
        <v>12.15789474</v>
      </c>
      <c r="F18" s="95">
        <v>3.0</v>
      </c>
      <c r="G18" s="96">
        <v>0.0</v>
      </c>
      <c r="H18" s="97">
        <v>9.0</v>
      </c>
      <c r="I18" s="96">
        <v>0.0</v>
      </c>
      <c r="J18" s="96">
        <v>0.0</v>
      </c>
      <c r="K18" s="96">
        <v>0.0</v>
      </c>
      <c r="L18" s="98">
        <v>9.0</v>
      </c>
      <c r="M18" s="96">
        <v>0.0</v>
      </c>
      <c r="N18" s="34">
        <f t="shared" ref="N18:O18" si="23">C18+L18</f>
        <v>280</v>
      </c>
      <c r="O18" s="34">
        <f t="shared" si="23"/>
        <v>27</v>
      </c>
      <c r="P18" s="49" t="s">
        <v>58</v>
      </c>
      <c r="Q18" s="49" t="s">
        <v>58</v>
      </c>
      <c r="R18" s="49" t="s">
        <v>58</v>
      </c>
      <c r="S18" s="50">
        <f t="shared" si="4"/>
        <v>19</v>
      </c>
      <c r="T18" s="52">
        <f t="shared" si="5"/>
        <v>1</v>
      </c>
      <c r="U18" s="52"/>
      <c r="V18" s="50">
        <f t="shared" si="6"/>
        <v>3</v>
      </c>
      <c r="W18" s="52">
        <f t="shared" si="7"/>
        <v>3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125</v>
      </c>
      <c r="C19" s="34">
        <v>270.0</v>
      </c>
      <c r="D19" s="34">
        <v>23.0</v>
      </c>
      <c r="E19" s="35">
        <f t="shared" si="2"/>
        <v>12.70588235</v>
      </c>
      <c r="F19" s="95">
        <v>1.0</v>
      </c>
      <c r="G19" s="96">
        <v>2.0</v>
      </c>
      <c r="H19" s="97">
        <v>0.0</v>
      </c>
      <c r="I19" s="96">
        <v>6.0</v>
      </c>
      <c r="J19" s="96">
        <v>4.0</v>
      </c>
      <c r="K19" s="96">
        <v>6.0</v>
      </c>
      <c r="L19" s="98">
        <v>16.0</v>
      </c>
      <c r="M19" s="96">
        <v>2.0</v>
      </c>
      <c r="N19" s="34">
        <f t="shared" ref="N19:O19" si="24">C19+L19</f>
        <v>286</v>
      </c>
      <c r="O19" s="34">
        <f t="shared" si="24"/>
        <v>25</v>
      </c>
      <c r="P19" s="49" t="s">
        <v>58</v>
      </c>
      <c r="Q19" s="49" t="s">
        <v>58</v>
      </c>
      <c r="R19" s="49" t="s">
        <v>58</v>
      </c>
      <c r="S19" s="50">
        <f t="shared" si="4"/>
        <v>17</v>
      </c>
      <c r="T19" s="52">
        <f t="shared" si="5"/>
        <v>0</v>
      </c>
      <c r="U19" s="52"/>
      <c r="V19" s="50">
        <f t="shared" si="6"/>
        <v>6</v>
      </c>
      <c r="W19" s="52">
        <f t="shared" si="7"/>
        <v>-3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65</v>
      </c>
      <c r="C20" s="34">
        <v>266.0</v>
      </c>
      <c r="D20" s="34">
        <v>25.0</v>
      </c>
      <c r="E20" s="35">
        <f t="shared" si="2"/>
        <v>13.21428571</v>
      </c>
      <c r="F20" s="95">
        <v>1.0</v>
      </c>
      <c r="G20" s="96">
        <v>3.0</v>
      </c>
      <c r="H20" s="97">
        <v>0.0</v>
      </c>
      <c r="I20" s="96">
        <v>6.0</v>
      </c>
      <c r="J20" s="96">
        <v>6.0</v>
      </c>
      <c r="K20" s="96">
        <v>0.0</v>
      </c>
      <c r="L20" s="98">
        <v>12.0</v>
      </c>
      <c r="M20" s="96">
        <v>2.0</v>
      </c>
      <c r="N20" s="34">
        <f t="shared" ref="N20:O20" si="25">C20+L20</f>
        <v>278</v>
      </c>
      <c r="O20" s="34">
        <f t="shared" si="25"/>
        <v>27</v>
      </c>
      <c r="P20" s="49" t="s">
        <v>58</v>
      </c>
      <c r="Q20" s="49" t="s">
        <v>58</v>
      </c>
      <c r="R20" s="49" t="s">
        <v>58</v>
      </c>
      <c r="S20" s="50">
        <f t="shared" si="4"/>
        <v>14</v>
      </c>
      <c r="T20" s="52">
        <f t="shared" si="5"/>
        <v>0</v>
      </c>
      <c r="U20" s="52"/>
      <c r="V20" s="50">
        <f t="shared" si="6"/>
        <v>9</v>
      </c>
      <c r="W20" s="52">
        <f t="shared" si="7"/>
        <v>2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107</v>
      </c>
      <c r="C21" s="34">
        <v>266.0</v>
      </c>
      <c r="D21" s="34">
        <v>23.0</v>
      </c>
      <c r="E21" s="35">
        <f t="shared" si="2"/>
        <v>13.23076923</v>
      </c>
      <c r="F21" s="95">
        <v>3.0</v>
      </c>
      <c r="G21" s="96">
        <v>0.0</v>
      </c>
      <c r="H21" s="97">
        <v>9.0</v>
      </c>
      <c r="I21" s="96">
        <v>0.0</v>
      </c>
      <c r="J21" s="96">
        <v>0.0</v>
      </c>
      <c r="K21" s="96">
        <v>0.0</v>
      </c>
      <c r="L21" s="98">
        <v>9.0</v>
      </c>
      <c r="M21" s="96">
        <v>0.0</v>
      </c>
      <c r="N21" s="34">
        <f t="shared" ref="N21:O21" si="26">C21+L21</f>
        <v>275</v>
      </c>
      <c r="O21" s="34">
        <f t="shared" si="26"/>
        <v>23</v>
      </c>
      <c r="P21" s="49" t="s">
        <v>58</v>
      </c>
      <c r="Q21" s="49" t="s">
        <v>58</v>
      </c>
      <c r="R21" s="49" t="s">
        <v>58</v>
      </c>
      <c r="S21" s="50">
        <f t="shared" si="4"/>
        <v>13</v>
      </c>
      <c r="T21" s="52">
        <f t="shared" si="5"/>
        <v>1</v>
      </c>
      <c r="U21" s="52"/>
      <c r="V21" s="50">
        <f t="shared" si="6"/>
        <v>9</v>
      </c>
      <c r="W21" s="52">
        <f t="shared" si="7"/>
        <v>-3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111</v>
      </c>
      <c r="C22" s="34">
        <v>265.0</v>
      </c>
      <c r="D22" s="34">
        <v>23.0</v>
      </c>
      <c r="E22" s="35">
        <f t="shared" si="2"/>
        <v>12</v>
      </c>
      <c r="F22" s="95">
        <v>2.0</v>
      </c>
      <c r="G22" s="96">
        <v>3.0</v>
      </c>
      <c r="H22" s="97">
        <v>0.0</v>
      </c>
      <c r="I22" s="96">
        <v>6.0</v>
      </c>
      <c r="J22" s="96">
        <v>2.0</v>
      </c>
      <c r="K22" s="96">
        <v>6.0</v>
      </c>
      <c r="L22" s="98">
        <v>14.0</v>
      </c>
      <c r="M22" s="96">
        <v>2.0</v>
      </c>
      <c r="N22" s="34">
        <f t="shared" ref="N22:O22" si="27">C22+L22</f>
        <v>279</v>
      </c>
      <c r="O22" s="34">
        <f t="shared" si="27"/>
        <v>25</v>
      </c>
      <c r="P22" s="49" t="s">
        <v>58</v>
      </c>
      <c r="Q22" s="49" t="s">
        <v>58</v>
      </c>
      <c r="R22" s="49" t="s">
        <v>58</v>
      </c>
      <c r="S22" s="50">
        <f t="shared" si="4"/>
        <v>18</v>
      </c>
      <c r="T22" s="52">
        <f t="shared" si="5"/>
        <v>1</v>
      </c>
      <c r="U22" s="52"/>
      <c r="V22" s="50">
        <f t="shared" si="6"/>
        <v>4</v>
      </c>
      <c r="W22" s="52">
        <f t="shared" si="7"/>
        <v>2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128</v>
      </c>
      <c r="C23" s="34">
        <v>265.0</v>
      </c>
      <c r="D23" s="34">
        <v>22.0</v>
      </c>
      <c r="E23" s="35">
        <f t="shared" si="2"/>
        <v>12.625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8">C23+L23</f>
        <v>274</v>
      </c>
      <c r="O23" s="34">
        <f t="shared" si="28"/>
        <v>22</v>
      </c>
      <c r="P23" s="49" t="s">
        <v>58</v>
      </c>
      <c r="Q23" s="49" t="s">
        <v>58</v>
      </c>
      <c r="R23" s="49" t="s">
        <v>58</v>
      </c>
      <c r="S23" s="50">
        <f t="shared" si="4"/>
        <v>16</v>
      </c>
      <c r="T23" s="52">
        <f t="shared" si="5"/>
        <v>0</v>
      </c>
      <c r="U23" s="52"/>
      <c r="V23" s="50">
        <f t="shared" si="6"/>
        <v>7</v>
      </c>
      <c r="W23" s="52">
        <f t="shared" si="7"/>
        <v>-4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110</v>
      </c>
      <c r="C24" s="34">
        <v>263.0</v>
      </c>
      <c r="D24" s="34">
        <v>26.0</v>
      </c>
      <c r="E24" s="35">
        <f t="shared" si="2"/>
        <v>11.66666667</v>
      </c>
      <c r="F24" s="95">
        <v>1.0</v>
      </c>
      <c r="G24" s="96">
        <v>3.0</v>
      </c>
      <c r="H24" s="97">
        <v>0.0</v>
      </c>
      <c r="I24" s="96">
        <v>2.0</v>
      </c>
      <c r="J24" s="96">
        <v>6.0</v>
      </c>
      <c r="K24" s="96">
        <v>6.0</v>
      </c>
      <c r="L24" s="98">
        <v>14.0</v>
      </c>
      <c r="M24" s="96">
        <v>2.0</v>
      </c>
      <c r="N24" s="34">
        <f t="shared" ref="N24:O24" si="29">C24+L24</f>
        <v>277</v>
      </c>
      <c r="O24" s="34">
        <f t="shared" si="29"/>
        <v>28</v>
      </c>
      <c r="P24" s="49" t="s">
        <v>58</v>
      </c>
      <c r="Q24" s="49" t="s">
        <v>58</v>
      </c>
      <c r="R24" s="49" t="s">
        <v>58</v>
      </c>
      <c r="S24" s="50">
        <f t="shared" si="4"/>
        <v>21</v>
      </c>
      <c r="T24" s="52">
        <f t="shared" si="5"/>
        <v>0</v>
      </c>
      <c r="U24" s="52"/>
      <c r="V24" s="50">
        <f t="shared" si="6"/>
        <v>2</v>
      </c>
      <c r="W24" s="52">
        <f t="shared" si="7"/>
        <v>8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97</v>
      </c>
      <c r="C25" s="34">
        <v>262.0</v>
      </c>
      <c r="D25" s="34">
        <v>25.0</v>
      </c>
      <c r="E25" s="35">
        <f t="shared" si="2"/>
        <v>12.66666667</v>
      </c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30">C25+L25</f>
        <v>271</v>
      </c>
      <c r="O25" s="34">
        <f t="shared" si="30"/>
        <v>25</v>
      </c>
      <c r="P25" s="49" t="s">
        <v>58</v>
      </c>
      <c r="Q25" s="49" t="s">
        <v>58</v>
      </c>
      <c r="R25" s="49" t="s">
        <v>58</v>
      </c>
      <c r="S25" s="50">
        <f t="shared" si="4"/>
        <v>15</v>
      </c>
      <c r="T25" s="52">
        <f t="shared" si="5"/>
        <v>0</v>
      </c>
      <c r="U25" s="52"/>
      <c r="V25" s="50">
        <f t="shared" si="6"/>
        <v>8</v>
      </c>
      <c r="W25" s="52">
        <f t="shared" si="7"/>
        <v>-2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49</v>
      </c>
      <c r="C26" s="34">
        <v>261.0</v>
      </c>
      <c r="D26" s="34">
        <v>23.0</v>
      </c>
      <c r="E26" s="35">
        <f t="shared" si="2"/>
        <v>11.7</v>
      </c>
      <c r="F26" s="95">
        <v>1.0</v>
      </c>
      <c r="G26" s="96">
        <v>3.0</v>
      </c>
      <c r="H26" s="97">
        <v>0.0</v>
      </c>
      <c r="I26" s="96">
        <v>2.0</v>
      </c>
      <c r="J26" s="96">
        <v>2.0</v>
      </c>
      <c r="K26" s="96">
        <v>0.0</v>
      </c>
      <c r="L26" s="98">
        <v>4.0</v>
      </c>
      <c r="M26" s="96">
        <v>0.0</v>
      </c>
      <c r="N26" s="34">
        <f t="shared" ref="N26:O26" si="31">C26+L26</f>
        <v>265</v>
      </c>
      <c r="O26" s="34">
        <f t="shared" si="31"/>
        <v>23</v>
      </c>
      <c r="P26" s="49" t="s">
        <v>58</v>
      </c>
      <c r="Q26" s="49" t="s">
        <v>58</v>
      </c>
      <c r="R26" s="49" t="s">
        <v>58</v>
      </c>
      <c r="S26" s="50">
        <f t="shared" si="4"/>
        <v>20</v>
      </c>
      <c r="T26" s="52">
        <f t="shared" si="5"/>
        <v>0</v>
      </c>
      <c r="U26" s="52"/>
      <c r="V26" s="50">
        <f t="shared" si="6"/>
        <v>3</v>
      </c>
      <c r="W26" s="52">
        <f t="shared" si="7"/>
        <v>9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96</v>
      </c>
      <c r="C27" s="34">
        <v>261.0</v>
      </c>
      <c r="D27" s="34">
        <v>21.0</v>
      </c>
      <c r="E27" s="35">
        <f t="shared" si="2"/>
        <v>11.7</v>
      </c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2">C27+L27</f>
        <v>270</v>
      </c>
      <c r="O27" s="34">
        <f t="shared" si="32"/>
        <v>21</v>
      </c>
      <c r="P27" s="49" t="s">
        <v>58</v>
      </c>
      <c r="Q27" s="49" t="s">
        <v>58</v>
      </c>
      <c r="R27" s="49" t="s">
        <v>58</v>
      </c>
      <c r="S27" s="50">
        <f t="shared" si="4"/>
        <v>20</v>
      </c>
      <c r="T27" s="52">
        <f t="shared" si="5"/>
        <v>0</v>
      </c>
      <c r="U27" s="52"/>
      <c r="V27" s="50">
        <f t="shared" si="6"/>
        <v>3</v>
      </c>
      <c r="W27" s="52">
        <f t="shared" si="7"/>
        <v>9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135</v>
      </c>
      <c r="C28" s="34">
        <v>260.0</v>
      </c>
      <c r="D28" s="34">
        <v>26.0</v>
      </c>
      <c r="E28" s="35">
        <f t="shared" si="2"/>
        <v>12.3125</v>
      </c>
      <c r="F28" s="95">
        <v>3.0</v>
      </c>
      <c r="G28" s="96">
        <v>0.0</v>
      </c>
      <c r="H28" s="97">
        <v>9.0</v>
      </c>
      <c r="I28" s="96">
        <v>0.0</v>
      </c>
      <c r="J28" s="96">
        <v>0.0</v>
      </c>
      <c r="K28" s="96">
        <v>0.0</v>
      </c>
      <c r="L28" s="98">
        <v>9.0</v>
      </c>
      <c r="M28" s="96">
        <v>0.0</v>
      </c>
      <c r="N28" s="34">
        <f t="shared" ref="N28:O28" si="33">C28+L28</f>
        <v>269</v>
      </c>
      <c r="O28" s="34">
        <f t="shared" si="33"/>
        <v>26</v>
      </c>
      <c r="P28" s="49" t="s">
        <v>58</v>
      </c>
      <c r="Q28" s="49" t="s">
        <v>58</v>
      </c>
      <c r="R28" s="49" t="s">
        <v>58</v>
      </c>
      <c r="S28" s="50">
        <f t="shared" si="4"/>
        <v>16</v>
      </c>
      <c r="T28" s="52">
        <f t="shared" si="5"/>
        <v>0</v>
      </c>
      <c r="U28" s="52"/>
      <c r="V28" s="50">
        <f t="shared" si="6"/>
        <v>7</v>
      </c>
      <c r="W28" s="52">
        <f t="shared" si="7"/>
        <v>0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99</v>
      </c>
      <c r="C29" s="34">
        <v>260.0</v>
      </c>
      <c r="D29" s="34">
        <v>19.0</v>
      </c>
      <c r="E29" s="35">
        <f t="shared" si="2"/>
        <v>12.26666667</v>
      </c>
      <c r="F29" s="95">
        <v>2.0</v>
      </c>
      <c r="G29" s="96">
        <v>4.0</v>
      </c>
      <c r="H29" s="97">
        <v>0.0</v>
      </c>
      <c r="I29" s="96">
        <v>4.0</v>
      </c>
      <c r="J29" s="96">
        <v>7.0</v>
      </c>
      <c r="K29" s="96">
        <v>6.0</v>
      </c>
      <c r="L29" s="98">
        <v>17.0</v>
      </c>
      <c r="M29" s="96">
        <v>2.0</v>
      </c>
      <c r="N29" s="34">
        <f t="shared" ref="N29:O29" si="34">C29+L29</f>
        <v>277</v>
      </c>
      <c r="O29" s="34">
        <f t="shared" si="34"/>
        <v>21</v>
      </c>
      <c r="P29" s="49" t="s">
        <v>58</v>
      </c>
      <c r="Q29" s="49" t="s">
        <v>58</v>
      </c>
      <c r="R29" s="49" t="s">
        <v>58</v>
      </c>
      <c r="S29" s="50">
        <f t="shared" si="4"/>
        <v>15</v>
      </c>
      <c r="T29" s="52">
        <f t="shared" si="5"/>
        <v>1</v>
      </c>
      <c r="U29" s="52"/>
      <c r="V29" s="50">
        <f t="shared" si="6"/>
        <v>7</v>
      </c>
      <c r="W29" s="52">
        <f t="shared" si="7"/>
        <v>8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50</v>
      </c>
      <c r="C30" s="34">
        <v>259.0</v>
      </c>
      <c r="D30" s="34">
        <v>23.0</v>
      </c>
      <c r="E30" s="35">
        <f t="shared" si="2"/>
        <v>11.6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268</v>
      </c>
      <c r="O30" s="34">
        <f t="shared" si="35"/>
        <v>23</v>
      </c>
      <c r="P30" s="49" t="s">
        <v>58</v>
      </c>
      <c r="Q30" s="49" t="s">
        <v>58</v>
      </c>
      <c r="R30" s="49" t="s">
        <v>58</v>
      </c>
      <c r="S30" s="50">
        <f t="shared" si="4"/>
        <v>20</v>
      </c>
      <c r="T30" s="52">
        <f t="shared" si="5"/>
        <v>0</v>
      </c>
      <c r="U30" s="52"/>
      <c r="V30" s="50">
        <f t="shared" si="6"/>
        <v>3</v>
      </c>
      <c r="W30" s="52">
        <f t="shared" si="7"/>
        <v>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109</v>
      </c>
      <c r="C31" s="34">
        <v>259.0</v>
      </c>
      <c r="D31" s="34">
        <v>22.0</v>
      </c>
      <c r="E31" s="35">
        <f t="shared" si="2"/>
        <v>12.05882353</v>
      </c>
      <c r="F31" s="95">
        <v>3.0</v>
      </c>
      <c r="G31" s="96">
        <v>0.0</v>
      </c>
      <c r="H31" s="97">
        <v>9.0</v>
      </c>
      <c r="I31" s="96">
        <v>0.0</v>
      </c>
      <c r="J31" s="96">
        <v>0.0</v>
      </c>
      <c r="K31" s="96">
        <v>0.0</v>
      </c>
      <c r="L31" s="98">
        <v>9.0</v>
      </c>
      <c r="M31" s="96">
        <v>0.0</v>
      </c>
      <c r="N31" s="34">
        <f t="shared" ref="N31:O31" si="36">C31+L31</f>
        <v>268</v>
      </c>
      <c r="O31" s="34">
        <f t="shared" si="36"/>
        <v>22</v>
      </c>
      <c r="P31" s="49" t="s">
        <v>58</v>
      </c>
      <c r="Q31" s="49" t="s">
        <v>58</v>
      </c>
      <c r="R31" s="49"/>
      <c r="S31" s="50">
        <f t="shared" si="4"/>
        <v>17</v>
      </c>
      <c r="T31" s="52">
        <f t="shared" si="5"/>
        <v>0</v>
      </c>
      <c r="U31" s="52"/>
      <c r="V31" s="50">
        <f t="shared" si="6"/>
        <v>6</v>
      </c>
      <c r="W31" s="52">
        <f t="shared" si="7"/>
        <v>-6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114</v>
      </c>
      <c r="C32" s="34">
        <v>259.0</v>
      </c>
      <c r="D32" s="34">
        <v>19.0</v>
      </c>
      <c r="E32" s="35">
        <f t="shared" si="2"/>
        <v>11.66666667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7">C32+L32</f>
        <v>268</v>
      </c>
      <c r="O32" s="34">
        <f t="shared" si="37"/>
        <v>19</v>
      </c>
      <c r="P32" s="49" t="s">
        <v>58</v>
      </c>
      <c r="Q32" s="49" t="s">
        <v>58</v>
      </c>
      <c r="R32" s="49" t="s">
        <v>58</v>
      </c>
      <c r="S32" s="50">
        <f t="shared" si="4"/>
        <v>18</v>
      </c>
      <c r="T32" s="52">
        <f t="shared" si="5"/>
        <v>1</v>
      </c>
      <c r="U32" s="52"/>
      <c r="V32" s="50">
        <f t="shared" si="6"/>
        <v>4</v>
      </c>
      <c r="W32" s="52">
        <f t="shared" si="7"/>
        <v>-6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66</v>
      </c>
      <c r="C33" s="34">
        <v>257.0</v>
      </c>
      <c r="D33" s="34">
        <v>22.0</v>
      </c>
      <c r="E33" s="35">
        <f t="shared" si="2"/>
        <v>11.38095238</v>
      </c>
      <c r="F33" s="95">
        <v>1.0</v>
      </c>
      <c r="G33" s="96">
        <v>4.0</v>
      </c>
      <c r="H33" s="97">
        <v>0.0</v>
      </c>
      <c r="I33" s="96">
        <v>6.0</v>
      </c>
      <c r="J33" s="96">
        <v>6.0</v>
      </c>
      <c r="K33" s="96">
        <v>6.0</v>
      </c>
      <c r="L33" s="98">
        <v>18.0</v>
      </c>
      <c r="M33" s="96">
        <v>2.0</v>
      </c>
      <c r="N33" s="34">
        <f t="shared" ref="N33:O33" si="38">C33+L33</f>
        <v>275</v>
      </c>
      <c r="O33" s="34">
        <f t="shared" si="38"/>
        <v>24</v>
      </c>
      <c r="P33" s="49" t="s">
        <v>58</v>
      </c>
      <c r="Q33" s="49" t="s">
        <v>58</v>
      </c>
      <c r="R33" s="49" t="s">
        <v>58</v>
      </c>
      <c r="S33" s="50">
        <f t="shared" si="4"/>
        <v>21</v>
      </c>
      <c r="T33" s="52">
        <f t="shared" si="5"/>
        <v>0</v>
      </c>
      <c r="U33" s="52"/>
      <c r="V33" s="50">
        <f t="shared" si="6"/>
        <v>2</v>
      </c>
      <c r="W33" s="52">
        <f t="shared" si="7"/>
        <v>-3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100</v>
      </c>
      <c r="C34" s="34">
        <v>257.0</v>
      </c>
      <c r="D34" s="34">
        <v>21.0</v>
      </c>
      <c r="E34" s="35">
        <f t="shared" si="2"/>
        <v>12.57142857</v>
      </c>
      <c r="F34" s="95">
        <v>1.0</v>
      </c>
      <c r="G34" s="96">
        <v>4.0</v>
      </c>
      <c r="H34" s="97">
        <v>0.0</v>
      </c>
      <c r="I34" s="96">
        <v>4.0</v>
      </c>
      <c r="J34" s="96">
        <v>6.0</v>
      </c>
      <c r="K34" s="96">
        <v>4.0</v>
      </c>
      <c r="L34" s="98">
        <v>14.0</v>
      </c>
      <c r="M34" s="96">
        <v>0.0</v>
      </c>
      <c r="N34" s="34">
        <f t="shared" ref="N34:O34" si="39">C34+L34</f>
        <v>271</v>
      </c>
      <c r="O34" s="34">
        <f t="shared" si="39"/>
        <v>21</v>
      </c>
      <c r="P34" s="49" t="s">
        <v>58</v>
      </c>
      <c r="Q34" s="49" t="s">
        <v>58</v>
      </c>
      <c r="R34" s="49"/>
      <c r="S34" s="50">
        <f t="shared" si="4"/>
        <v>14</v>
      </c>
      <c r="T34" s="52">
        <f t="shared" si="5"/>
        <v>0</v>
      </c>
      <c r="U34" s="52"/>
      <c r="V34" s="50">
        <f t="shared" si="6"/>
        <v>9</v>
      </c>
      <c r="W34" s="52">
        <f t="shared" si="7"/>
        <v>-3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93</v>
      </c>
      <c r="C35" s="34">
        <v>255.0</v>
      </c>
      <c r="D35" s="34">
        <v>22.0</v>
      </c>
      <c r="E35" s="35">
        <f t="shared" si="2"/>
        <v>12.69230769</v>
      </c>
      <c r="F35" s="95">
        <v>1.0</v>
      </c>
      <c r="G35" s="96">
        <v>4.0</v>
      </c>
      <c r="H35" s="97">
        <v>0.0</v>
      </c>
      <c r="I35" s="96">
        <v>6.0</v>
      </c>
      <c r="J35" s="96">
        <v>7.0</v>
      </c>
      <c r="K35" s="96">
        <v>4.0</v>
      </c>
      <c r="L35" s="98">
        <v>17.0</v>
      </c>
      <c r="M35" s="96">
        <v>2.0</v>
      </c>
      <c r="N35" s="34">
        <f t="shared" ref="N35:O35" si="40">C35+L35</f>
        <v>272</v>
      </c>
      <c r="O35" s="34">
        <f t="shared" si="40"/>
        <v>24</v>
      </c>
      <c r="P35" s="49" t="s">
        <v>58</v>
      </c>
      <c r="Q35" s="49" t="s">
        <v>58</v>
      </c>
      <c r="R35" s="49" t="s">
        <v>58</v>
      </c>
      <c r="S35" s="50">
        <f t="shared" si="4"/>
        <v>13</v>
      </c>
      <c r="T35" s="52">
        <f t="shared" si="5"/>
        <v>0</v>
      </c>
      <c r="U35" s="52"/>
      <c r="V35" s="50">
        <f t="shared" si="6"/>
        <v>10</v>
      </c>
      <c r="W35" s="52">
        <f t="shared" si="7"/>
        <v>-6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136</v>
      </c>
      <c r="C36" s="34">
        <v>255.0</v>
      </c>
      <c r="D36" s="34">
        <v>22.0</v>
      </c>
      <c r="E36" s="35">
        <f t="shared" si="2"/>
        <v>11</v>
      </c>
      <c r="F36" s="95">
        <v>5.0</v>
      </c>
      <c r="G36" s="96">
        <v>0.0</v>
      </c>
      <c r="H36" s="97">
        <v>13.0</v>
      </c>
      <c r="I36" s="96">
        <v>0.0</v>
      </c>
      <c r="J36" s="96">
        <v>0.0</v>
      </c>
      <c r="K36" s="96">
        <v>0.0</v>
      </c>
      <c r="L36" s="98">
        <v>13.0</v>
      </c>
      <c r="M36" s="96">
        <v>0.0</v>
      </c>
      <c r="N36" s="34">
        <f t="shared" ref="N36:O36" si="41">C36+L36</f>
        <v>268</v>
      </c>
      <c r="O36" s="34">
        <f t="shared" si="41"/>
        <v>22</v>
      </c>
      <c r="P36" s="49" t="s">
        <v>58</v>
      </c>
      <c r="Q36" s="49" t="s">
        <v>58</v>
      </c>
      <c r="R36" s="49" t="s">
        <v>58</v>
      </c>
      <c r="S36" s="50">
        <f t="shared" si="4"/>
        <v>22</v>
      </c>
      <c r="T36" s="52">
        <f t="shared" si="5"/>
        <v>1</v>
      </c>
      <c r="U36" s="52"/>
      <c r="V36" s="50">
        <f t="shared" si="6"/>
        <v>0</v>
      </c>
      <c r="W36" s="52">
        <f t="shared" si="7"/>
        <v>-9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60</v>
      </c>
      <c r="C37" s="34">
        <v>253.0</v>
      </c>
      <c r="D37" s="34">
        <v>25.0</v>
      </c>
      <c r="E37" s="35">
        <f t="shared" si="2"/>
        <v>11.3</v>
      </c>
      <c r="F37" s="95">
        <v>1.0</v>
      </c>
      <c r="G37" s="96">
        <v>5.0</v>
      </c>
      <c r="H37" s="97">
        <v>0.0</v>
      </c>
      <c r="I37" s="96">
        <v>1.0</v>
      </c>
      <c r="J37" s="96">
        <v>6.0</v>
      </c>
      <c r="K37" s="96">
        <v>6.0</v>
      </c>
      <c r="L37" s="98">
        <v>13.0</v>
      </c>
      <c r="M37" s="96">
        <v>2.0</v>
      </c>
      <c r="N37" s="34">
        <f t="shared" ref="N37:O37" si="42">C37+L37</f>
        <v>266</v>
      </c>
      <c r="O37" s="34">
        <f t="shared" si="42"/>
        <v>27</v>
      </c>
      <c r="P37" s="49" t="s">
        <v>58</v>
      </c>
      <c r="Q37" s="49" t="s">
        <v>58</v>
      </c>
      <c r="R37" s="49" t="s">
        <v>58</v>
      </c>
      <c r="S37" s="50">
        <f t="shared" si="4"/>
        <v>20</v>
      </c>
      <c r="T37" s="52">
        <f t="shared" si="5"/>
        <v>0</v>
      </c>
      <c r="U37" s="52"/>
      <c r="V37" s="50">
        <f t="shared" si="6"/>
        <v>3</v>
      </c>
      <c r="W37" s="52">
        <f t="shared" si="7"/>
        <v>1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89</v>
      </c>
      <c r="C38" s="34">
        <v>253.0</v>
      </c>
      <c r="D38" s="34">
        <v>21.0</v>
      </c>
      <c r="E38" s="35">
        <f t="shared" si="2"/>
        <v>12.83333333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3">C38+L38</f>
        <v>262</v>
      </c>
      <c r="O38" s="34">
        <f t="shared" si="43"/>
        <v>21</v>
      </c>
      <c r="P38" s="49" t="s">
        <v>58</v>
      </c>
      <c r="Q38" s="49" t="s">
        <v>58</v>
      </c>
      <c r="R38" s="49" t="s">
        <v>58</v>
      </c>
      <c r="S38" s="50">
        <f t="shared" si="4"/>
        <v>12</v>
      </c>
      <c r="T38" s="52">
        <f t="shared" si="5"/>
        <v>0</v>
      </c>
      <c r="U38" s="52"/>
      <c r="V38" s="50">
        <f t="shared" si="6"/>
        <v>11</v>
      </c>
      <c r="W38" s="52">
        <f t="shared" si="7"/>
        <v>-4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106</v>
      </c>
      <c r="C39" s="34">
        <v>247.0</v>
      </c>
      <c r="D39" s="34">
        <v>20.0</v>
      </c>
      <c r="E39" s="35">
        <f t="shared" si="2"/>
        <v>11.4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4">C39+L39</f>
        <v>256</v>
      </c>
      <c r="O39" s="34">
        <f t="shared" si="44"/>
        <v>20</v>
      </c>
      <c r="P39" s="49" t="s">
        <v>58</v>
      </c>
      <c r="Q39" s="49" t="s">
        <v>58</v>
      </c>
      <c r="R39" s="49" t="s">
        <v>58</v>
      </c>
      <c r="S39" s="50">
        <f t="shared" si="4"/>
        <v>15</v>
      </c>
      <c r="T39" s="52">
        <f t="shared" si="5"/>
        <v>1</v>
      </c>
      <c r="U39" s="52"/>
      <c r="V39" s="50">
        <f t="shared" si="6"/>
        <v>7</v>
      </c>
      <c r="W39" s="52">
        <f t="shared" si="7"/>
        <v>0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122</v>
      </c>
      <c r="C40" s="34">
        <v>243.0</v>
      </c>
      <c r="D40" s="34">
        <v>17.0</v>
      </c>
      <c r="E40" s="35">
        <f t="shared" si="2"/>
        <v>12</v>
      </c>
      <c r="F40" s="95">
        <v>1.0</v>
      </c>
      <c r="G40" s="96">
        <v>5.0</v>
      </c>
      <c r="H40" s="97">
        <v>0.0</v>
      </c>
      <c r="I40" s="96">
        <v>6.0</v>
      </c>
      <c r="J40" s="96">
        <v>1.0</v>
      </c>
      <c r="K40" s="96">
        <v>6.0</v>
      </c>
      <c r="L40" s="98">
        <v>13.0</v>
      </c>
      <c r="M40" s="96">
        <v>2.0</v>
      </c>
      <c r="N40" s="34">
        <f t="shared" ref="N40:O40" si="45">C40+L40</f>
        <v>256</v>
      </c>
      <c r="O40" s="34">
        <f t="shared" si="45"/>
        <v>19</v>
      </c>
      <c r="P40" s="49" t="s">
        <v>58</v>
      </c>
      <c r="Q40" s="49" t="s">
        <v>58</v>
      </c>
      <c r="R40" s="49" t="s">
        <v>58</v>
      </c>
      <c r="S40" s="50">
        <f t="shared" si="4"/>
        <v>12</v>
      </c>
      <c r="T40" s="52">
        <f t="shared" si="5"/>
        <v>0</v>
      </c>
      <c r="U40" s="52"/>
      <c r="V40" s="50">
        <f t="shared" si="6"/>
        <v>11</v>
      </c>
      <c r="W40" s="52">
        <f t="shared" si="7"/>
        <v>0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129</v>
      </c>
      <c r="C41" s="34">
        <v>242.0</v>
      </c>
      <c r="D41" s="34">
        <v>23.0</v>
      </c>
      <c r="E41" s="35">
        <f t="shared" si="2"/>
        <v>10.75</v>
      </c>
      <c r="F41" s="95">
        <v>1.0</v>
      </c>
      <c r="G41" s="96">
        <v>5.0</v>
      </c>
      <c r="H41" s="97">
        <v>0.0</v>
      </c>
      <c r="I41" s="96">
        <v>1.0</v>
      </c>
      <c r="J41" s="96">
        <v>1.0</v>
      </c>
      <c r="K41" s="96">
        <v>3.0</v>
      </c>
      <c r="L41" s="98">
        <v>5.0</v>
      </c>
      <c r="M41" s="96">
        <v>0.0</v>
      </c>
      <c r="N41" s="34">
        <f t="shared" ref="N41:O41" si="46">C41+L41</f>
        <v>247</v>
      </c>
      <c r="O41" s="34">
        <f t="shared" si="46"/>
        <v>23</v>
      </c>
      <c r="P41" s="49" t="s">
        <v>58</v>
      </c>
      <c r="Q41" s="49" t="s">
        <v>58</v>
      </c>
      <c r="R41" s="49" t="s">
        <v>58</v>
      </c>
      <c r="S41" s="50">
        <f t="shared" si="4"/>
        <v>20</v>
      </c>
      <c r="T41" s="52">
        <f t="shared" si="5"/>
        <v>0</v>
      </c>
      <c r="U41" s="52"/>
      <c r="V41" s="50">
        <f t="shared" si="6"/>
        <v>3</v>
      </c>
      <c r="W41" s="52">
        <f t="shared" si="7"/>
        <v>0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121</v>
      </c>
      <c r="C42" s="34">
        <v>238.0</v>
      </c>
      <c r="D42" s="34">
        <v>16.0</v>
      </c>
      <c r="E42" s="35">
        <f t="shared" si="2"/>
        <v>12.85714286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7">C42+L42</f>
        <v>247</v>
      </c>
      <c r="O42" s="34">
        <f t="shared" si="47"/>
        <v>16</v>
      </c>
      <c r="P42" s="49" t="s">
        <v>58</v>
      </c>
      <c r="Q42" s="49" t="s">
        <v>58</v>
      </c>
      <c r="R42" s="49" t="s">
        <v>58</v>
      </c>
      <c r="S42" s="50">
        <f t="shared" si="4"/>
        <v>7</v>
      </c>
      <c r="T42" s="52">
        <f t="shared" si="5"/>
        <v>1</v>
      </c>
      <c r="U42" s="52"/>
      <c r="V42" s="50">
        <f t="shared" si="6"/>
        <v>15</v>
      </c>
      <c r="W42" s="52">
        <f t="shared" si="7"/>
        <v>4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137</v>
      </c>
      <c r="C43" s="34">
        <v>236.0</v>
      </c>
      <c r="D43" s="34">
        <v>18.0</v>
      </c>
      <c r="E43" s="35">
        <f t="shared" si="2"/>
        <v>10.93333333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245</v>
      </c>
      <c r="O43" s="34">
        <f t="shared" si="48"/>
        <v>18</v>
      </c>
      <c r="P43" s="49" t="s">
        <v>58</v>
      </c>
      <c r="Q43" s="49" t="s">
        <v>58</v>
      </c>
      <c r="R43" s="49" t="s">
        <v>58</v>
      </c>
      <c r="S43" s="50">
        <f t="shared" si="4"/>
        <v>15</v>
      </c>
      <c r="T43" s="52">
        <f t="shared" si="5"/>
        <v>0</v>
      </c>
      <c r="U43" s="52"/>
      <c r="V43" s="50">
        <f t="shared" si="6"/>
        <v>8</v>
      </c>
      <c r="W43" s="52">
        <f t="shared" si="7"/>
        <v>0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138</v>
      </c>
      <c r="C44" s="34">
        <v>235.0</v>
      </c>
      <c r="D44" s="34">
        <v>14.0</v>
      </c>
      <c r="E44" s="35">
        <f t="shared" si="2"/>
        <v>11.33333333</v>
      </c>
      <c r="F44" s="95">
        <v>1.0</v>
      </c>
      <c r="G44" s="96">
        <v>5.0</v>
      </c>
      <c r="H44" s="97">
        <v>0.0</v>
      </c>
      <c r="I44" s="96">
        <v>6.0</v>
      </c>
      <c r="J44" s="96">
        <v>6.0</v>
      </c>
      <c r="K44" s="96">
        <v>3.0</v>
      </c>
      <c r="L44" s="98">
        <v>15.0</v>
      </c>
      <c r="M44" s="96">
        <v>2.0</v>
      </c>
      <c r="N44" s="34">
        <f t="shared" ref="N44:O44" si="49">C44+L44</f>
        <v>250</v>
      </c>
      <c r="O44" s="34">
        <f t="shared" si="49"/>
        <v>16</v>
      </c>
      <c r="P44" s="49" t="s">
        <v>58</v>
      </c>
      <c r="Q44" s="49" t="s">
        <v>58</v>
      </c>
      <c r="R44" s="49" t="s">
        <v>58</v>
      </c>
      <c r="S44" s="50">
        <f t="shared" si="4"/>
        <v>12</v>
      </c>
      <c r="T44" s="52">
        <f t="shared" si="5"/>
        <v>0</v>
      </c>
      <c r="U44" s="52"/>
      <c r="V44" s="50">
        <f t="shared" si="6"/>
        <v>11</v>
      </c>
      <c r="W44" s="52">
        <f t="shared" si="7"/>
        <v>-2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72</v>
      </c>
      <c r="C45" s="34">
        <v>231.0</v>
      </c>
      <c r="D45" s="34">
        <v>12.0</v>
      </c>
      <c r="E45" s="35">
        <f t="shared" si="2"/>
        <v>10.81818182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240</v>
      </c>
      <c r="O45" s="34">
        <f t="shared" si="50"/>
        <v>12</v>
      </c>
      <c r="P45" s="49" t="s">
        <v>58</v>
      </c>
      <c r="Q45" s="49" t="s">
        <v>58</v>
      </c>
      <c r="R45" s="49" t="s">
        <v>58</v>
      </c>
      <c r="S45" s="50">
        <f t="shared" si="4"/>
        <v>11</v>
      </c>
      <c r="T45" s="52">
        <f t="shared" si="5"/>
        <v>1</v>
      </c>
      <c r="U45" s="52"/>
      <c r="V45" s="50">
        <f t="shared" si="6"/>
        <v>11</v>
      </c>
      <c r="W45" s="52">
        <f t="shared" si="7"/>
        <v>-1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75</v>
      </c>
      <c r="C46" s="34">
        <v>231.0</v>
      </c>
      <c r="D46" s="34">
        <v>11.0</v>
      </c>
      <c r="E46" s="35">
        <f t="shared" si="2"/>
        <v>12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240</v>
      </c>
      <c r="O46" s="34">
        <f t="shared" si="51"/>
        <v>11</v>
      </c>
      <c r="P46" s="49" t="s">
        <v>58</v>
      </c>
      <c r="Q46" s="49" t="s">
        <v>58</v>
      </c>
      <c r="R46" s="49" t="s">
        <v>58</v>
      </c>
      <c r="S46" s="50">
        <f t="shared" si="4"/>
        <v>8</v>
      </c>
      <c r="T46" s="52">
        <f t="shared" si="5"/>
        <v>0</v>
      </c>
      <c r="U46" s="52"/>
      <c r="V46" s="50">
        <f t="shared" si="6"/>
        <v>15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132</v>
      </c>
      <c r="C47" s="34">
        <v>229.0</v>
      </c>
      <c r="D47" s="34">
        <v>12.0</v>
      </c>
      <c r="E47" s="35">
        <f t="shared" si="2"/>
        <v>11.75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238</v>
      </c>
      <c r="O47" s="34">
        <f t="shared" si="52"/>
        <v>12</v>
      </c>
      <c r="P47" s="49" t="s">
        <v>58</v>
      </c>
      <c r="Q47" s="49" t="s">
        <v>58</v>
      </c>
      <c r="R47" s="49" t="s">
        <v>58</v>
      </c>
      <c r="S47" s="50">
        <f t="shared" si="4"/>
        <v>8</v>
      </c>
      <c r="T47" s="52">
        <f t="shared" si="5"/>
        <v>0</v>
      </c>
      <c r="U47" s="52"/>
      <c r="V47" s="50">
        <f t="shared" si="6"/>
        <v>15</v>
      </c>
      <c r="W47" s="52">
        <f t="shared" si="7"/>
        <v>0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139</v>
      </c>
      <c r="C48" s="34">
        <v>223.0</v>
      </c>
      <c r="D48" s="34">
        <v>17.0</v>
      </c>
      <c r="E48" s="35">
        <f t="shared" si="2"/>
        <v>10.06666667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3">C48+L48</f>
        <v>232</v>
      </c>
      <c r="O48" s="34">
        <f t="shared" si="53"/>
        <v>17</v>
      </c>
      <c r="P48" s="49" t="s">
        <v>58</v>
      </c>
      <c r="Q48" s="49" t="s">
        <v>58</v>
      </c>
      <c r="R48" s="49" t="s">
        <v>58</v>
      </c>
      <c r="S48" s="50">
        <f t="shared" si="4"/>
        <v>15</v>
      </c>
      <c r="T48" s="52">
        <f t="shared" si="5"/>
        <v>0</v>
      </c>
      <c r="U48" s="52"/>
      <c r="V48" s="50">
        <f t="shared" si="6"/>
        <v>8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54</v>
      </c>
      <c r="C49" s="34">
        <v>218.0</v>
      </c>
      <c r="D49" s="34">
        <v>18.0</v>
      </c>
      <c r="E49" s="35">
        <f t="shared" si="2"/>
        <v>9.611111111</v>
      </c>
      <c r="F49" s="95">
        <v>1.0</v>
      </c>
      <c r="G49" s="96">
        <v>6.0</v>
      </c>
      <c r="H49" s="97">
        <v>0.0</v>
      </c>
      <c r="I49" s="96">
        <v>3.0</v>
      </c>
      <c r="J49" s="96">
        <v>2.0</v>
      </c>
      <c r="K49" s="96">
        <v>6.0</v>
      </c>
      <c r="L49" s="98">
        <v>11.0</v>
      </c>
      <c r="M49" s="96">
        <v>1.0</v>
      </c>
      <c r="N49" s="34">
        <f t="shared" ref="N49:O49" si="54">C49+L49</f>
        <v>229</v>
      </c>
      <c r="O49" s="34">
        <f t="shared" si="54"/>
        <v>19</v>
      </c>
      <c r="P49" s="49" t="s">
        <v>58</v>
      </c>
      <c r="Q49" s="49" t="s">
        <v>58</v>
      </c>
      <c r="R49" s="49" t="s">
        <v>58</v>
      </c>
      <c r="S49" s="50">
        <f t="shared" si="4"/>
        <v>18</v>
      </c>
      <c r="T49" s="52">
        <f t="shared" si="5"/>
        <v>0</v>
      </c>
      <c r="U49" s="52"/>
      <c r="V49" s="50">
        <f t="shared" si="6"/>
        <v>5</v>
      </c>
      <c r="W49" s="52">
        <f t="shared" si="7"/>
        <v>0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140</v>
      </c>
      <c r="C50" s="34">
        <v>218.0</v>
      </c>
      <c r="D50" s="34">
        <v>10.0</v>
      </c>
      <c r="E50" s="35">
        <f t="shared" si="2"/>
        <v>10.83333333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227</v>
      </c>
      <c r="O50" s="34">
        <f t="shared" si="55"/>
        <v>10</v>
      </c>
      <c r="P50" s="49" t="s">
        <v>58</v>
      </c>
      <c r="Q50" s="49" t="s">
        <v>58</v>
      </c>
      <c r="R50" s="49" t="s">
        <v>58</v>
      </c>
      <c r="S50" s="50">
        <f t="shared" si="4"/>
        <v>6</v>
      </c>
      <c r="T50" s="52">
        <f t="shared" si="5"/>
        <v>0</v>
      </c>
      <c r="U50" s="52"/>
      <c r="V50" s="50">
        <f t="shared" si="6"/>
        <v>17</v>
      </c>
      <c r="W50" s="52">
        <f t="shared" si="7"/>
        <v>4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108</v>
      </c>
      <c r="C51" s="34">
        <v>217.0</v>
      </c>
      <c r="D51" s="34">
        <v>9.0</v>
      </c>
      <c r="E51" s="35">
        <f t="shared" si="2"/>
        <v>9.666666667</v>
      </c>
      <c r="F51" s="95">
        <v>1.0</v>
      </c>
      <c r="G51" s="96">
        <v>6.0</v>
      </c>
      <c r="H51" s="97">
        <v>0.0</v>
      </c>
      <c r="I51" s="96">
        <v>3.0</v>
      </c>
      <c r="J51" s="96">
        <v>6.0</v>
      </c>
      <c r="K51" s="96">
        <v>2.0</v>
      </c>
      <c r="L51" s="98">
        <v>11.0</v>
      </c>
      <c r="M51" s="96">
        <v>1.0</v>
      </c>
      <c r="N51" s="34">
        <f t="shared" ref="N51:O51" si="56">C51+L51</f>
        <v>228</v>
      </c>
      <c r="O51" s="34">
        <f t="shared" si="56"/>
        <v>10</v>
      </c>
      <c r="P51" s="49" t="s">
        <v>58</v>
      </c>
      <c r="Q51" s="49" t="s">
        <v>58</v>
      </c>
      <c r="R51" s="49" t="s">
        <v>58</v>
      </c>
      <c r="S51" s="50">
        <f t="shared" si="4"/>
        <v>15</v>
      </c>
      <c r="T51" s="52">
        <f t="shared" si="5"/>
        <v>0</v>
      </c>
      <c r="U51" s="52"/>
      <c r="V51" s="50">
        <f t="shared" si="6"/>
        <v>8</v>
      </c>
      <c r="W51" s="52">
        <f t="shared" si="7"/>
        <v>-1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47</v>
      </c>
      <c r="C52" s="34">
        <v>214.0</v>
      </c>
      <c r="D52" s="34">
        <v>8.0</v>
      </c>
      <c r="E52" s="35">
        <f t="shared" si="2"/>
        <v>10.75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223</v>
      </c>
      <c r="O52" s="34">
        <f t="shared" si="57"/>
        <v>8</v>
      </c>
      <c r="P52" s="49" t="s">
        <v>58</v>
      </c>
      <c r="Q52" s="49" t="s">
        <v>58</v>
      </c>
      <c r="R52" s="49"/>
      <c r="S52" s="50">
        <f t="shared" si="4"/>
        <v>4</v>
      </c>
      <c r="T52" s="52">
        <f t="shared" si="5"/>
        <v>0</v>
      </c>
      <c r="U52" s="52"/>
      <c r="V52" s="50">
        <f t="shared" si="6"/>
        <v>19</v>
      </c>
      <c r="W52" s="52">
        <f t="shared" si="7"/>
        <v>-1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143</v>
      </c>
      <c r="C53" s="34">
        <v>214.0</v>
      </c>
      <c r="D53" s="34">
        <v>8.0</v>
      </c>
      <c r="E53" s="35">
        <f t="shared" si="2"/>
        <v>10.16666667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223</v>
      </c>
      <c r="O53" s="34">
        <f t="shared" si="58"/>
        <v>8</v>
      </c>
      <c r="P53" s="49" t="s">
        <v>58</v>
      </c>
      <c r="Q53" s="49" t="s">
        <v>58</v>
      </c>
      <c r="R53" s="49" t="s">
        <v>58</v>
      </c>
      <c r="S53" s="50">
        <f t="shared" si="4"/>
        <v>6</v>
      </c>
      <c r="T53" s="52">
        <f t="shared" si="5"/>
        <v>0</v>
      </c>
      <c r="U53" s="52"/>
      <c r="V53" s="50">
        <f t="shared" si="6"/>
        <v>17</v>
      </c>
      <c r="W53" s="52">
        <f t="shared" si="7"/>
        <v>-1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144</v>
      </c>
      <c r="C54" s="34">
        <v>211.0</v>
      </c>
      <c r="D54" s="34">
        <v>9.0</v>
      </c>
      <c r="E54" s="35">
        <f t="shared" si="2"/>
        <v>9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220</v>
      </c>
      <c r="O54" s="34">
        <f t="shared" si="59"/>
        <v>9</v>
      </c>
      <c r="P54" s="49" t="s">
        <v>58</v>
      </c>
      <c r="Q54" s="49" t="s">
        <v>58</v>
      </c>
      <c r="R54" s="49" t="s">
        <v>58</v>
      </c>
      <c r="S54" s="50">
        <f t="shared" si="4"/>
        <v>8</v>
      </c>
      <c r="T54" s="52">
        <f t="shared" si="5"/>
        <v>1</v>
      </c>
      <c r="U54" s="52"/>
      <c r="V54" s="50">
        <f t="shared" si="6"/>
        <v>14</v>
      </c>
      <c r="W54" s="52">
        <f t="shared" si="7"/>
        <v>-1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105</v>
      </c>
      <c r="C55" s="34">
        <v>209.0</v>
      </c>
      <c r="D55" s="34">
        <v>8.0</v>
      </c>
      <c r="E55" s="35">
        <f t="shared" si="2"/>
        <v>9.4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218</v>
      </c>
      <c r="O55" s="34">
        <f t="shared" si="60"/>
        <v>8</v>
      </c>
      <c r="P55" s="49" t="s">
        <v>58</v>
      </c>
      <c r="Q55" s="49" t="s">
        <v>58</v>
      </c>
      <c r="R55" s="49" t="s">
        <v>58</v>
      </c>
      <c r="S55" s="50">
        <f t="shared" si="4"/>
        <v>5</v>
      </c>
      <c r="T55" s="52">
        <f t="shared" si="5"/>
        <v>0</v>
      </c>
      <c r="U55" s="52"/>
      <c r="V55" s="50">
        <f t="shared" si="6"/>
        <v>18</v>
      </c>
      <c r="W55" s="52">
        <f t="shared" si="7"/>
        <v>0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95</v>
      </c>
      <c r="C56" s="34">
        <v>209.0</v>
      </c>
      <c r="D56" s="34">
        <v>7.0</v>
      </c>
      <c r="E56" s="35">
        <f t="shared" si="2"/>
        <v>8.6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218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5</v>
      </c>
      <c r="T56" s="52">
        <f t="shared" si="5"/>
        <v>1</v>
      </c>
      <c r="U56" s="52"/>
      <c r="V56" s="50">
        <f t="shared" si="6"/>
        <v>17</v>
      </c>
      <c r="W56" s="52">
        <f t="shared" si="7"/>
        <v>0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145</v>
      </c>
      <c r="C57" s="34">
        <v>208.0</v>
      </c>
      <c r="D57" s="34">
        <v>12.0</v>
      </c>
      <c r="E57" s="35">
        <f t="shared" si="2"/>
        <v>9.090909091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217</v>
      </c>
      <c r="O57" s="34">
        <f t="shared" si="62"/>
        <v>12</v>
      </c>
      <c r="P57" s="49" t="s">
        <v>58</v>
      </c>
      <c r="Q57" s="49" t="s">
        <v>58</v>
      </c>
      <c r="R57" s="49" t="s">
        <v>58</v>
      </c>
      <c r="S57" s="50">
        <f t="shared" si="4"/>
        <v>11</v>
      </c>
      <c r="T57" s="52">
        <f t="shared" si="5"/>
        <v>0</v>
      </c>
      <c r="U57" s="52"/>
      <c r="V57" s="50">
        <f t="shared" si="6"/>
        <v>12</v>
      </c>
      <c r="W57" s="52">
        <f t="shared" si="7"/>
        <v>2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142</v>
      </c>
      <c r="C58" s="34">
        <v>206.0</v>
      </c>
      <c r="D58" s="34">
        <v>11.0</v>
      </c>
      <c r="E58" s="35">
        <f t="shared" si="2"/>
        <v>8.916666667</v>
      </c>
      <c r="F58" s="95">
        <v>2.0</v>
      </c>
      <c r="G58" s="96">
        <v>6.0</v>
      </c>
      <c r="H58" s="97">
        <v>0.0</v>
      </c>
      <c r="I58" s="96">
        <v>6.0</v>
      </c>
      <c r="J58" s="96">
        <v>2.0</v>
      </c>
      <c r="K58" s="96">
        <v>2.0</v>
      </c>
      <c r="L58" s="98">
        <v>10.0</v>
      </c>
      <c r="M58" s="96">
        <v>1.0</v>
      </c>
      <c r="N58" s="34">
        <f t="shared" ref="N58:O58" si="63">C58+L58</f>
        <v>216</v>
      </c>
      <c r="O58" s="34">
        <f t="shared" si="63"/>
        <v>12</v>
      </c>
      <c r="P58" s="49" t="s">
        <v>58</v>
      </c>
      <c r="Q58" s="49" t="s">
        <v>58</v>
      </c>
      <c r="R58" s="49" t="s">
        <v>58</v>
      </c>
      <c r="S58" s="50">
        <f t="shared" si="4"/>
        <v>12</v>
      </c>
      <c r="T58" s="52">
        <f t="shared" si="5"/>
        <v>0</v>
      </c>
      <c r="U58" s="52"/>
      <c r="V58" s="50">
        <f t="shared" si="6"/>
        <v>11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69</v>
      </c>
      <c r="C59" s="34">
        <v>206.0</v>
      </c>
      <c r="D59" s="34">
        <v>7.0</v>
      </c>
      <c r="E59" s="35">
        <f t="shared" si="2"/>
        <v>8.75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215</v>
      </c>
      <c r="O59" s="34">
        <f t="shared" si="64"/>
        <v>7</v>
      </c>
      <c r="P59" s="49" t="s">
        <v>58</v>
      </c>
      <c r="Q59" s="49" t="s">
        <v>58</v>
      </c>
      <c r="R59" s="49" t="s">
        <v>58</v>
      </c>
      <c r="S59" s="50">
        <f t="shared" si="4"/>
        <v>4</v>
      </c>
      <c r="T59" s="52">
        <f t="shared" si="5"/>
        <v>0</v>
      </c>
      <c r="U59" s="52"/>
      <c r="V59" s="50">
        <f t="shared" si="6"/>
        <v>19</v>
      </c>
      <c r="W59" s="52">
        <f t="shared" si="7"/>
        <v>-1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146</v>
      </c>
      <c r="C60" s="34">
        <v>203.0</v>
      </c>
      <c r="D60" s="34">
        <v>8.0</v>
      </c>
      <c r="E60" s="35">
        <f t="shared" si="2"/>
        <v>8</v>
      </c>
      <c r="F60" s="95">
        <v>1.0</v>
      </c>
      <c r="G60" s="96">
        <v>6.0</v>
      </c>
      <c r="H60" s="97">
        <v>0.0</v>
      </c>
      <c r="I60" s="96">
        <v>6.0</v>
      </c>
      <c r="J60" s="96">
        <v>6.0</v>
      </c>
      <c r="K60" s="96">
        <v>6.0</v>
      </c>
      <c r="L60" s="98">
        <v>18.0</v>
      </c>
      <c r="M60" s="96">
        <v>3.0</v>
      </c>
      <c r="N60" s="34">
        <f t="shared" ref="N60:O60" si="65">C60+L60</f>
        <v>221</v>
      </c>
      <c r="O60" s="34">
        <f t="shared" si="65"/>
        <v>11</v>
      </c>
      <c r="P60" s="49" t="s">
        <v>58</v>
      </c>
      <c r="Q60" s="49" t="s">
        <v>58</v>
      </c>
      <c r="R60" s="49" t="s">
        <v>58</v>
      </c>
      <c r="S60" s="50">
        <f t="shared" si="4"/>
        <v>8</v>
      </c>
      <c r="T60" s="52">
        <f t="shared" si="5"/>
        <v>1</v>
      </c>
      <c r="U60" s="52"/>
      <c r="V60" s="50">
        <f t="shared" si="6"/>
        <v>14</v>
      </c>
      <c r="W60" s="52">
        <f t="shared" si="7"/>
        <v>1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141</v>
      </c>
      <c r="C61" s="34">
        <v>198.0</v>
      </c>
      <c r="D61" s="34">
        <v>5.0</v>
      </c>
      <c r="E61" s="35">
        <f t="shared" si="2"/>
        <v>6.75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207</v>
      </c>
      <c r="O61" s="34">
        <f t="shared" si="66"/>
        <v>5</v>
      </c>
      <c r="P61" s="49" t="s">
        <v>58</v>
      </c>
      <c r="Q61" s="49" t="s">
        <v>58</v>
      </c>
      <c r="R61" s="49" t="s">
        <v>58</v>
      </c>
      <c r="S61" s="50">
        <f t="shared" si="4"/>
        <v>4</v>
      </c>
      <c r="T61" s="52">
        <f t="shared" si="5"/>
        <v>0</v>
      </c>
      <c r="U61" s="52"/>
      <c r="V61" s="50">
        <f t="shared" si="6"/>
        <v>19</v>
      </c>
      <c r="W61" s="52">
        <f t="shared" si="7"/>
        <v>-1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147</v>
      </c>
      <c r="C62" s="34">
        <v>194.0</v>
      </c>
      <c r="D62" s="34">
        <v>4.0</v>
      </c>
      <c r="E62" s="35">
        <f t="shared" si="2"/>
        <v>5.75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203</v>
      </c>
      <c r="O62" s="34">
        <f t="shared" si="67"/>
        <v>4</v>
      </c>
      <c r="P62" s="49" t="s">
        <v>58</v>
      </c>
      <c r="Q62" s="49" t="s">
        <v>58</v>
      </c>
      <c r="R62" s="49"/>
      <c r="S62" s="50">
        <f t="shared" si="4"/>
        <v>4</v>
      </c>
      <c r="T62" s="52">
        <f t="shared" si="5"/>
        <v>0</v>
      </c>
      <c r="U62" s="52"/>
      <c r="V62" s="50">
        <f t="shared" si="6"/>
        <v>19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148</v>
      </c>
      <c r="C63" s="34">
        <v>194.0</v>
      </c>
      <c r="D63" s="34">
        <v>1.0</v>
      </c>
      <c r="E63" s="35">
        <f t="shared" si="2"/>
        <v>6.571428571</v>
      </c>
      <c r="F63" s="95">
        <v>1.0</v>
      </c>
      <c r="G63" s="96">
        <v>7.0</v>
      </c>
      <c r="H63" s="97">
        <v>0.0</v>
      </c>
      <c r="I63" s="96">
        <v>2.0</v>
      </c>
      <c r="J63" s="96">
        <v>1.0</v>
      </c>
      <c r="K63" s="96">
        <v>6.0</v>
      </c>
      <c r="L63" s="98">
        <v>9.0</v>
      </c>
      <c r="M63" s="96">
        <v>1.0</v>
      </c>
      <c r="N63" s="34">
        <f t="shared" ref="N63:O63" si="68">C63+L63</f>
        <v>203</v>
      </c>
      <c r="O63" s="34">
        <f t="shared" si="68"/>
        <v>2</v>
      </c>
      <c r="P63" s="49" t="s">
        <v>58</v>
      </c>
      <c r="Q63" s="49" t="s">
        <v>58</v>
      </c>
      <c r="R63" s="49" t="s">
        <v>58</v>
      </c>
      <c r="S63" s="50">
        <f t="shared" si="4"/>
        <v>7</v>
      </c>
      <c r="T63" s="52">
        <f t="shared" si="5"/>
        <v>1</v>
      </c>
      <c r="U63" s="52"/>
      <c r="V63" s="50">
        <f t="shared" si="6"/>
        <v>15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131</v>
      </c>
      <c r="C64" s="34">
        <v>189.0</v>
      </c>
      <c r="D64" s="34">
        <v>0.0</v>
      </c>
      <c r="E64" s="35">
        <f t="shared" si="2"/>
        <v>0</v>
      </c>
      <c r="F64" s="95">
        <v>1.0</v>
      </c>
      <c r="G64" s="96">
        <v>7.0</v>
      </c>
      <c r="H64" s="97">
        <v>0.0</v>
      </c>
      <c r="I64" s="96">
        <v>6.0</v>
      </c>
      <c r="J64" s="96">
        <v>6.0</v>
      </c>
      <c r="K64" s="96">
        <v>6.0</v>
      </c>
      <c r="L64" s="98">
        <v>18.0</v>
      </c>
      <c r="M64" s="96">
        <v>3.0</v>
      </c>
      <c r="N64" s="34">
        <f t="shared" ref="N64:O64" si="69">C64+L64</f>
        <v>207</v>
      </c>
      <c r="O64" s="34">
        <f t="shared" si="69"/>
        <v>3</v>
      </c>
      <c r="P64" s="49" t="s">
        <v>58</v>
      </c>
      <c r="Q64" s="49" t="s">
        <v>58</v>
      </c>
      <c r="R64" s="49"/>
      <c r="S64" s="50">
        <f t="shared" si="4"/>
        <v>2</v>
      </c>
      <c r="T64" s="52">
        <f t="shared" si="5"/>
        <v>0</v>
      </c>
      <c r="U64" s="52"/>
      <c r="V64" s="50">
        <f t="shared" si="6"/>
        <v>21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130</v>
      </c>
      <c r="C65" s="34">
        <v>189.0</v>
      </c>
      <c r="D65" s="34">
        <v>0.0</v>
      </c>
      <c r="E65" s="35">
        <f t="shared" si="2"/>
        <v>-9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198</v>
      </c>
      <c r="O65" s="34">
        <f t="shared" si="70"/>
        <v>0</v>
      </c>
      <c r="P65" s="49" t="s">
        <v>58</v>
      </c>
      <c r="Q65" s="49" t="s">
        <v>58</v>
      </c>
      <c r="R65" s="49" t="s">
        <v>58</v>
      </c>
      <c r="S65" s="50">
        <f t="shared" si="4"/>
        <v>1</v>
      </c>
      <c r="T65" s="52">
        <f t="shared" si="5"/>
        <v>0</v>
      </c>
      <c r="U65" s="52"/>
      <c r="V65" s="50">
        <f t="shared" si="6"/>
        <v>22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104</v>
      </c>
      <c r="C66" s="34">
        <v>189.0</v>
      </c>
      <c r="D66" s="34">
        <v>0.0</v>
      </c>
      <c r="E66" s="35">
        <f t="shared" si="2"/>
        <v>-9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198</v>
      </c>
      <c r="O66" s="34">
        <f t="shared" si="71"/>
        <v>0</v>
      </c>
      <c r="P66" s="49" t="s">
        <v>58</v>
      </c>
      <c r="Q66" s="49" t="s">
        <v>58</v>
      </c>
      <c r="R66" s="49" t="s">
        <v>58</v>
      </c>
      <c r="S66" s="50">
        <f t="shared" si="4"/>
        <v>1</v>
      </c>
      <c r="T66" s="52">
        <f t="shared" si="5"/>
        <v>0</v>
      </c>
      <c r="U66" s="52"/>
      <c r="V66" s="50">
        <f t="shared" si="6"/>
        <v>22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118</v>
      </c>
      <c r="C67" s="34">
        <v>187.0</v>
      </c>
      <c r="D67" s="34">
        <v>1.0</v>
      </c>
      <c r="E67" s="35">
        <f t="shared" si="2"/>
        <v>1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196</v>
      </c>
      <c r="O67" s="34">
        <f t="shared" si="72"/>
        <v>1</v>
      </c>
      <c r="P67" s="49" t="s">
        <v>58</v>
      </c>
      <c r="Q67" s="49" t="s">
        <v>58</v>
      </c>
      <c r="R67" s="49"/>
      <c r="S67" s="50">
        <f t="shared" si="4"/>
        <v>3</v>
      </c>
      <c r="T67" s="52">
        <f t="shared" si="5"/>
        <v>1</v>
      </c>
      <c r="U67" s="52"/>
      <c r="V67" s="50">
        <f t="shared" si="6"/>
        <v>19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101</v>
      </c>
      <c r="C68" s="34">
        <v>186.0</v>
      </c>
      <c r="D68" s="34">
        <v>7.0</v>
      </c>
      <c r="E68" s="35">
        <f t="shared" si="2"/>
        <v>7.5</v>
      </c>
      <c r="F68" s="95">
        <v>1.0</v>
      </c>
      <c r="G68" s="96">
        <v>7.0</v>
      </c>
      <c r="H68" s="97">
        <v>0.0</v>
      </c>
      <c r="I68" s="96">
        <v>2.0</v>
      </c>
      <c r="J68" s="96">
        <v>6.0</v>
      </c>
      <c r="K68" s="96">
        <v>1.0</v>
      </c>
      <c r="L68" s="98">
        <v>9.0</v>
      </c>
      <c r="M68" s="96">
        <v>1.0</v>
      </c>
      <c r="N68" s="34">
        <f t="shared" ref="N68:O68" si="73">C68+L68</f>
        <v>195</v>
      </c>
      <c r="O68" s="34">
        <f t="shared" si="73"/>
        <v>8</v>
      </c>
      <c r="P68" s="49" t="s">
        <v>58</v>
      </c>
      <c r="Q68" s="49" t="s">
        <v>58</v>
      </c>
      <c r="R68" s="49" t="s">
        <v>58</v>
      </c>
      <c r="S68" s="50">
        <f t="shared" si="4"/>
        <v>14</v>
      </c>
      <c r="T68" s="52">
        <f t="shared" si="5"/>
        <v>0</v>
      </c>
      <c r="U68" s="52"/>
      <c r="V68" s="50">
        <f t="shared" si="6"/>
        <v>9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175.0</v>
      </c>
      <c r="D69" s="34">
        <v>1.0</v>
      </c>
      <c r="E69" s="35">
        <f t="shared" si="2"/>
        <v>3.666666667</v>
      </c>
      <c r="F69" s="95">
        <v>1.0</v>
      </c>
      <c r="G69" s="96">
        <v>7.0</v>
      </c>
      <c r="H69" s="97">
        <v>0.0</v>
      </c>
      <c r="I69" s="96">
        <v>6.0</v>
      </c>
      <c r="J69" s="96">
        <v>1.0</v>
      </c>
      <c r="K69" s="96">
        <v>1.0</v>
      </c>
      <c r="L69" s="98">
        <v>8.0</v>
      </c>
      <c r="M69" s="96">
        <v>1.0</v>
      </c>
      <c r="N69" s="34">
        <f t="shared" ref="N69:O69" si="74">C69+L69</f>
        <v>183</v>
      </c>
      <c r="O69" s="34">
        <f t="shared" si="74"/>
        <v>2</v>
      </c>
      <c r="P69" s="49" t="s">
        <v>58</v>
      </c>
      <c r="Q69" s="49" t="s">
        <v>58</v>
      </c>
      <c r="R69" s="49" t="s">
        <v>58</v>
      </c>
      <c r="S69" s="50">
        <f t="shared" si="4"/>
        <v>6</v>
      </c>
      <c r="T69" s="52">
        <f t="shared" si="5"/>
        <v>0</v>
      </c>
      <c r="U69" s="52"/>
      <c r="V69" s="50">
        <f t="shared" si="6"/>
        <v>17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  <c r="P73" s="101" t="s">
        <v>151</v>
      </c>
      <c r="Q73" s="25"/>
      <c r="R73" s="26"/>
    </row>
    <row r="74">
      <c r="A74" s="1"/>
      <c r="C74" s="1"/>
      <c r="D74" s="1"/>
      <c r="E74" s="1"/>
      <c r="F74" s="1"/>
      <c r="P74" s="102" t="s">
        <v>152</v>
      </c>
      <c r="Q74" s="26"/>
      <c r="R74" s="103">
        <f>COUNTA(R6:R69)</f>
        <v>57</v>
      </c>
      <c r="S74" s="104">
        <f>R74/R76</f>
        <v>0.8769230769</v>
      </c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  <c r="P75" s="102" t="s">
        <v>155</v>
      </c>
      <c r="Q75" s="26"/>
      <c r="R75" s="103">
        <f>65-R74</f>
        <v>8</v>
      </c>
    </row>
    <row r="76">
      <c r="A76" s="1"/>
      <c r="C76" s="1"/>
      <c r="D76" s="1"/>
      <c r="E76" s="1"/>
      <c r="F76" s="1"/>
      <c r="P76" s="106" t="s">
        <v>61</v>
      </c>
      <c r="Q76" s="26"/>
      <c r="R76" s="114">
        <f>R75+R74</f>
        <v>65</v>
      </c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11/29/25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desc"",0)"),"Eric Pan")</f>
        <v>Eric Pan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IFERROR(__xludf.DUMMYFUNCTION("""COMPUTED_VALUE"""),2.0)</f>
        <v>2</v>
      </c>
      <c r="F81" s="1"/>
    </row>
    <row r="82">
      <c r="A82" s="1"/>
      <c r="B82" s="33" t="str">
        <f>IFERROR(__xludf.DUMMYFUNCTION("""COMPUTED_VALUE"""),"Adrian Tay")</f>
        <v>Adrian Tay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IFERROR(__xludf.DUMMYFUNCTION("""COMPUTED_VALUE"""),1.0)</f>
        <v>1</v>
      </c>
      <c r="F82" s="1"/>
    </row>
    <row r="83">
      <c r="A83" s="1"/>
      <c r="B83" s="33" t="str">
        <f>IFERROR(__xludf.DUMMYFUNCTION("""COMPUTED_VALUE"""),"Frank Moon")</f>
        <v>Frank Moon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IFERROR(__xludf.DUMMYFUNCTION("""COMPUTED_VALUE"""),5.0)</f>
        <v>5</v>
      </c>
      <c r="F83" s="1"/>
    </row>
    <row r="84">
      <c r="A84" s="1"/>
      <c r="B84" s="33" t="str">
        <f>IFERROR(__xludf.DUMMYFUNCTION("""COMPUTED_VALUE"""),"Alex Hou")</f>
        <v>Alex Hou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IFERROR(__xludf.DUMMYFUNCTION("""COMPUTED_VALUE"""),9.0)</f>
        <v>9</v>
      </c>
      <c r="F84" s="1"/>
    </row>
    <row r="85">
      <c r="A85" s="1"/>
      <c r="B85" s="33" t="str">
        <f>IFERROR(__xludf.DUMMYFUNCTION("""COMPUTED_VALUE"""),"James Phan")</f>
        <v>James Phan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IFERROR(__xludf.DUMMYFUNCTION("""COMPUTED_VALUE"""),7.0)</f>
        <v>7</v>
      </c>
      <c r="F85" s="1"/>
    </row>
    <row r="86">
      <c r="A86" s="1"/>
      <c r="B86" s="33" t="str">
        <f>IFERROR(__xludf.DUMMYFUNCTION("""COMPUTED_VALUE"""),"Joe Luzzi")</f>
        <v>Joe Luzzi</v>
      </c>
      <c r="C86" s="117">
        <f>IFERROR(__xludf.DUMMYFUNCTION("""COMPUTED_VALUE"""),18.0)</f>
        <v>18</v>
      </c>
      <c r="D86" s="117">
        <f>IFERROR(__xludf.DUMMYFUNCTION("""COMPUTED_VALUE"""),2.0)</f>
        <v>2</v>
      </c>
      <c r="E86" s="117">
        <f>IFERROR(__xludf.DUMMYFUNCTION("""COMPUTED_VALUE"""),3.0)</f>
        <v>3</v>
      </c>
      <c r="F86" s="1"/>
    </row>
    <row r="87">
      <c r="A87" s="1"/>
      <c r="B87" s="33" t="str">
        <f>IFERROR(__xludf.DUMMYFUNCTION("""COMPUTED_VALUE"""),"Elayaraja Thangaraj")</f>
        <v>Elayaraja Thangaraj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IFERROR(__xludf.DUMMYFUNCTION("""COMPUTED_VALUE"""),6.0)</f>
        <v>6</v>
      </c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10"")"),"Jimmy Awolesi")</f>
        <v>Jimmy Awolesi</v>
      </c>
      <c r="C100" s="117">
        <f>IFERROR(__xludf.DUMMYFUNCTION("""COMPUTED_VALUE"""),9.0)</f>
        <v>9</v>
      </c>
      <c r="D100" s="117">
        <f t="shared" ref="D100:D109" si="75">VLOOKUP(B100,indirect($AC$2&amp;"!B$5:X$69"),23, false)</f>
        <v>31</v>
      </c>
      <c r="E100" s="117">
        <f t="shared" ref="E100:E109" si="76">VLOOKUP(B100,B$5:X$69,23, false)</f>
        <v>22</v>
      </c>
      <c r="F100" s="117">
        <f t="shared" ref="F100:F109" si="77">VLOOKUP(B100,indirect($AC$2&amp;"!B$5:U$70"),11, false)</f>
        <v>17</v>
      </c>
      <c r="G100" s="117">
        <f t="shared" ref="G100:G109" si="78">VLOOKUP(B100,indirect($AC$2&amp;"!B$5:U$70"),6, false)</f>
        <v>6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IFERROR(__xludf.DUMMYFUNCTION("""COMPUTED_VALUE"""),"Coco Yan")</f>
        <v>Coco Yan</v>
      </c>
      <c r="C101" s="117">
        <f>IFERROR(__xludf.DUMMYFUNCTION("""COMPUTED_VALUE"""),9.0)</f>
        <v>9</v>
      </c>
      <c r="D101" s="117">
        <f t="shared" si="75"/>
        <v>32</v>
      </c>
      <c r="E101" s="117">
        <f t="shared" si="76"/>
        <v>23</v>
      </c>
      <c r="F101" s="117">
        <f t="shared" si="77"/>
        <v>17</v>
      </c>
      <c r="G101" s="117">
        <f t="shared" si="78"/>
        <v>6</v>
      </c>
      <c r="L101" s="117" t="str">
        <f t="shared" si="79"/>
        <v>ok</v>
      </c>
    </row>
    <row r="102">
      <c r="A102" s="1"/>
      <c r="B102" s="33" t="str">
        <f>IFERROR(__xludf.DUMMYFUNCTION("""COMPUTED_VALUE"""),"Frank Moon")</f>
        <v>Frank Moon</v>
      </c>
      <c r="C102" s="117">
        <f>IFERROR(__xludf.DUMMYFUNCTION("""COMPUTED_VALUE"""),8.0)</f>
        <v>8</v>
      </c>
      <c r="D102" s="117">
        <f t="shared" si="75"/>
        <v>28</v>
      </c>
      <c r="E102" s="117">
        <f t="shared" si="76"/>
        <v>20</v>
      </c>
      <c r="F102" s="117">
        <f t="shared" si="77"/>
        <v>18</v>
      </c>
      <c r="G102" s="117">
        <f t="shared" si="78"/>
        <v>5</v>
      </c>
      <c r="L102" s="117" t="str">
        <f t="shared" si="79"/>
        <v>ok</v>
      </c>
    </row>
    <row r="103">
      <c r="A103" s="1"/>
      <c r="B103" s="33" t="str">
        <f>IFERROR(__xludf.DUMMYFUNCTION("""COMPUTED_VALUE"""),"Elayaraja Thangaraj")</f>
        <v>Elayaraja Thangaraj</v>
      </c>
      <c r="C103" s="117">
        <f>IFERROR(__xludf.DUMMYFUNCTION("""COMPUTED_VALUE"""),8.0)</f>
        <v>8</v>
      </c>
      <c r="D103" s="117">
        <f t="shared" si="75"/>
        <v>33</v>
      </c>
      <c r="E103" s="117">
        <f t="shared" si="76"/>
        <v>25</v>
      </c>
      <c r="F103" s="117">
        <f t="shared" si="77"/>
        <v>18</v>
      </c>
      <c r="G103" s="117">
        <f t="shared" si="78"/>
        <v>6</v>
      </c>
      <c r="L103" s="117" t="str">
        <f t="shared" si="79"/>
        <v>ok</v>
      </c>
    </row>
    <row r="104">
      <c r="A104" s="1"/>
      <c r="B104" s="33" t="str">
        <f>IFERROR(__xludf.DUMMYFUNCTION("""COMPUTED_VALUE"""),"James Phan")</f>
        <v>James Phan</v>
      </c>
      <c r="C104" s="117">
        <f>IFERROR(__xludf.DUMMYFUNCTION("""COMPUTED_VALUE"""),4.0)</f>
        <v>4</v>
      </c>
      <c r="D104" s="117">
        <f t="shared" si="75"/>
        <v>42</v>
      </c>
      <c r="E104" s="117">
        <f t="shared" si="76"/>
        <v>38</v>
      </c>
      <c r="F104" s="117">
        <f t="shared" si="77"/>
        <v>18</v>
      </c>
      <c r="G104" s="117">
        <f t="shared" si="78"/>
        <v>7</v>
      </c>
      <c r="L104" s="117" t="str">
        <f t="shared" si="79"/>
        <v>ok</v>
      </c>
    </row>
    <row r="105">
      <c r="A105" s="1"/>
      <c r="B105" s="33" t="str">
        <f>IFERROR(__xludf.DUMMYFUNCTION("""COMPUTED_VALUE"""),"Sanjaye Elayattu")</f>
        <v>Sanjaye Elayattu</v>
      </c>
      <c r="C105" s="117">
        <f>IFERROR(__xludf.DUMMYFUNCTION("""COMPUTED_VALUE"""),4.0)</f>
        <v>4</v>
      </c>
      <c r="D105" s="117">
        <f t="shared" si="75"/>
        <v>50</v>
      </c>
      <c r="E105" s="117">
        <f t="shared" si="76"/>
        <v>46</v>
      </c>
      <c r="F105" s="117">
        <f t="shared" si="77"/>
        <v>17</v>
      </c>
      <c r="G105" s="117">
        <f t="shared" si="78"/>
        <v>8</v>
      </c>
      <c r="L105" s="117" t="str">
        <f t="shared" si="79"/>
        <v>ok</v>
      </c>
    </row>
    <row r="106">
      <c r="A106" s="1"/>
      <c r="B106" s="33" t="str">
        <f>IFERROR(__xludf.DUMMYFUNCTION("""COMPUTED_VALUE"""),"Eric Pan")</f>
        <v>Eric Pan</v>
      </c>
      <c r="C106" s="117">
        <f>IFERROR(__xludf.DUMMYFUNCTION("""COMPUTED_VALUE"""),3.0)</f>
        <v>3</v>
      </c>
      <c r="D106" s="117">
        <f t="shared" si="75"/>
        <v>7</v>
      </c>
      <c r="E106" s="117">
        <f t="shared" si="76"/>
        <v>4</v>
      </c>
      <c r="F106" s="117">
        <f t="shared" si="77"/>
        <v>19</v>
      </c>
      <c r="G106" s="117">
        <f t="shared" si="78"/>
        <v>2</v>
      </c>
      <c r="L106" s="117" t="str">
        <f t="shared" si="79"/>
        <v>ok</v>
      </c>
    </row>
    <row r="107">
      <c r="A107" s="1"/>
      <c r="B107" s="33" t="str">
        <f>IFERROR(__xludf.DUMMYFUNCTION("""COMPUTED_VALUE"""),"Tina Hanson")</f>
        <v>Tina Hanson</v>
      </c>
      <c r="C107" s="117">
        <f>IFERROR(__xludf.DUMMYFUNCTION("""COMPUTED_VALUE"""),3.0)</f>
        <v>3</v>
      </c>
      <c r="D107" s="117">
        <f t="shared" si="75"/>
        <v>16</v>
      </c>
      <c r="E107" s="117">
        <f t="shared" si="76"/>
        <v>13</v>
      </c>
      <c r="F107" s="117">
        <f t="shared" si="77"/>
        <v>16</v>
      </c>
      <c r="G107" s="117">
        <f t="shared" si="78"/>
        <v>3</v>
      </c>
      <c r="L107" s="117" t="str">
        <f t="shared" si="79"/>
        <v>ok</v>
      </c>
    </row>
    <row r="108">
      <c r="A108" s="1"/>
      <c r="B108" s="33" t="str">
        <f>IFERROR(__xludf.DUMMYFUNCTION("""COMPUTED_VALUE"""),"Scott Li")</f>
        <v>Scott Li</v>
      </c>
      <c r="C108" s="117">
        <f>IFERROR(__xludf.DUMMYFUNCTION("""COMPUTED_VALUE"""),3.0)</f>
        <v>3</v>
      </c>
      <c r="D108" s="117">
        <f t="shared" si="75"/>
        <v>17</v>
      </c>
      <c r="E108" s="117">
        <f t="shared" si="76"/>
        <v>14</v>
      </c>
      <c r="F108" s="117">
        <f t="shared" si="77"/>
        <v>16</v>
      </c>
      <c r="G108" s="117">
        <f t="shared" si="78"/>
        <v>4</v>
      </c>
      <c r="L108" s="117" t="str">
        <f t="shared" si="79"/>
        <v>ok</v>
      </c>
    </row>
    <row r="109">
      <c r="A109" s="1"/>
      <c r="B109" s="33" t="str">
        <f>IFERROR(__xludf.DUMMYFUNCTION("""COMPUTED_VALUE"""),"Chinna Ponnaganti")</f>
        <v>Chinna Ponnaganti</v>
      </c>
      <c r="C109" s="117">
        <f>IFERROR(__xludf.DUMMYFUNCTION("""COMPUTED_VALUE"""),3.0)</f>
        <v>3</v>
      </c>
      <c r="D109" s="117">
        <f t="shared" si="75"/>
        <v>29</v>
      </c>
      <c r="E109" s="117">
        <f t="shared" si="76"/>
        <v>26</v>
      </c>
      <c r="F109" s="117">
        <f t="shared" si="77"/>
        <v>14</v>
      </c>
      <c r="G109" s="117">
        <f t="shared" si="78"/>
        <v>6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23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308</v>
      </c>
      <c r="D118" s="117">
        <f t="shared" si="80"/>
        <v>36</v>
      </c>
      <c r="E118" s="117">
        <f t="shared" si="80"/>
        <v>15.3125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296</v>
      </c>
      <c r="D119" s="117">
        <f t="shared" si="81"/>
        <v>32</v>
      </c>
      <c r="E119" s="117">
        <f t="shared" si="81"/>
        <v>14.3125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292</v>
      </c>
      <c r="D120" s="117">
        <f t="shared" si="82"/>
        <v>29</v>
      </c>
      <c r="E120" s="117">
        <f t="shared" si="82"/>
        <v>13.47368421</v>
      </c>
      <c r="F120" s="1"/>
    </row>
    <row r="121">
      <c r="A121" s="117">
        <f t="shared" ref="A121:E121" si="83">A8</f>
        <v>4</v>
      </c>
      <c r="B121" s="33" t="str">
        <f t="shared" si="83"/>
        <v>Eric Pan</v>
      </c>
      <c r="C121" s="117">
        <f t="shared" si="83"/>
        <v>288</v>
      </c>
      <c r="D121" s="117">
        <f t="shared" si="83"/>
        <v>29</v>
      </c>
      <c r="E121" s="117">
        <f t="shared" si="83"/>
        <v>14.92307692</v>
      </c>
      <c r="F121" s="1"/>
    </row>
    <row r="122">
      <c r="A122" s="117">
        <f t="shared" ref="A122:E122" si="84">A9</f>
        <v>5</v>
      </c>
      <c r="B122" s="33" t="str">
        <f t="shared" si="84"/>
        <v>Rajasekar Ramasamy</v>
      </c>
      <c r="C122" s="117">
        <f t="shared" si="84"/>
        <v>285</v>
      </c>
      <c r="D122" s="117">
        <f t="shared" si="84"/>
        <v>30</v>
      </c>
      <c r="E122" s="117">
        <f t="shared" si="84"/>
        <v>12.52380952</v>
      </c>
      <c r="F122" s="1"/>
    </row>
    <row r="123">
      <c r="A123" s="117">
        <f t="shared" ref="A123:E123" si="85">A10</f>
        <v>6</v>
      </c>
      <c r="B123" s="33" t="str">
        <f t="shared" si="85"/>
        <v>Sandeep Kamalon</v>
      </c>
      <c r="C123" s="117">
        <f t="shared" si="85"/>
        <v>283</v>
      </c>
      <c r="D123" s="117">
        <f t="shared" si="85"/>
        <v>32</v>
      </c>
      <c r="E123" s="117">
        <f t="shared" si="85"/>
        <v>12.42857143</v>
      </c>
      <c r="F123" s="1"/>
    </row>
    <row r="124">
      <c r="A124" s="117">
        <f t="shared" ref="A124:E124" si="86">A11</f>
        <v>7</v>
      </c>
      <c r="B124" s="33" t="str">
        <f t="shared" si="86"/>
        <v>Ethan Gu</v>
      </c>
      <c r="C124" s="117">
        <f t="shared" si="86"/>
        <v>283</v>
      </c>
      <c r="D124" s="117">
        <f t="shared" si="86"/>
        <v>31</v>
      </c>
      <c r="E124" s="117">
        <f t="shared" si="86"/>
        <v>12.61904762</v>
      </c>
      <c r="F124" s="1"/>
    </row>
    <row r="125">
      <c r="A125" s="117">
        <f t="shared" ref="A125:E125" si="87">A12</f>
        <v>8</v>
      </c>
      <c r="B125" s="33" t="str">
        <f t="shared" si="87"/>
        <v>Pavan Akkimsetty</v>
      </c>
      <c r="C125" s="117">
        <f t="shared" si="87"/>
        <v>283</v>
      </c>
      <c r="D125" s="117">
        <f t="shared" si="87"/>
        <v>25</v>
      </c>
      <c r="E125" s="117">
        <f t="shared" si="87"/>
        <v>13.47058824</v>
      </c>
      <c r="F125" s="1"/>
    </row>
    <row r="126">
      <c r="A126" s="117">
        <f t="shared" ref="A126:E126" si="88">A13</f>
        <v>9</v>
      </c>
      <c r="B126" s="33" t="str">
        <f t="shared" si="88"/>
        <v>Pulkit Mathur</v>
      </c>
      <c r="C126" s="117">
        <f t="shared" si="88"/>
        <v>282</v>
      </c>
      <c r="D126" s="117">
        <f t="shared" si="88"/>
        <v>28</v>
      </c>
      <c r="E126" s="117">
        <f t="shared" si="88"/>
        <v>13.41176471</v>
      </c>
      <c r="F126" s="1"/>
    </row>
    <row r="127">
      <c r="A127" s="117">
        <f t="shared" ref="A127:E127" si="89">A14</f>
        <v>10</v>
      </c>
      <c r="B127" s="33" t="str">
        <f t="shared" si="89"/>
        <v>David Shin</v>
      </c>
      <c r="C127" s="117">
        <f t="shared" si="89"/>
        <v>282</v>
      </c>
      <c r="D127" s="117">
        <f t="shared" si="89"/>
        <v>26</v>
      </c>
      <c r="E127" s="117">
        <f t="shared" si="89"/>
        <v>12.75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">
        <v>136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  <c r="P154" s="33"/>
    </row>
    <row r="155">
      <c r="A155" s="117">
        <f t="shared" si="90"/>
        <v>0</v>
      </c>
      <c r="B155" s="33"/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11/29/25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IFERROR(__xludf.DUMMYFUNCTION("""COMPUTED_VALUE"""),"Adrian Tay")</f>
        <v>Adrian Tay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IFERROR(__xludf.DUMMYFUNCTION("""COMPUTED_VALUE"""),6.0)</f>
        <v>6</v>
      </c>
      <c r="F184" s="122">
        <f>IFERROR(__xludf.DUMMYFUNCTION("""COMPUTED_VALUE"""),18.0)</f>
        <v>18</v>
      </c>
      <c r="G184" s="122">
        <f>IFERROR(__xludf.DUMMYFUNCTION("""COMPUTED_VALUE"""),3.0)</f>
        <v>3</v>
      </c>
    </row>
    <row r="185">
      <c r="A185" s="117">
        <f>IFERROR(__xludf.DUMMYFUNCTION("""COMPUTED_VALUE"""),1.0)</f>
        <v>1</v>
      </c>
      <c r="B185" s="33" t="str">
        <f>IFERROR(__xludf.DUMMYFUNCTION("""COMPUTED_VALUE"""),"Darren Wong")</f>
        <v>Darren Wong</v>
      </c>
      <c r="C185" s="122">
        <f>IFERROR(__xludf.DUMMYFUNCTION("""COMPUTED_VALUE"""),2.0)</f>
        <v>2</v>
      </c>
      <c r="D185" s="122">
        <f>IFERROR(__xludf.DUMMYFUNCTION("""COMPUTED_VALUE"""),3.0)</f>
        <v>3</v>
      </c>
      <c r="E185" s="122">
        <f>IFERROR(__xludf.DUMMYFUNCTION("""COMPUTED_VALUE"""),6.0)</f>
        <v>6</v>
      </c>
      <c r="F185" s="122">
        <f>IFERROR(__xludf.DUMMYFUNCTION("""COMPUTED_VALUE"""),11.0)</f>
        <v>11</v>
      </c>
      <c r="G185" s="122">
        <f>IFERROR(__xludf.DUMMYFUNCTION("""COMPUTED_VALUE"""),1.0)</f>
        <v>1</v>
      </c>
    </row>
    <row r="186">
      <c r="A186" s="117">
        <f>IFERROR(__xludf.DUMMYFUNCTION("""COMPUTED_VALUE"""),1.0)</f>
        <v>1</v>
      </c>
      <c r="B186" s="33" t="str">
        <f>IFERROR(__xludf.DUMMYFUNCTION("""COMPUTED_VALUE"""),"Sandeep Kamalon")</f>
        <v>Sandeep Kamalon</v>
      </c>
      <c r="C186" s="122">
        <f>IFERROR(__xludf.DUMMYFUNCTION("""COMPUTED_VALUE"""),2.0)</f>
        <v>2</v>
      </c>
      <c r="D186" s="122">
        <f>IFERROR(__xludf.DUMMYFUNCTION("""COMPUTED_VALUE"""),6.0)</f>
        <v>6</v>
      </c>
      <c r="E186" s="122">
        <f>IFERROR(__xludf.DUMMYFUNCTION("""COMPUTED_VALUE"""),2.0)</f>
        <v>2</v>
      </c>
      <c r="F186" s="122">
        <f>IFERROR(__xludf.DUMMYFUNCTION("""COMPUTED_VALUE"""),10.0)</f>
        <v>10</v>
      </c>
      <c r="G186" s="122">
        <f>IFERROR(__xludf.DUMMYFUNCTION("""COMPUTED_VALUE"""),1.0)</f>
        <v>1</v>
      </c>
    </row>
    <row r="187">
      <c r="A187" s="117">
        <f>IFERROR(__xludf.DUMMYFUNCTION("""COMPUTED_VALUE"""),1.0)</f>
        <v>1</v>
      </c>
      <c r="B187" s="33" t="str">
        <f>IFERROR(__xludf.DUMMYFUNCTION("""COMPUTED_VALUE"""),"Pulkit Mathur")</f>
        <v>Pulkit Mathur</v>
      </c>
      <c r="C187" s="122">
        <f>IFERROR(__xludf.DUMMYFUNCTION("""COMPUTED_VALUE"""),6.0)</f>
        <v>6</v>
      </c>
      <c r="D187" s="122">
        <f>IFERROR(__xludf.DUMMYFUNCTION("""COMPUTED_VALUE"""),3.0)</f>
        <v>3</v>
      </c>
      <c r="E187" s="122">
        <f>IFERROR(__xludf.DUMMYFUNCTION("""COMPUTED_VALUE"""),2.0)</f>
        <v>2</v>
      </c>
      <c r="F187" s="122">
        <f>IFERROR(__xludf.DUMMYFUNCTION("""COMPUTED_VALUE"""),11.0)</f>
        <v>11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IFERROR(__xludf.DUMMYFUNCTION("""COMPUTED_VALUE"""),"Rajasekar Ramasamy")</f>
        <v>Rajasekar Ramasamy</v>
      </c>
      <c r="C188" s="125">
        <f>IFERROR(__xludf.DUMMYFUNCTION("""COMPUTED_VALUE"""),4.0)</f>
        <v>4</v>
      </c>
      <c r="D188" s="125">
        <f>IFERROR(__xludf.DUMMYFUNCTION("""COMPUTED_VALUE"""),6.0)</f>
        <v>6</v>
      </c>
      <c r="E188" s="125">
        <f>IFERROR(__xludf.DUMMYFUNCTION("""COMPUTED_VALUE"""),6.0)</f>
        <v>6</v>
      </c>
      <c r="F188" s="125">
        <f>IFERROR(__xludf.DUMMYFUNCTION("""COMPUTED_VALUE"""),16.0)</f>
        <v>16</v>
      </c>
      <c r="G188" s="125">
        <f>IFERROR(__xludf.DUMMYFUNCTION("""COMPUTED_VALUE"""),1.0)</f>
        <v>1</v>
      </c>
    </row>
    <row r="189">
      <c r="A189" s="123">
        <f>IFERROR(__xludf.DUMMYFUNCTION("""COMPUTED_VALUE"""),2.0)</f>
        <v>2</v>
      </c>
      <c r="B189" s="124" t="str">
        <f>IFERROR(__xludf.DUMMYFUNCTION("""COMPUTED_VALUE"""),"Eric Pan")</f>
        <v>Eric Pan</v>
      </c>
      <c r="C189" s="125">
        <f>IFERROR(__xludf.DUMMYFUNCTION("""COMPUTED_VALUE"""),6.0)</f>
        <v>6</v>
      </c>
      <c r="D189" s="125">
        <f>IFERROR(__xludf.DUMMYFUNCTION("""COMPUTED_VALUE"""),7.0)</f>
        <v>7</v>
      </c>
      <c r="E189" s="125">
        <f>IFERROR(__xludf.DUMMYFUNCTION("""COMPUTED_VALUE"""),6.0)</f>
        <v>6</v>
      </c>
      <c r="F189" s="125">
        <f>IFERROR(__xludf.DUMMYFUNCTION("""COMPUTED_VALUE"""),19.0)</f>
        <v>19</v>
      </c>
      <c r="G189" s="125">
        <f>IFERROR(__xludf.DUMMYFUNCTION("""COMPUTED_VALUE"""),3.0)</f>
        <v>3</v>
      </c>
    </row>
    <row r="190">
      <c r="A190" s="123">
        <f>IFERROR(__xludf.DUMMYFUNCTION("""COMPUTED_VALUE"""),2.0)</f>
        <v>2</v>
      </c>
      <c r="B190" s="124" t="str">
        <f>IFERROR(__xludf.DUMMYFUNCTION("""COMPUTED_VALUE"""),"Pavan Akkimsetty")</f>
        <v>Pavan Akkimsetty</v>
      </c>
      <c r="C190" s="125">
        <f>IFERROR(__xludf.DUMMYFUNCTION("""COMPUTED_VALUE"""),4.0)</f>
        <v>4</v>
      </c>
      <c r="D190" s="125">
        <f>IFERROR(__xludf.DUMMYFUNCTION("""COMPUTED_VALUE"""),7.0)</f>
        <v>7</v>
      </c>
      <c r="E190" s="125">
        <f>IFERROR(__xludf.DUMMYFUNCTION("""COMPUTED_VALUE"""),4.0)</f>
        <v>4</v>
      </c>
      <c r="F190" s="125">
        <f>IFERROR(__xludf.DUMMYFUNCTION("""COMPUTED_VALUE"""),15.0)</f>
        <v>15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IFERROR(__xludf.DUMMYFUNCTION("""COMPUTED_VALUE"""),"Ethan Gu")</f>
        <v>Ethan Gu</v>
      </c>
      <c r="C191" s="125">
        <f>IFERROR(__xludf.DUMMYFUNCTION("""COMPUTED_VALUE"""),6.0)</f>
        <v>6</v>
      </c>
      <c r="D191" s="125">
        <f>IFERROR(__xludf.DUMMYFUNCTION("""COMPUTED_VALUE"""),6.0)</f>
        <v>6</v>
      </c>
      <c r="E191" s="125">
        <f>IFERROR(__xludf.DUMMYFUNCTION("""COMPUTED_VALUE"""),4.0)</f>
        <v>4</v>
      </c>
      <c r="F191" s="125">
        <f>IFERROR(__xludf.DUMMYFUNCTION("""COMPUTED_VALUE"""),16.0)</f>
        <v>16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IFERROR(__xludf.DUMMYFUNCTION("""COMPUTED_VALUE"""),"David Shin")</f>
        <v>David Shin</v>
      </c>
      <c r="C192" s="122">
        <f>IFERROR(__xludf.DUMMYFUNCTION("""COMPUTED_VALUE"""),3.0)</f>
        <v>3</v>
      </c>
      <c r="D192" s="122">
        <f>IFERROR(__xludf.DUMMYFUNCTION("""COMPUTED_VALUE"""),7.0)</f>
        <v>7</v>
      </c>
      <c r="E192" s="122">
        <f>IFERROR(__xludf.DUMMYFUNCTION("""COMPUTED_VALUE"""),6.0)</f>
        <v>6</v>
      </c>
      <c r="F192" s="122">
        <f>IFERROR(__xludf.DUMMYFUNCTION("""COMPUTED_VALUE"""),16.0)</f>
        <v>16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IFERROR(__xludf.DUMMYFUNCTION("""COMPUTED_VALUE"""),"Oscar Bonilla")</f>
        <v>Oscar Bonilla</v>
      </c>
      <c r="C193" s="122">
        <f>IFERROR(__xludf.DUMMYFUNCTION("""COMPUTED_VALUE"""),3.0)</f>
        <v>3</v>
      </c>
      <c r="D193" s="122">
        <f>IFERROR(__xludf.DUMMYFUNCTION("""COMPUTED_VALUE"""),6.0)</f>
        <v>6</v>
      </c>
      <c r="E193" s="122">
        <f>IFERROR(__xludf.DUMMYFUNCTION("""COMPUTED_VALUE"""),3.0)</f>
        <v>3</v>
      </c>
      <c r="F193" s="122">
        <f>IFERROR(__xludf.DUMMYFUNCTION("""COMPUTED_VALUE"""),12.0)</f>
        <v>12</v>
      </c>
      <c r="G193" s="122">
        <f>IFERROR(__xludf.DUMMYFUNCTION("""COMPUTED_VALUE"""),0.0)</f>
        <v>0</v>
      </c>
    </row>
    <row r="194">
      <c r="A194" s="117">
        <f>IFERROR(__xludf.DUMMYFUNCTION("""COMPUTED_VALUE"""),3.0)</f>
        <v>3</v>
      </c>
      <c r="B194" s="33" t="str">
        <f>IFERROR(__xludf.DUMMYFUNCTION("""COMPUTED_VALUE"""),"Joe Luzzi")</f>
        <v>Joe Luzzi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IFERROR(__xludf.DUMMYFUNCTION("""COMPUTED_VALUE"""),6.0)</f>
        <v>6</v>
      </c>
      <c r="F194" s="122">
        <f>IFERROR(__xludf.DUMMYFUNCTION("""COMPUTED_VALUE"""),18.0)</f>
        <v>18</v>
      </c>
      <c r="G194" s="122">
        <f>IFERROR(__xludf.DUMMYFUNCTION("""COMPUTED_VALUE"""),2.0)</f>
        <v>2</v>
      </c>
    </row>
    <row r="195">
      <c r="A195" s="117">
        <f>IFERROR(__xludf.DUMMYFUNCTION("""COMPUTED_VALUE"""),3.0)</f>
        <v>3</v>
      </c>
      <c r="B195" s="33" t="str">
        <f>IFERROR(__xludf.DUMMYFUNCTION("""COMPUTED_VALUE"""),"Tina Hanson")</f>
        <v>Tina Hanson</v>
      </c>
      <c r="C195" s="122">
        <f>IFERROR(__xludf.DUMMYFUNCTION("""COMPUTED_VALUE"""),6.0)</f>
        <v>6</v>
      </c>
      <c r="D195" s="122">
        <f>IFERROR(__xludf.DUMMYFUNCTION("""COMPUTED_VALUE"""),7.0)</f>
        <v>7</v>
      </c>
      <c r="E195" s="122">
        <f>IFERROR(__xludf.DUMMYFUNCTION("""COMPUTED_VALUE"""),3.0)</f>
        <v>3</v>
      </c>
      <c r="F195" s="122">
        <f>IFERROR(__xludf.DUMMYFUNCTION("""COMPUTED_VALUE"""),16.0)</f>
        <v>16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IFERROR(__xludf.DUMMYFUNCTION("""COMPUTED_VALUE"""),"Scott Li")</f>
        <v>Scott Li</v>
      </c>
      <c r="C196" s="125">
        <f>IFERROR(__xludf.DUMMYFUNCTION("""COMPUTED_VALUE"""),6.0)</f>
        <v>6</v>
      </c>
      <c r="D196" s="125">
        <f>IFERROR(__xludf.DUMMYFUNCTION("""COMPUTED_VALUE"""),6.0)</f>
        <v>6</v>
      </c>
      <c r="E196" s="125">
        <f>IFERROR(__xludf.DUMMYFUNCTION("""COMPUTED_VALUE"""),4.0)</f>
        <v>4</v>
      </c>
      <c r="F196" s="125">
        <f>IFERROR(__xludf.DUMMYFUNCTION("""COMPUTED_VALUE"""),16.0)</f>
        <v>16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IFERROR(__xludf.DUMMYFUNCTION("""COMPUTED_VALUE"""),"Suleman Alidina")</f>
        <v>Suleman Alidina</v>
      </c>
      <c r="C197" s="125">
        <f>IFERROR(__xludf.DUMMYFUNCTION("""COMPUTED_VALUE"""),6.0)</f>
        <v>6</v>
      </c>
      <c r="D197" s="125">
        <f>IFERROR(__xludf.DUMMYFUNCTION("""COMPUTED_VALUE"""),0.0)</f>
        <v>0</v>
      </c>
      <c r="E197" s="125">
        <f>IFERROR(__xludf.DUMMYFUNCTION("""COMPUTED_VALUE"""),6.0)</f>
        <v>6</v>
      </c>
      <c r="F197" s="125">
        <f>IFERROR(__xludf.DUMMYFUNCTION("""COMPUTED_VALUE"""),12.0)</f>
        <v>12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IFERROR(__xludf.DUMMYFUNCTION("""COMPUTED_VALUE"""),"Herman Au")</f>
        <v>Herman Au</v>
      </c>
      <c r="C198" s="125">
        <f>IFERROR(__xludf.DUMMYFUNCTION("""COMPUTED_VALUE"""),2.0)</f>
        <v>2</v>
      </c>
      <c r="D198" s="125">
        <f>IFERROR(__xludf.DUMMYFUNCTION("""COMPUTED_VALUE"""),6.0)</f>
        <v>6</v>
      </c>
      <c r="E198" s="125">
        <f>IFERROR(__xludf.DUMMYFUNCTION("""COMPUTED_VALUE"""),6.0)</f>
        <v>6</v>
      </c>
      <c r="F198" s="125">
        <f>IFERROR(__xludf.DUMMYFUNCTION("""COMPUTED_VALUE"""),14.0)</f>
        <v>14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IFERROR(__xludf.DUMMYFUNCTION("""COMPUTED_VALUE"""),"Nicole Ni")</f>
        <v>Nicole Ni</v>
      </c>
      <c r="C199" s="125">
        <f>IFERROR(__xludf.DUMMYFUNCTION("""COMPUTED_VALUE"""),2.0)</f>
        <v>2</v>
      </c>
      <c r="D199" s="125">
        <f>IFERROR(__xludf.DUMMYFUNCTION("""COMPUTED_VALUE"""),0.0)</f>
        <v>0</v>
      </c>
      <c r="E199" s="125">
        <f>IFERROR(__xludf.DUMMYFUNCTION("""COMPUTED_VALUE"""),4.0)</f>
        <v>4</v>
      </c>
      <c r="F199" s="125">
        <f>IFERROR(__xludf.DUMMYFUNCTION("""COMPUTED_VALUE"""),6.0)</f>
        <v>6</v>
      </c>
      <c r="G199" s="125">
        <f>IFERROR(__xludf.DUMMYFUNCTION("""COMPUTED_VALUE"""),0.0)</f>
        <v>0</v>
      </c>
    </row>
    <row r="200">
      <c r="A200" s="117">
        <f>IFERROR(__xludf.DUMMYFUNCTION("""COMPUTED_VALUE"""),5.0)</f>
        <v>5</v>
      </c>
      <c r="B200" s="33" t="str">
        <f>IFERROR(__xludf.DUMMYFUNCTION("""COMPUTED_VALUE"""),"Naveen Raj")</f>
        <v>Naveen Raj</v>
      </c>
      <c r="C200" s="122">
        <f>IFERROR(__xludf.DUMMYFUNCTION("""COMPUTED_VALUE"""),3.0)</f>
        <v>3</v>
      </c>
      <c r="D200" s="122">
        <f>IFERROR(__xludf.DUMMYFUNCTION("""COMPUTED_VALUE"""),6.0)</f>
        <v>6</v>
      </c>
      <c r="E200" s="122">
        <f>IFERROR(__xludf.DUMMYFUNCTION("""COMPUTED_VALUE"""),3.0)</f>
        <v>3</v>
      </c>
      <c r="F200" s="122">
        <f>IFERROR(__xludf.DUMMYFUNCTION("""COMPUTED_VALUE"""),12.0)</f>
        <v>12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IFERROR(__xludf.DUMMYFUNCTION("""COMPUTED_VALUE"""),"Allen Zhang")</f>
        <v>Allen Zhang</v>
      </c>
      <c r="C201" s="122">
        <f>IFERROR(__xludf.DUMMYFUNCTION("""COMPUTED_VALUE"""),3.0)</f>
        <v>3</v>
      </c>
      <c r="D201" s="122">
        <f>IFERROR(__xludf.DUMMYFUNCTION("""COMPUTED_VALUE"""),2.0)</f>
        <v>2</v>
      </c>
      <c r="E201" s="122">
        <f>IFERROR(__xludf.DUMMYFUNCTION("""COMPUTED_VALUE"""),6.0)</f>
        <v>6</v>
      </c>
      <c r="F201" s="122">
        <f>IFERROR(__xludf.DUMMYFUNCTION("""COMPUTED_VALUE"""),11.0)</f>
        <v>11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IFERROR(__xludf.DUMMYFUNCTION("""COMPUTED_VALUE"""),"Mauricio Palacios")</f>
        <v>Mauricio Palacios</v>
      </c>
      <c r="C202" s="122">
        <f>IFERROR(__xludf.DUMMYFUNCTION("""COMPUTED_VALUE"""),6.0)</f>
        <v>6</v>
      </c>
      <c r="D202" s="122">
        <f>IFERROR(__xludf.DUMMYFUNCTION("""COMPUTED_VALUE"""),2.0)</f>
        <v>2</v>
      </c>
      <c r="E202" s="122">
        <f>IFERROR(__xludf.DUMMYFUNCTION("""COMPUTED_VALUE"""),3.0)</f>
        <v>3</v>
      </c>
      <c r="F202" s="122">
        <f>IFERROR(__xludf.DUMMYFUNCTION("""COMPUTED_VALUE"""),11.0)</f>
        <v>11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IFERROR(__xludf.DUMMYFUNCTION("""COMPUTED_VALUE"""),"Frank Moon")</f>
        <v>Frank Moon</v>
      </c>
      <c r="C203" s="122">
        <f>IFERROR(__xludf.DUMMYFUNCTION("""COMPUTED_VALUE"""),6.0)</f>
        <v>6</v>
      </c>
      <c r="D203" s="122">
        <f>IFERROR(__xludf.DUMMYFUNCTION("""COMPUTED_VALUE"""),6.0)</f>
        <v>6</v>
      </c>
      <c r="E203" s="122">
        <f>IFERROR(__xludf.DUMMYFUNCTION("""COMPUTED_VALUE"""),6.0)</f>
        <v>6</v>
      </c>
      <c r="F203" s="122">
        <f>IFERROR(__xludf.DUMMYFUNCTION("""COMPUTED_VALUE"""),18.0)</f>
        <v>18</v>
      </c>
      <c r="G203" s="122">
        <f>IFERROR(__xludf.DUMMYFUNCTION("""COMPUTED_VALUE"""),3.0)</f>
        <v>3</v>
      </c>
    </row>
    <row r="204">
      <c r="A204" s="123">
        <f>IFERROR(__xludf.DUMMYFUNCTION("""COMPUTED_VALUE"""),6.0)</f>
        <v>6</v>
      </c>
      <c r="B204" s="124" t="str">
        <f>IFERROR(__xludf.DUMMYFUNCTION("""COMPUTED_VALUE"""),"Chinna Ponnaganti")</f>
        <v>Chinna Ponnaganti</v>
      </c>
      <c r="C204" s="125">
        <f>IFERROR(__xludf.DUMMYFUNCTION("""COMPUTED_VALUE"""),4.0)</f>
        <v>4</v>
      </c>
      <c r="D204" s="125">
        <f>IFERROR(__xludf.DUMMYFUNCTION("""COMPUTED_VALUE"""),4.0)</f>
        <v>4</v>
      </c>
      <c r="E204" s="125">
        <f>IFERROR(__xludf.DUMMYFUNCTION("""COMPUTED_VALUE"""),6.0)</f>
        <v>6</v>
      </c>
      <c r="F204" s="125">
        <f>IFERROR(__xludf.DUMMYFUNCTION("""COMPUTED_VALUE"""),14.0)</f>
        <v>14</v>
      </c>
      <c r="G204" s="125">
        <f>IFERROR(__xludf.DUMMYFUNCTION("""COMPUTED_VALUE"""),0.0)</f>
        <v>0</v>
      </c>
    </row>
    <row r="205">
      <c r="A205" s="123">
        <f>IFERROR(__xludf.DUMMYFUNCTION("""COMPUTED_VALUE"""),6.0)</f>
        <v>6</v>
      </c>
      <c r="B205" s="124" t="str">
        <f>IFERROR(__xludf.DUMMYFUNCTION("""COMPUTED_VALUE"""),"Jimmy Awolesi")</f>
        <v>Jimmy Awolesi</v>
      </c>
      <c r="C205" s="125">
        <f>IFERROR(__xludf.DUMMYFUNCTION("""COMPUTED_VALUE"""),6.0)</f>
        <v>6</v>
      </c>
      <c r="D205" s="125">
        <f>IFERROR(__xludf.DUMMYFUNCTION("""COMPUTED_VALUE"""),4.0)</f>
        <v>4</v>
      </c>
      <c r="E205" s="125">
        <f>IFERROR(__xludf.DUMMYFUNCTION("""COMPUTED_VALUE"""),7.0)</f>
        <v>7</v>
      </c>
      <c r="F205" s="125">
        <f>IFERROR(__xludf.DUMMYFUNCTION("""COMPUTED_VALUE"""),17.0)</f>
        <v>17</v>
      </c>
      <c r="G205" s="125">
        <f>IFERROR(__xludf.DUMMYFUNCTION("""COMPUTED_VALUE"""),2.0)</f>
        <v>2</v>
      </c>
    </row>
    <row r="206">
      <c r="A206" s="123">
        <f>IFERROR(__xludf.DUMMYFUNCTION("""COMPUTED_VALUE"""),6.0)</f>
        <v>6</v>
      </c>
      <c r="B206" s="124" t="str">
        <f>IFERROR(__xludf.DUMMYFUNCTION("""COMPUTED_VALUE"""),"Coco Yan")</f>
        <v>Coco Yan</v>
      </c>
      <c r="C206" s="125">
        <f>IFERROR(__xludf.DUMMYFUNCTION("""COMPUTED_VALUE"""),4.0)</f>
        <v>4</v>
      </c>
      <c r="D206" s="125">
        <f>IFERROR(__xludf.DUMMYFUNCTION("""COMPUTED_VALUE"""),6.0)</f>
        <v>6</v>
      </c>
      <c r="E206" s="125">
        <f>IFERROR(__xludf.DUMMYFUNCTION("""COMPUTED_VALUE"""),7.0)</f>
        <v>7</v>
      </c>
      <c r="F206" s="125">
        <f>IFERROR(__xludf.DUMMYFUNCTION("""COMPUTED_VALUE"""),17.0)</f>
        <v>17</v>
      </c>
      <c r="G206" s="125">
        <f>IFERROR(__xludf.DUMMYFUNCTION("""COMPUTED_VALUE"""),2.0)</f>
        <v>2</v>
      </c>
    </row>
    <row r="207">
      <c r="A207" s="123">
        <f>IFERROR(__xludf.DUMMYFUNCTION("""COMPUTED_VALUE"""),6.0)</f>
        <v>6</v>
      </c>
      <c r="B207" s="124" t="str">
        <f>IFERROR(__xludf.DUMMYFUNCTION("""COMPUTED_VALUE"""),"Elayaraja Thangaraj")</f>
        <v>Elayaraja Thangaraj</v>
      </c>
      <c r="C207" s="125">
        <f>IFERROR(__xludf.DUMMYFUNCTION("""COMPUTED_VALUE"""),6.0)</f>
        <v>6</v>
      </c>
      <c r="D207" s="125">
        <f>IFERROR(__xludf.DUMMYFUNCTION("""COMPUTED_VALUE"""),6.0)</f>
        <v>6</v>
      </c>
      <c r="E207" s="125">
        <f>IFERROR(__xludf.DUMMYFUNCTION("""COMPUTED_VALUE"""),6.0)</f>
        <v>6</v>
      </c>
      <c r="F207" s="125">
        <f>IFERROR(__xludf.DUMMYFUNCTION("""COMPUTED_VALUE"""),18.0)</f>
        <v>18</v>
      </c>
      <c r="G207" s="125">
        <f>IFERROR(__xludf.DUMMYFUNCTION("""COMPUTED_VALUE"""),2.0)</f>
        <v>2</v>
      </c>
    </row>
    <row r="208">
      <c r="A208" s="117">
        <f>IFERROR(__xludf.DUMMYFUNCTION("""COMPUTED_VALUE"""),7.0)</f>
        <v>7</v>
      </c>
      <c r="B208" s="33" t="str">
        <f>IFERROR(__xludf.DUMMYFUNCTION("""COMPUTED_VALUE"""),"James Phan")</f>
        <v>James Phan</v>
      </c>
      <c r="C208" s="122">
        <f>IFERROR(__xludf.DUMMYFUNCTION("""COMPUTED_VALUE"""),6.0)</f>
        <v>6</v>
      </c>
      <c r="D208" s="122">
        <f>IFERROR(__xludf.DUMMYFUNCTION("""COMPUTED_VALUE"""),6.0)</f>
        <v>6</v>
      </c>
      <c r="E208" s="122">
        <f>IFERROR(__xludf.DUMMYFUNCTION("""COMPUTED_VALUE"""),6.0)</f>
        <v>6</v>
      </c>
      <c r="F208" s="122">
        <f>IFERROR(__xludf.DUMMYFUNCTION("""COMPUTED_VALUE"""),18.0)</f>
        <v>18</v>
      </c>
      <c r="G208" s="122">
        <f>IFERROR(__xludf.DUMMYFUNCTION("""COMPUTED_VALUE"""),3.0)</f>
        <v>3</v>
      </c>
    </row>
    <row r="209">
      <c r="A209" s="117">
        <f>IFERROR(__xludf.DUMMYFUNCTION("""COMPUTED_VALUE"""),7.0)</f>
        <v>7</v>
      </c>
      <c r="B209" s="33" t="str">
        <f>IFERROR(__xludf.DUMMYFUNCTION("""COMPUTED_VALUE"""),"Sandy Weyant")</f>
        <v>Sandy Weyant</v>
      </c>
      <c r="C209" s="122">
        <f>IFERROR(__xludf.DUMMYFUNCTION("""COMPUTED_VALUE"""),0.0)</f>
        <v>0</v>
      </c>
      <c r="D209" s="122">
        <f>IFERROR(__xludf.DUMMYFUNCTION("""COMPUTED_VALUE"""),3.0)</f>
        <v>3</v>
      </c>
      <c r="E209" s="122">
        <f>IFERROR(__xludf.DUMMYFUNCTION("""COMPUTED_VALUE"""),6.0)</f>
        <v>6</v>
      </c>
      <c r="F209" s="122">
        <f>IFERROR(__xludf.DUMMYFUNCTION("""COMPUTED_VALUE"""),9.0)</f>
        <v>9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IFERROR(__xludf.DUMMYFUNCTION("""COMPUTED_VALUE"""),"Vinaya Kajla")</f>
        <v>Vinaya Kajla</v>
      </c>
      <c r="C210" s="122">
        <f>IFERROR(__xludf.DUMMYFUNCTION("""COMPUTED_VALUE"""),0.0)</f>
        <v>0</v>
      </c>
      <c r="D210" s="122">
        <f>IFERROR(__xludf.DUMMYFUNCTION("""COMPUTED_VALUE"""),6.0)</f>
        <v>6</v>
      </c>
      <c r="E210" s="122">
        <f>IFERROR(__xludf.DUMMYFUNCTION("""COMPUTED_VALUE"""),0.0)</f>
        <v>0</v>
      </c>
      <c r="F210" s="122">
        <f>IFERROR(__xludf.DUMMYFUNCTION("""COMPUTED_VALUE"""),6.0)</f>
        <v>6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IFERROR(__xludf.DUMMYFUNCTION("""COMPUTED_VALUE"""),"Troy Wong")</f>
        <v>Troy Wong</v>
      </c>
      <c r="C211" s="122">
        <f>IFERROR(__xludf.DUMMYFUNCTION("""COMPUTED_VALUE"""),6.0)</f>
        <v>6</v>
      </c>
      <c r="D211" s="122">
        <f>IFERROR(__xludf.DUMMYFUNCTION("""COMPUTED_VALUE"""),3.0)</f>
        <v>3</v>
      </c>
      <c r="E211" s="122">
        <f>IFERROR(__xludf.DUMMYFUNCTION("""COMPUTED_VALUE"""),0.0)</f>
        <v>0</v>
      </c>
      <c r="F211" s="122">
        <f>IFERROR(__xludf.DUMMYFUNCTION("""COMPUTED_VALUE"""),9.0)</f>
        <v>9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IFERROR(__xludf.DUMMYFUNCTION("""COMPUTED_VALUE"""),"Sanjaye Elayattu")</f>
        <v>Sanjaye Elayattu</v>
      </c>
      <c r="C212" s="125">
        <f>IFERROR(__xludf.DUMMYFUNCTION("""COMPUTED_VALUE"""),5.0)</f>
        <v>5</v>
      </c>
      <c r="D212" s="125">
        <f>IFERROR(__xludf.DUMMYFUNCTION("""COMPUTED_VALUE"""),6.0)</f>
        <v>6</v>
      </c>
      <c r="E212" s="125">
        <f>IFERROR(__xludf.DUMMYFUNCTION("""COMPUTED_VALUE"""),6.0)</f>
        <v>6</v>
      </c>
      <c r="F212" s="125">
        <f>IFERROR(__xludf.DUMMYFUNCTION("""COMPUTED_VALUE"""),17.0)</f>
        <v>17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IFERROR(__xludf.DUMMYFUNCTION("""COMPUTED_VALUE"""),"Wayne Liu")</f>
        <v>Wayne Liu</v>
      </c>
      <c r="C213" s="125">
        <f>IFERROR(__xludf.DUMMYFUNCTION("""COMPUTED_VALUE"""),7.0)</f>
        <v>7</v>
      </c>
      <c r="D213" s="125">
        <f>IFERROR(__xludf.DUMMYFUNCTION("""COMPUTED_VALUE"""),2.0)</f>
        <v>2</v>
      </c>
      <c r="E213" s="125">
        <f>IFERROR(__xludf.DUMMYFUNCTION("""COMPUTED_VALUE"""),6.0)</f>
        <v>6</v>
      </c>
      <c r="F213" s="125">
        <f>IFERROR(__xludf.DUMMYFUNCTION("""COMPUTED_VALUE"""),15.0)</f>
        <v>15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IFERROR(__xludf.DUMMYFUNCTION("""COMPUTED_VALUE"""),"Vishnu Amarnath")</f>
        <v>Vishnu Amarnath</v>
      </c>
      <c r="C214" s="125">
        <f>IFERROR(__xludf.DUMMYFUNCTION("""COMPUTED_VALUE"""),7.0)</f>
        <v>7</v>
      </c>
      <c r="D214" s="125">
        <f>IFERROR(__xludf.DUMMYFUNCTION("""COMPUTED_VALUE"""),6.0)</f>
        <v>6</v>
      </c>
      <c r="E214" s="125">
        <f>IFERROR(__xludf.DUMMYFUNCTION("""COMPUTED_VALUE"""),2.0)</f>
        <v>2</v>
      </c>
      <c r="F214" s="125">
        <f>IFERROR(__xludf.DUMMYFUNCTION("""COMPUTED_VALUE"""),15.0)</f>
        <v>15</v>
      </c>
      <c r="G214" s="125">
        <f>IFERROR(__xludf.DUMMYFUNCTION("""COMPUTED_VALUE"""),2.0)</f>
        <v>2</v>
      </c>
    </row>
    <row r="215">
      <c r="A215" s="123">
        <f>IFERROR(__xludf.DUMMYFUNCTION("""COMPUTED_VALUE"""),8.0)</f>
        <v>8</v>
      </c>
      <c r="B215" s="124" t="str">
        <f>IFERROR(__xludf.DUMMYFUNCTION("""COMPUTED_VALUE"""),"Joyce Zhu")</f>
        <v>Joyce Zhu</v>
      </c>
      <c r="C215" s="125">
        <f>IFERROR(__xludf.DUMMYFUNCTION("""COMPUTED_VALUE"""),5.0)</f>
        <v>5</v>
      </c>
      <c r="D215" s="125">
        <f>IFERROR(__xludf.DUMMYFUNCTION("""COMPUTED_VALUE"""),2.0)</f>
        <v>2</v>
      </c>
      <c r="E215" s="125">
        <f>IFERROR(__xludf.DUMMYFUNCTION("""COMPUTED_VALUE"""),2.0)</f>
        <v>2</v>
      </c>
      <c r="F215" s="125">
        <f>IFERROR(__xludf.DUMMYFUNCTION("""COMPUTED_VALUE"""),9.0)</f>
        <v>9</v>
      </c>
      <c r="G215" s="125">
        <f>IFERROR(__xludf.DUMMYFUNCTION("""COMPUTED_VALUE"""),0.0)</f>
        <v>0</v>
      </c>
    </row>
    <row r="216">
      <c r="A216" s="117">
        <f>IFERROR(__xludf.DUMMYFUNCTION("""COMPUTED_VALUE"""),9.0)</f>
        <v>9</v>
      </c>
      <c r="B216" s="33" t="str">
        <f>IFERROR(__xludf.DUMMYFUNCTION("""COMPUTED_VALUE"""),"Alex Hou")</f>
        <v>Alex Hou</v>
      </c>
      <c r="C216" s="122">
        <f>IFERROR(__xludf.DUMMYFUNCTION("""COMPUTED_VALUE"""),6.0)</f>
        <v>6</v>
      </c>
      <c r="D216" s="122">
        <f>IFERROR(__xludf.DUMMYFUNCTION("""COMPUTED_VALUE"""),6.0)</f>
        <v>6</v>
      </c>
      <c r="E216" s="122">
        <f>IFERROR(__xludf.DUMMYFUNCTION("""COMPUTED_VALUE"""),6.0)</f>
        <v>6</v>
      </c>
      <c r="F216" s="122">
        <f>IFERROR(__xludf.DUMMYFUNCTION("""COMPUTED_VALUE"""),18.0)</f>
        <v>18</v>
      </c>
      <c r="G216" s="122">
        <f>IFERROR(__xludf.DUMMYFUNCTION("""COMPUTED_VALUE"""),3.0)</f>
        <v>3</v>
      </c>
    </row>
    <row r="217">
      <c r="A217" s="117">
        <f>IFERROR(__xludf.DUMMYFUNCTION("""COMPUTED_VALUE"""),9.0)</f>
        <v>9</v>
      </c>
      <c r="B217" s="33" t="str">
        <f>IFERROR(__xludf.DUMMYFUNCTION("""COMPUTED_VALUE"""),"Sean Chang")</f>
        <v>Sean Chang</v>
      </c>
      <c r="C217" s="122">
        <f>IFERROR(__xludf.DUMMYFUNCTION("""COMPUTED_VALUE"""),6.0)</f>
        <v>6</v>
      </c>
      <c r="D217" s="122">
        <f>IFERROR(__xludf.DUMMYFUNCTION("""COMPUTED_VALUE"""),4.0)</f>
        <v>4</v>
      </c>
      <c r="E217" s="122">
        <f>IFERROR(__xludf.DUMMYFUNCTION("""COMPUTED_VALUE"""),3.0)</f>
        <v>3</v>
      </c>
      <c r="F217" s="122">
        <f>IFERROR(__xludf.DUMMYFUNCTION("""COMPUTED_VALUE"""),13.0)</f>
        <v>13</v>
      </c>
      <c r="G217" s="122">
        <f>IFERROR(__xludf.DUMMYFUNCTION("""COMPUTED_VALUE"""),1.0)</f>
        <v>1</v>
      </c>
    </row>
    <row r="218">
      <c r="A218" s="117">
        <f>IFERROR(__xludf.DUMMYFUNCTION("""COMPUTED_VALUE"""),9.0)</f>
        <v>9</v>
      </c>
      <c r="B218" s="33" t="str">
        <f>IFERROR(__xludf.DUMMYFUNCTION("""COMPUTED_VALUE"""),"Kumar Palakeel")</f>
        <v>Kumar Palakeel</v>
      </c>
      <c r="C218" s="122">
        <f>IFERROR(__xludf.DUMMYFUNCTION("""COMPUTED_VALUE"""),1.0)</f>
        <v>1</v>
      </c>
      <c r="D218" s="122">
        <f>IFERROR(__xludf.DUMMYFUNCTION("""COMPUTED_VALUE"""),6.0)</f>
        <v>6</v>
      </c>
      <c r="E218" s="122">
        <f>IFERROR(__xludf.DUMMYFUNCTION("""COMPUTED_VALUE"""),3.0)</f>
        <v>3</v>
      </c>
      <c r="F218" s="122">
        <f>IFERROR(__xludf.DUMMYFUNCTION("""COMPUTED_VALUE"""),10.0)</f>
        <v>10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IFERROR(__xludf.DUMMYFUNCTION("""COMPUTED_VALUE"""),"Rajesh Dorairaj")</f>
        <v>Rajesh Dorairaj</v>
      </c>
      <c r="C219" s="122">
        <f>IFERROR(__xludf.DUMMYFUNCTION("""COMPUTED_VALUE"""),1.0)</f>
        <v>1</v>
      </c>
      <c r="D219" s="122">
        <f>IFERROR(__xludf.DUMMYFUNCTION("""COMPUTED_VALUE"""),4.0)</f>
        <v>4</v>
      </c>
      <c r="E219" s="122">
        <f>IFERROR(__xludf.DUMMYFUNCTION("""COMPUTED_VALUE"""),6.0)</f>
        <v>6</v>
      </c>
      <c r="F219" s="122">
        <f>IFERROR(__xludf.DUMMYFUNCTION("""COMPUTED_VALUE"""),11.0)</f>
        <v>11</v>
      </c>
      <c r="G219" s="122">
        <f>IFERROR(__xludf.DUMMYFUNCTION("""COMPUTED_VALUE"""),1.0)</f>
        <v>1</v>
      </c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64"/>
      <c r="B231" s="124" t="s">
        <v>177</v>
      </c>
      <c r="C231" s="1"/>
      <c r="D231" s="105" t="s">
        <v>155</v>
      </c>
      <c r="E231" s="25"/>
      <c r="F231" s="26"/>
    </row>
    <row r="232">
      <c r="A232" s="126">
        <v>1.0</v>
      </c>
      <c r="B232" s="127" t="str">
        <f>IFERROR(__xludf.DUMMYFUNCTION("QUERY(B5:R69,""Select B where R = 'X' order by B asc"",0)"),"Alex Hou")</f>
        <v>Alex Hou</v>
      </c>
      <c r="C232" s="1"/>
      <c r="D232" s="128" t="str">
        <f>IFERROR(__xludf.DUMMYFUNCTION("QUERY(B5:R69,""Select B where R &lt;&gt; 'X' order by B asc"",0)"),"Adrian Tay")</f>
        <v>Adrian Tay</v>
      </c>
      <c r="E232" s="25"/>
      <c r="F232" s="26"/>
    </row>
    <row r="233">
      <c r="A233" s="126">
        <f t="shared" ref="A233:A296" si="91">A232+1</f>
        <v>2</v>
      </c>
      <c r="B233" s="127" t="str">
        <f>IFERROR(__xludf.DUMMYFUNCTION("""COMPUTED_VALUE"""),"Allen Zhang")</f>
        <v>Allen Zhang</v>
      </c>
      <c r="C233" s="1"/>
      <c r="D233" s="128" t="str">
        <f>IFERROR(__xludf.DUMMYFUNCTION("""COMPUTED_VALUE"""),"Alejandro Mejia")</f>
        <v>Alejandro Mejia</v>
      </c>
      <c r="E233" s="25"/>
      <c r="F233" s="26"/>
    </row>
    <row r="234">
      <c r="A234" s="126">
        <f t="shared" si="91"/>
        <v>3</v>
      </c>
      <c r="B234" s="127" t="str">
        <f>IFERROR(__xludf.DUMMYFUNCTION("""COMPUTED_VALUE"""),"Andrew Wen")</f>
        <v>Andrew Wen</v>
      </c>
      <c r="C234" s="1"/>
      <c r="D234" s="128" t="str">
        <f>IFERROR(__xludf.DUMMYFUNCTION("""COMPUTED_VALUE"""),"Erik Hoeckmann")</f>
        <v>Erik Hoeckmann</v>
      </c>
      <c r="E234" s="25"/>
      <c r="F234" s="26"/>
    </row>
    <row r="235">
      <c r="A235" s="126">
        <f t="shared" si="91"/>
        <v>4</v>
      </c>
      <c r="B235" s="127" t="str">
        <f>IFERROR(__xludf.DUMMYFUNCTION("""COMPUTED_VALUE"""),"Balaji Alahari")</f>
        <v>Balaji Alahari</v>
      </c>
      <c r="C235" s="1"/>
      <c r="D235" s="128" t="str">
        <f>IFERROR(__xludf.DUMMYFUNCTION("""COMPUTED_VALUE"""),"Hubert J Sung")</f>
        <v>Hubert J Sung</v>
      </c>
      <c r="E235" s="25"/>
      <c r="F235" s="26"/>
    </row>
    <row r="236">
      <c r="A236" s="126">
        <f t="shared" si="91"/>
        <v>5</v>
      </c>
      <c r="B236" s="127" t="str">
        <f>IFERROR(__xludf.DUMMYFUNCTION("""COMPUTED_VALUE"""),"Barathi Sundaram")</f>
        <v>Barathi Sundaram</v>
      </c>
      <c r="C236" s="1"/>
      <c r="D236" s="128" t="str">
        <f>IFERROR(__xludf.DUMMYFUNCTION("""COMPUTED_VALUE"""),"Luis Hsu")</f>
        <v>Luis Hsu</v>
      </c>
      <c r="E236" s="25"/>
      <c r="F236" s="26"/>
    </row>
    <row r="237">
      <c r="A237" s="126">
        <f t="shared" si="91"/>
        <v>6</v>
      </c>
      <c r="B237" s="127" t="str">
        <f>IFERROR(__xludf.DUMMYFUNCTION("""COMPUTED_VALUE"""),"Basudev Thoppai Vidyasankar")</f>
        <v>Basudev Thoppai Vidyasankar</v>
      </c>
      <c r="C237" s="1"/>
      <c r="D237" s="128" t="str">
        <f>IFERROR(__xludf.DUMMYFUNCTION("""COMPUTED_VALUE"""),"Manuel Rivera")</f>
        <v>Manuel Rivera</v>
      </c>
      <c r="E237" s="25"/>
      <c r="F237" s="26"/>
    </row>
    <row r="238">
      <c r="A238" s="126">
        <f t="shared" si="91"/>
        <v>7</v>
      </c>
      <c r="B238" s="127" t="str">
        <f>IFERROR(__xludf.DUMMYFUNCTION("""COMPUTED_VALUE"""),"Chinna Ponnaganti")</f>
        <v>Chinna Ponnaganti</v>
      </c>
      <c r="C238" s="1"/>
      <c r="D238" s="128" t="str">
        <f>IFERROR(__xludf.DUMMYFUNCTION("""COMPUTED_VALUE"""),"Mauricio Palacios")</f>
        <v>Mauricio Palacios</v>
      </c>
      <c r="E238" s="25"/>
      <c r="F238" s="26"/>
    </row>
    <row r="239">
      <c r="A239" s="126">
        <f t="shared" si="91"/>
        <v>8</v>
      </c>
      <c r="B239" s="127" t="str">
        <f>IFERROR(__xludf.DUMMYFUNCTION("""COMPUTED_VALUE"""),"Cid Macaraeg")</f>
        <v>Cid Macaraeg</v>
      </c>
      <c r="C239" s="1"/>
      <c r="D239" s="128" t="str">
        <f>IFERROR(__xludf.DUMMYFUNCTION("""COMPUTED_VALUE"""),"Tyler Leong")</f>
        <v>Tyler Leong</v>
      </c>
      <c r="E239" s="25"/>
      <c r="F239" s="26"/>
    </row>
    <row r="240">
      <c r="A240" s="126">
        <f t="shared" si="91"/>
        <v>9</v>
      </c>
      <c r="B240" s="127" t="str">
        <f>IFERROR(__xludf.DUMMYFUNCTION("""COMPUTED_VALUE"""),"Coco Yan")</f>
        <v>Coco Yan</v>
      </c>
      <c r="C240" s="1"/>
      <c r="D240" s="128"/>
      <c r="E240" s="25"/>
      <c r="F240" s="26"/>
    </row>
    <row r="241">
      <c r="A241" s="126">
        <f t="shared" si="91"/>
        <v>10</v>
      </c>
      <c r="B241" s="127" t="str">
        <f>IFERROR(__xludf.DUMMYFUNCTION("""COMPUTED_VALUE"""),"Darren Wong")</f>
        <v>Darren Wong</v>
      </c>
      <c r="C241" s="1"/>
      <c r="D241" s="128"/>
      <c r="E241" s="25"/>
      <c r="F241" s="26"/>
    </row>
    <row r="242">
      <c r="A242" s="126">
        <f t="shared" si="91"/>
        <v>11</v>
      </c>
      <c r="B242" s="127" t="str">
        <f>IFERROR(__xludf.DUMMYFUNCTION("""COMPUTED_VALUE"""),"David Shin")</f>
        <v>David Shin</v>
      </c>
      <c r="C242" s="1"/>
      <c r="D242" s="128"/>
      <c r="E242" s="25"/>
      <c r="F242" s="26"/>
    </row>
    <row r="243">
      <c r="A243" s="126">
        <f t="shared" si="91"/>
        <v>12</v>
      </c>
      <c r="B243" s="127" t="str">
        <f>IFERROR(__xludf.DUMMYFUNCTION("""COMPUTED_VALUE"""),"Elayaraja Thangaraj")</f>
        <v>Elayaraja Thangaraj</v>
      </c>
      <c r="C243" s="1"/>
      <c r="D243" s="128"/>
      <c r="E243" s="25"/>
      <c r="F243" s="26"/>
    </row>
    <row r="244">
      <c r="A244" s="126">
        <f t="shared" si="91"/>
        <v>13</v>
      </c>
      <c r="B244" s="127" t="str">
        <f>IFERROR(__xludf.DUMMYFUNCTION("""COMPUTED_VALUE"""),"Eric Pan")</f>
        <v>Eric Pan</v>
      </c>
      <c r="C244" s="1"/>
      <c r="D244" s="128"/>
      <c r="E244" s="25"/>
      <c r="F244" s="26"/>
    </row>
    <row r="245">
      <c r="A245" s="126">
        <f t="shared" si="91"/>
        <v>14</v>
      </c>
      <c r="B245" s="127" t="str">
        <f>IFERROR(__xludf.DUMMYFUNCTION("""COMPUTED_VALUE"""),"Eric Tan")</f>
        <v>Eric Tan</v>
      </c>
      <c r="C245" s="1"/>
      <c r="D245" s="128"/>
      <c r="E245" s="25"/>
      <c r="F245" s="26"/>
    </row>
    <row r="246">
      <c r="A246" s="126">
        <f t="shared" si="91"/>
        <v>15</v>
      </c>
      <c r="B246" s="127" t="str">
        <f>IFERROR(__xludf.DUMMYFUNCTION("""COMPUTED_VALUE"""),"Ethan Gu")</f>
        <v>Ethan Gu</v>
      </c>
      <c r="C246" s="1"/>
      <c r="D246" s="128"/>
      <c r="E246" s="25"/>
      <c r="F246" s="26"/>
    </row>
    <row r="247">
      <c r="A247" s="126">
        <f t="shared" si="91"/>
        <v>16</v>
      </c>
      <c r="B247" s="127" t="str">
        <f>IFERROR(__xludf.DUMMYFUNCTION("""COMPUTED_VALUE"""),"Frank Moon")</f>
        <v>Frank Moon</v>
      </c>
      <c r="C247" s="1"/>
      <c r="D247" s="128"/>
      <c r="E247" s="25"/>
      <c r="F247" s="26"/>
    </row>
    <row r="248">
      <c r="A248" s="126">
        <f t="shared" si="91"/>
        <v>17</v>
      </c>
      <c r="B248" s="127" t="str">
        <f>IFERROR(__xludf.DUMMYFUNCTION("""COMPUTED_VALUE"""),"Herman Au")</f>
        <v>Herman Au</v>
      </c>
      <c r="C248" s="1"/>
      <c r="D248" s="128"/>
      <c r="E248" s="25"/>
      <c r="F248" s="26"/>
    </row>
    <row r="249">
      <c r="A249" s="126">
        <f t="shared" si="91"/>
        <v>18</v>
      </c>
      <c r="B249" s="127" t="str">
        <f>IFERROR(__xludf.DUMMYFUNCTION("""COMPUTED_VALUE"""),"Hongyuan Wen")</f>
        <v>Hongyuan Wen</v>
      </c>
      <c r="C249" s="1"/>
      <c r="D249" s="128"/>
      <c r="E249" s="25"/>
      <c r="F249" s="26"/>
    </row>
    <row r="250">
      <c r="A250" s="126">
        <f t="shared" si="91"/>
        <v>19</v>
      </c>
      <c r="B250" s="127" t="str">
        <f>IFERROR(__xludf.DUMMYFUNCTION("""COMPUTED_VALUE"""),"James Phan")</f>
        <v>James Phan</v>
      </c>
      <c r="C250" s="1"/>
      <c r="D250" s="128"/>
      <c r="E250" s="25"/>
      <c r="F250" s="26"/>
    </row>
    <row r="251">
      <c r="A251" s="126">
        <f t="shared" si="91"/>
        <v>20</v>
      </c>
      <c r="B251" s="127" t="str">
        <f>IFERROR(__xludf.DUMMYFUNCTION("""COMPUTED_VALUE"""),"Jim Miao")</f>
        <v>Jim Miao</v>
      </c>
      <c r="C251" s="1"/>
      <c r="D251" s="128"/>
      <c r="E251" s="25"/>
      <c r="F251" s="26"/>
    </row>
    <row r="252">
      <c r="A252" s="126">
        <f t="shared" si="91"/>
        <v>21</v>
      </c>
      <c r="B252" s="127" t="str">
        <f>IFERROR(__xludf.DUMMYFUNCTION("""COMPUTED_VALUE"""),"Jimmy Awolesi")</f>
        <v>Jimmy Awolesi</v>
      </c>
      <c r="C252" s="1"/>
      <c r="D252" s="128"/>
      <c r="E252" s="25"/>
      <c r="F252" s="26"/>
    </row>
    <row r="253">
      <c r="A253" s="126">
        <f t="shared" si="91"/>
        <v>22</v>
      </c>
      <c r="B253" s="127" t="str">
        <f>IFERROR(__xludf.DUMMYFUNCTION("""COMPUTED_VALUE"""),"Joe Luzzi")</f>
        <v>Joe Luzzi</v>
      </c>
      <c r="C253" s="1"/>
      <c r="D253" s="128"/>
      <c r="E253" s="25"/>
      <c r="F253" s="26"/>
    </row>
    <row r="254">
      <c r="A254" s="126">
        <f t="shared" si="91"/>
        <v>23</v>
      </c>
      <c r="B254" s="127" t="str">
        <f>IFERROR(__xludf.DUMMYFUNCTION("""COMPUTED_VALUE"""),"Jonathan Phan")</f>
        <v>Jonathan Phan</v>
      </c>
      <c r="C254" s="1"/>
      <c r="D254" s="128"/>
      <c r="E254" s="25"/>
      <c r="F254" s="26"/>
    </row>
    <row r="255">
      <c r="A255" s="126">
        <f t="shared" si="91"/>
        <v>24</v>
      </c>
      <c r="B255" s="127" t="str">
        <f>IFERROR(__xludf.DUMMYFUNCTION("""COMPUTED_VALUE"""),"Joyce Zhu")</f>
        <v>Joyce Zhu</v>
      </c>
      <c r="C255" s="1"/>
      <c r="D255" s="128"/>
      <c r="E255" s="25"/>
      <c r="F255" s="26"/>
    </row>
    <row r="256">
      <c r="A256" s="126">
        <f t="shared" si="91"/>
        <v>25</v>
      </c>
      <c r="B256" s="127" t="str">
        <f>IFERROR(__xludf.DUMMYFUNCTION("""COMPUTED_VALUE"""),"Kumar Palakeel")</f>
        <v>Kumar Palakeel</v>
      </c>
      <c r="C256" s="1"/>
      <c r="D256" s="128"/>
      <c r="E256" s="25"/>
      <c r="F256" s="26"/>
    </row>
    <row r="257">
      <c r="A257" s="126">
        <f t="shared" si="91"/>
        <v>26</v>
      </c>
      <c r="B257" s="127" t="str">
        <f>IFERROR(__xludf.DUMMYFUNCTION("""COMPUTED_VALUE"""),"Lam Bui")</f>
        <v>Lam Bui</v>
      </c>
      <c r="C257" s="1"/>
      <c r="D257" s="128"/>
      <c r="E257" s="25"/>
      <c r="F257" s="26"/>
    </row>
    <row r="258">
      <c r="A258" s="126">
        <f t="shared" si="91"/>
        <v>27</v>
      </c>
      <c r="B258" s="127" t="str">
        <f>IFERROR(__xludf.DUMMYFUNCTION("""COMPUTED_VALUE"""),"Leigh-Anh Nguyen")</f>
        <v>Leigh-Anh Nguyen</v>
      </c>
      <c r="C258" s="1"/>
      <c r="D258" s="128"/>
      <c r="E258" s="25"/>
      <c r="F258" s="26"/>
    </row>
    <row r="259">
      <c r="A259" s="126">
        <f t="shared" si="91"/>
        <v>28</v>
      </c>
      <c r="B259" s="127" t="str">
        <f>IFERROR(__xludf.DUMMYFUNCTION("""COMPUTED_VALUE"""),"Lloyd Sagar")</f>
        <v>Lloyd Sagar</v>
      </c>
      <c r="C259" s="1"/>
      <c r="D259" s="128"/>
      <c r="E259" s="25"/>
      <c r="F259" s="26"/>
    </row>
    <row r="260">
      <c r="A260" s="126">
        <f t="shared" si="91"/>
        <v>29</v>
      </c>
      <c r="B260" s="127" t="str">
        <f>IFERROR(__xludf.DUMMYFUNCTION("""COMPUTED_VALUE"""),"Manish Anand")</f>
        <v>Manish Anand</v>
      </c>
      <c r="C260" s="1"/>
      <c r="D260" s="128"/>
      <c r="E260" s="25"/>
      <c r="F260" s="26"/>
    </row>
    <row r="261">
      <c r="A261" s="126">
        <f t="shared" si="91"/>
        <v>30</v>
      </c>
      <c r="B261" s="127" t="str">
        <f>IFERROR(__xludf.DUMMYFUNCTION("""COMPUTED_VALUE"""),"Matthew Huang")</f>
        <v>Matthew Huang</v>
      </c>
      <c r="C261" s="1"/>
      <c r="D261" s="128"/>
      <c r="E261" s="25"/>
      <c r="F261" s="26"/>
    </row>
    <row r="262">
      <c r="A262" s="126">
        <f t="shared" si="91"/>
        <v>31</v>
      </c>
      <c r="B262" s="127" t="str">
        <f>IFERROR(__xludf.DUMMYFUNCTION("""COMPUTED_VALUE"""),"Naveen Raj")</f>
        <v>Naveen Raj</v>
      </c>
      <c r="C262" s="1"/>
      <c r="D262" s="128"/>
      <c r="E262" s="25"/>
      <c r="F262" s="26"/>
    </row>
    <row r="263">
      <c r="A263" s="126">
        <f t="shared" si="91"/>
        <v>32</v>
      </c>
      <c r="B263" s="127" t="str">
        <f>IFERROR(__xludf.DUMMYFUNCTION("""COMPUTED_VALUE"""),"Nicole Ni")</f>
        <v>Nicole Ni</v>
      </c>
      <c r="C263" s="1"/>
      <c r="D263" s="128"/>
      <c r="E263" s="25"/>
      <c r="F263" s="26"/>
    </row>
    <row r="264">
      <c r="A264" s="126">
        <f t="shared" si="91"/>
        <v>33</v>
      </c>
      <c r="B264" s="127" t="str">
        <f>IFERROR(__xludf.DUMMYFUNCTION("""COMPUTED_VALUE"""),"Oscar Bonilla")</f>
        <v>Oscar Bonilla</v>
      </c>
      <c r="C264" s="1"/>
      <c r="D264" s="128"/>
      <c r="E264" s="25"/>
      <c r="F264" s="26"/>
    </row>
    <row r="265">
      <c r="A265" s="126">
        <f t="shared" si="91"/>
        <v>34</v>
      </c>
      <c r="B265" s="127" t="str">
        <f>IFERROR(__xludf.DUMMYFUNCTION("""COMPUTED_VALUE"""),"Pavan Akkimsetty")</f>
        <v>Pavan Akkimsetty</v>
      </c>
      <c r="C265" s="1"/>
      <c r="D265" s="128"/>
      <c r="E265" s="25"/>
      <c r="F265" s="26"/>
    </row>
    <row r="266">
      <c r="A266" s="126">
        <f t="shared" si="91"/>
        <v>35</v>
      </c>
      <c r="B266" s="127" t="str">
        <f>IFERROR(__xludf.DUMMYFUNCTION("""COMPUTED_VALUE"""),"Pulkit Mathur")</f>
        <v>Pulkit Mathur</v>
      </c>
      <c r="C266" s="1"/>
      <c r="D266" s="128"/>
      <c r="E266" s="25"/>
      <c r="F266" s="26"/>
    </row>
    <row r="267">
      <c r="A267" s="126">
        <f t="shared" si="91"/>
        <v>36</v>
      </c>
      <c r="B267" s="127" t="str">
        <f>IFERROR(__xludf.DUMMYFUNCTION("""COMPUTED_VALUE"""),"Rajasekar Ramasamy")</f>
        <v>Rajasekar Ramasamy</v>
      </c>
      <c r="C267" s="1"/>
      <c r="D267" s="128"/>
      <c r="E267" s="25"/>
      <c r="F267" s="26"/>
    </row>
    <row r="268">
      <c r="A268" s="126">
        <f t="shared" si="91"/>
        <v>37</v>
      </c>
      <c r="B268" s="127" t="str">
        <f>IFERROR(__xludf.DUMMYFUNCTION("""COMPUTED_VALUE"""),"Rajesh Dorairaj")</f>
        <v>Rajesh Dorairaj</v>
      </c>
      <c r="C268" s="1"/>
      <c r="D268" s="128"/>
      <c r="E268" s="25"/>
      <c r="F268" s="26"/>
    </row>
    <row r="269">
      <c r="A269" s="126">
        <f t="shared" si="91"/>
        <v>38</v>
      </c>
      <c r="B269" s="127" t="str">
        <f>IFERROR(__xludf.DUMMYFUNCTION("""COMPUTED_VALUE"""),"Ramesh Bandaru")</f>
        <v>Ramesh Bandaru</v>
      </c>
      <c r="C269" s="1"/>
      <c r="D269" s="128"/>
      <c r="E269" s="25"/>
      <c r="F269" s="26"/>
    </row>
    <row r="270">
      <c r="A270" s="126">
        <f t="shared" si="91"/>
        <v>39</v>
      </c>
      <c r="B270" s="127" t="str">
        <f>IFERROR(__xludf.DUMMYFUNCTION("""COMPUTED_VALUE"""),"Robert Chang")</f>
        <v>Robert Chang</v>
      </c>
      <c r="C270" s="1"/>
      <c r="D270" s="128"/>
      <c r="E270" s="25"/>
      <c r="F270" s="26"/>
    </row>
    <row r="271">
      <c r="A271" s="126">
        <f t="shared" si="91"/>
        <v>40</v>
      </c>
      <c r="B271" s="127" t="str">
        <f>IFERROR(__xludf.DUMMYFUNCTION("""COMPUTED_VALUE"""),"Sandeep Kamalon")</f>
        <v>Sandeep Kamalon</v>
      </c>
      <c r="C271" s="1"/>
      <c r="D271" s="128"/>
      <c r="E271" s="25"/>
      <c r="F271" s="26"/>
    </row>
    <row r="272">
      <c r="A272" s="126">
        <f t="shared" si="91"/>
        <v>41</v>
      </c>
      <c r="B272" s="127" t="str">
        <f>IFERROR(__xludf.DUMMYFUNCTION("""COMPUTED_VALUE"""),"Sandy Weyant")</f>
        <v>Sandy Weyant</v>
      </c>
      <c r="C272" s="1"/>
      <c r="D272" s="128"/>
      <c r="E272" s="25"/>
      <c r="F272" s="26"/>
    </row>
    <row r="273">
      <c r="A273" s="126">
        <f t="shared" si="91"/>
        <v>42</v>
      </c>
      <c r="B273" s="127" t="str">
        <f>IFERROR(__xludf.DUMMYFUNCTION("""COMPUTED_VALUE"""),"Sanjaye Elayattu")</f>
        <v>Sanjaye Elayattu</v>
      </c>
      <c r="C273" s="1"/>
      <c r="D273" s="128"/>
      <c r="E273" s="25"/>
      <c r="F273" s="26"/>
    </row>
    <row r="274">
      <c r="A274" s="126">
        <f t="shared" si="91"/>
        <v>43</v>
      </c>
      <c r="B274" s="127" t="str">
        <f>IFERROR(__xludf.DUMMYFUNCTION("""COMPUTED_VALUE"""),"Santosh Sundaresan")</f>
        <v>Santosh Sundaresan</v>
      </c>
      <c r="C274" s="1"/>
      <c r="D274" s="128"/>
      <c r="E274" s="25"/>
      <c r="F274" s="26"/>
    </row>
    <row r="275">
      <c r="A275" s="126">
        <f t="shared" si="91"/>
        <v>44</v>
      </c>
      <c r="B275" s="16" t="str">
        <f>IFERROR(__xludf.DUMMYFUNCTION("""COMPUTED_VALUE"""),"Saravanan Veerapandian")</f>
        <v>Saravanan Veerapandian</v>
      </c>
      <c r="C275" s="1"/>
      <c r="D275" s="128"/>
      <c r="E275" s="25"/>
      <c r="F275" s="26"/>
    </row>
    <row r="276">
      <c r="A276" s="126">
        <f t="shared" si="91"/>
        <v>45</v>
      </c>
      <c r="B276" s="16" t="str">
        <f>IFERROR(__xludf.DUMMYFUNCTION("""COMPUTED_VALUE"""),"Scott Li")</f>
        <v>Scott Li</v>
      </c>
      <c r="C276" s="1"/>
      <c r="D276" s="128"/>
      <c r="E276" s="25"/>
      <c r="F276" s="26"/>
    </row>
    <row r="277">
      <c r="A277" s="126">
        <f t="shared" si="91"/>
        <v>46</v>
      </c>
      <c r="B277" s="16" t="str">
        <f>IFERROR(__xludf.DUMMYFUNCTION("""COMPUTED_VALUE"""),"Sean Chang")</f>
        <v>Sean Chang</v>
      </c>
      <c r="C277" s="1"/>
      <c r="D277" s="128"/>
      <c r="E277" s="25"/>
      <c r="F277" s="26"/>
    </row>
    <row r="278">
      <c r="A278" s="126">
        <f t="shared" si="91"/>
        <v>47</v>
      </c>
      <c r="B278" s="16" t="str">
        <f>IFERROR(__xludf.DUMMYFUNCTION("""COMPUTED_VALUE"""),"Suleman Alidina")</f>
        <v>Suleman Alidina</v>
      </c>
      <c r="C278" s="1"/>
      <c r="D278" s="128"/>
      <c r="E278" s="25"/>
      <c r="F278" s="26"/>
    </row>
    <row r="279">
      <c r="A279" s="126">
        <f t="shared" si="91"/>
        <v>48</v>
      </c>
      <c r="B279" s="16" t="str">
        <f>IFERROR(__xludf.DUMMYFUNCTION("""COMPUTED_VALUE"""),"Susanta Mishra")</f>
        <v>Susanta Mishra</v>
      </c>
      <c r="C279" s="1"/>
      <c r="D279" s="128"/>
      <c r="E279" s="25"/>
      <c r="F279" s="26"/>
    </row>
    <row r="280">
      <c r="A280" s="126">
        <f t="shared" si="91"/>
        <v>49</v>
      </c>
      <c r="B280" s="16" t="str">
        <f>IFERROR(__xludf.DUMMYFUNCTION("""COMPUTED_VALUE"""),"Ted Shen")</f>
        <v>Ted Shen</v>
      </c>
      <c r="C280" s="1"/>
      <c r="D280" s="128"/>
      <c r="E280" s="25"/>
      <c r="F280" s="26"/>
    </row>
    <row r="281">
      <c r="A281" s="126">
        <f t="shared" si="91"/>
        <v>50</v>
      </c>
      <c r="B281" s="16" t="str">
        <f>IFERROR(__xludf.DUMMYFUNCTION("""COMPUTED_VALUE"""),"Tina Hanson")</f>
        <v>Tina Hanson</v>
      </c>
      <c r="C281" s="1"/>
      <c r="D281" s="128"/>
      <c r="E281" s="25"/>
      <c r="F281" s="26"/>
    </row>
    <row r="282">
      <c r="A282" s="126">
        <f t="shared" si="91"/>
        <v>51</v>
      </c>
      <c r="B282" s="16" t="str">
        <f>IFERROR(__xludf.DUMMYFUNCTION("""COMPUTED_VALUE"""),"Tom Le")</f>
        <v>Tom Le</v>
      </c>
      <c r="C282" s="1"/>
      <c r="D282" s="128"/>
      <c r="E282" s="25"/>
      <c r="F282" s="26"/>
    </row>
    <row r="283">
      <c r="A283" s="126">
        <f t="shared" si="91"/>
        <v>52</v>
      </c>
      <c r="B283" s="16" t="str">
        <f>IFERROR(__xludf.DUMMYFUNCTION("""COMPUTED_VALUE"""),"Trish Newlin")</f>
        <v>Trish Newlin</v>
      </c>
      <c r="C283" s="1"/>
      <c r="D283" s="128"/>
      <c r="E283" s="25"/>
      <c r="F283" s="26"/>
    </row>
    <row r="284">
      <c r="A284" s="126">
        <f t="shared" si="91"/>
        <v>53</v>
      </c>
      <c r="B284" s="16" t="str">
        <f>IFERROR(__xludf.DUMMYFUNCTION("""COMPUTED_VALUE"""),"Troy Wong")</f>
        <v>Troy Wong</v>
      </c>
      <c r="C284" s="1"/>
      <c r="D284" s="128"/>
      <c r="E284" s="25"/>
      <c r="F284" s="26"/>
    </row>
    <row r="285">
      <c r="A285" s="126">
        <f t="shared" si="91"/>
        <v>54</v>
      </c>
      <c r="B285" s="16" t="str">
        <f>IFERROR(__xludf.DUMMYFUNCTION("""COMPUTED_VALUE"""),"Vicki Martinet")</f>
        <v>Vicki Martinet</v>
      </c>
      <c r="C285" s="1"/>
      <c r="D285" s="128"/>
      <c r="E285" s="25"/>
      <c r="F285" s="26"/>
    </row>
    <row r="286">
      <c r="A286" s="126">
        <f t="shared" si="91"/>
        <v>55</v>
      </c>
      <c r="B286" s="16" t="str">
        <f>IFERROR(__xludf.DUMMYFUNCTION("""COMPUTED_VALUE"""),"Vinaya Kajla")</f>
        <v>Vinaya Kajla</v>
      </c>
      <c r="C286" s="1"/>
      <c r="D286" s="128"/>
      <c r="E286" s="25"/>
      <c r="F286" s="26"/>
    </row>
    <row r="287">
      <c r="A287" s="126">
        <f t="shared" si="91"/>
        <v>56</v>
      </c>
      <c r="B287" s="16" t="str">
        <f>IFERROR(__xludf.DUMMYFUNCTION("""COMPUTED_VALUE"""),"Vishnu Amarnath")</f>
        <v>Vishnu Amarnath</v>
      </c>
      <c r="C287" s="1"/>
      <c r="D287" s="128"/>
      <c r="E287" s="25"/>
      <c r="F287" s="26"/>
    </row>
    <row r="288">
      <c r="A288" s="126">
        <f t="shared" si="91"/>
        <v>57</v>
      </c>
      <c r="B288" s="16" t="str">
        <f>IFERROR(__xludf.DUMMYFUNCTION("""COMPUTED_VALUE"""),"Wayne Liu")</f>
        <v>Wayne Liu</v>
      </c>
      <c r="C288" s="1"/>
      <c r="D288" s="128"/>
      <c r="E288" s="25"/>
      <c r="F288" s="26"/>
    </row>
    <row r="289">
      <c r="A289" s="126">
        <f t="shared" si="91"/>
        <v>58</v>
      </c>
      <c r="B289" s="16"/>
      <c r="C289" s="1"/>
      <c r="D289" s="128"/>
      <c r="E289" s="25"/>
      <c r="F289" s="26"/>
    </row>
    <row r="290">
      <c r="A290" s="126">
        <f t="shared" si="91"/>
        <v>59</v>
      </c>
      <c r="B290" s="16"/>
      <c r="C290" s="1"/>
      <c r="D290" s="128"/>
      <c r="E290" s="25"/>
      <c r="F290" s="26"/>
    </row>
    <row r="291">
      <c r="A291" s="126">
        <f t="shared" si="91"/>
        <v>60</v>
      </c>
      <c r="B291" s="16"/>
      <c r="C291" s="1"/>
      <c r="D291" s="128"/>
      <c r="E291" s="25"/>
      <c r="F291" s="26"/>
    </row>
    <row r="292">
      <c r="A292" s="126">
        <f t="shared" si="91"/>
        <v>61</v>
      </c>
      <c r="B292" s="16"/>
      <c r="C292" s="1"/>
      <c r="D292" s="128"/>
      <c r="E292" s="25"/>
      <c r="F292" s="26"/>
    </row>
    <row r="293">
      <c r="A293" s="126">
        <f t="shared" si="91"/>
        <v>62</v>
      </c>
      <c r="B293" s="16"/>
      <c r="C293" s="1"/>
      <c r="D293" s="128"/>
      <c r="E293" s="25"/>
      <c r="F293" s="26"/>
    </row>
    <row r="294">
      <c r="A294" s="126">
        <f t="shared" si="91"/>
        <v>63</v>
      </c>
      <c r="B294" s="16"/>
      <c r="C294" s="1"/>
      <c r="D294" s="128"/>
      <c r="E294" s="25"/>
      <c r="F294" s="26"/>
    </row>
    <row r="295">
      <c r="A295" s="126">
        <f t="shared" si="91"/>
        <v>64</v>
      </c>
      <c r="B295" s="16"/>
      <c r="C295" s="1"/>
      <c r="D295" s="128"/>
      <c r="E295" s="25"/>
      <c r="F295" s="26"/>
    </row>
    <row r="296">
      <c r="A296" s="126">
        <f t="shared" si="91"/>
        <v>65</v>
      </c>
      <c r="B296" s="16"/>
      <c r="C296" s="1"/>
      <c r="D296" s="128"/>
      <c r="E296" s="25"/>
      <c r="F296" s="26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83"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91:F291"/>
    <mergeCell ref="D292:F292"/>
    <mergeCell ref="D293:F293"/>
    <mergeCell ref="D294:F294"/>
    <mergeCell ref="D295:F295"/>
    <mergeCell ref="D296:F296"/>
    <mergeCell ref="D284:F284"/>
    <mergeCell ref="D285:F285"/>
    <mergeCell ref="D286:F286"/>
    <mergeCell ref="D287:F287"/>
    <mergeCell ref="D288:F288"/>
    <mergeCell ref="D289:F289"/>
    <mergeCell ref="D290:F290"/>
    <mergeCell ref="C1:F1"/>
    <mergeCell ref="I1:K1"/>
    <mergeCell ref="L1:M1"/>
    <mergeCell ref="B2:C2"/>
    <mergeCell ref="C3:E3"/>
    <mergeCell ref="F3:M3"/>
    <mergeCell ref="N3:O3"/>
    <mergeCell ref="P73:R73"/>
    <mergeCell ref="P74:Q74"/>
    <mergeCell ref="B75:J75"/>
    <mergeCell ref="P75:Q75"/>
    <mergeCell ref="P76:Q76"/>
    <mergeCell ref="B78:E78"/>
    <mergeCell ref="B97:G97"/>
    <mergeCell ref="A115:E115"/>
    <mergeCell ref="B131:C131"/>
    <mergeCell ref="A150:B15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45990.0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22.0</v>
      </c>
      <c r="E2" s="1"/>
      <c r="F2" s="1"/>
      <c r="R2" s="17"/>
      <c r="AC2" s="21" t="str">
        <f>text(C1-7,"mm/dd/yy")</f>
        <v>11/22/25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290.0</v>
      </c>
      <c r="D5" s="34">
        <v>33.0</v>
      </c>
      <c r="E5" s="35">
        <f t="shared" ref="E5:E69" si="2">if(S5&gt;0,(C5-(V5*9)-(T5*13))/S5,0)</f>
        <v>15.13333333</v>
      </c>
      <c r="F5" s="95">
        <v>1.0</v>
      </c>
      <c r="G5" s="96">
        <v>1.0</v>
      </c>
      <c r="H5" s="97">
        <v>0.0</v>
      </c>
      <c r="I5" s="96">
        <v>6.0</v>
      </c>
      <c r="J5" s="96">
        <v>6.0</v>
      </c>
      <c r="K5" s="96">
        <v>6.0</v>
      </c>
      <c r="L5" s="98">
        <v>18.0</v>
      </c>
      <c r="M5" s="96">
        <v>3.0</v>
      </c>
      <c r="N5" s="34">
        <f t="shared" ref="N5:O5" si="1">C5+L5</f>
        <v>308</v>
      </c>
      <c r="O5" s="34">
        <f t="shared" si="1"/>
        <v>36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15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7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285.0</v>
      </c>
      <c r="D6" s="34">
        <v>31.0</v>
      </c>
      <c r="E6" s="35">
        <f t="shared" si="2"/>
        <v>14.53333333</v>
      </c>
      <c r="F6" s="95">
        <v>2.0</v>
      </c>
      <c r="G6" s="96">
        <v>1.0</v>
      </c>
      <c r="H6" s="97">
        <v>0.0</v>
      </c>
      <c r="I6" s="96">
        <v>2.0</v>
      </c>
      <c r="J6" s="96">
        <v>3.0</v>
      </c>
      <c r="K6" s="96">
        <v>6.0</v>
      </c>
      <c r="L6" s="98">
        <v>11.0</v>
      </c>
      <c r="M6" s="96">
        <v>1.0</v>
      </c>
      <c r="N6" s="34">
        <f t="shared" ref="N6:O6" si="3">C6+L6</f>
        <v>296</v>
      </c>
      <c r="O6" s="34">
        <f t="shared" si="3"/>
        <v>32</v>
      </c>
      <c r="P6" s="49" t="s">
        <v>58</v>
      </c>
      <c r="Q6" s="49" t="s">
        <v>58</v>
      </c>
      <c r="R6" s="49"/>
      <c r="S6" s="50">
        <f t="shared" si="4"/>
        <v>15</v>
      </c>
      <c r="T6" s="52">
        <f t="shared" si="5"/>
        <v>1</v>
      </c>
      <c r="U6" s="52"/>
      <c r="V6" s="50">
        <f t="shared" si="6"/>
        <v>6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283.0</v>
      </c>
      <c r="D7" s="34">
        <v>29.0</v>
      </c>
      <c r="E7" s="35">
        <f t="shared" si="2"/>
        <v>13.72222222</v>
      </c>
      <c r="F7" s="95">
        <v>3.0</v>
      </c>
      <c r="G7" s="96">
        <v>0.0</v>
      </c>
      <c r="H7" s="97">
        <v>9.0</v>
      </c>
      <c r="I7" s="96">
        <v>0.0</v>
      </c>
      <c r="J7" s="96">
        <v>0.0</v>
      </c>
      <c r="K7" s="96">
        <v>0.0</v>
      </c>
      <c r="L7" s="98">
        <v>9.0</v>
      </c>
      <c r="M7" s="96">
        <v>0.0</v>
      </c>
      <c r="N7" s="34">
        <f t="shared" ref="N7:O7" si="11">C7+L7</f>
        <v>292</v>
      </c>
      <c r="O7" s="34">
        <f t="shared" si="11"/>
        <v>29</v>
      </c>
      <c r="P7" s="49" t="s">
        <v>58</v>
      </c>
      <c r="Q7" s="49" t="s">
        <v>58</v>
      </c>
      <c r="R7" s="49"/>
      <c r="S7" s="50">
        <f t="shared" si="4"/>
        <v>18</v>
      </c>
      <c r="T7" s="52">
        <f t="shared" si="5"/>
        <v>0</v>
      </c>
      <c r="U7" s="52"/>
      <c r="V7" s="50">
        <f t="shared" si="6"/>
        <v>4</v>
      </c>
      <c r="W7" s="52">
        <f t="shared" si="7"/>
        <v>0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90</v>
      </c>
      <c r="C8" s="34">
        <v>273.0</v>
      </c>
      <c r="D8" s="34">
        <v>31.0</v>
      </c>
      <c r="E8" s="35">
        <f t="shared" si="2"/>
        <v>12.55</v>
      </c>
      <c r="F8" s="95">
        <v>1.0</v>
      </c>
      <c r="G8" s="96">
        <v>1.0</v>
      </c>
      <c r="H8" s="97">
        <v>0.0</v>
      </c>
      <c r="I8" s="96">
        <v>2.0</v>
      </c>
      <c r="J8" s="96">
        <v>6.0</v>
      </c>
      <c r="K8" s="96">
        <v>2.0</v>
      </c>
      <c r="L8" s="98">
        <v>10.0</v>
      </c>
      <c r="M8" s="96">
        <v>1.0</v>
      </c>
      <c r="N8" s="34">
        <f t="shared" ref="N8:O8" si="13">C8+L8</f>
        <v>283</v>
      </c>
      <c r="O8" s="34">
        <f t="shared" si="13"/>
        <v>32</v>
      </c>
      <c r="P8" s="49" t="s">
        <v>58</v>
      </c>
      <c r="Q8" s="49" t="s">
        <v>58</v>
      </c>
      <c r="R8" s="49"/>
      <c r="S8" s="50">
        <f t="shared" si="4"/>
        <v>20</v>
      </c>
      <c r="T8" s="52">
        <f t="shared" si="5"/>
        <v>1</v>
      </c>
      <c r="U8" s="52"/>
      <c r="V8" s="50">
        <f t="shared" si="6"/>
        <v>1</v>
      </c>
      <c r="W8" s="52">
        <f t="shared" si="7"/>
        <v>0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84</v>
      </c>
      <c r="C9" s="34">
        <v>271.0</v>
      </c>
      <c r="D9" s="34">
        <v>27.0</v>
      </c>
      <c r="E9" s="35">
        <f t="shared" si="2"/>
        <v>13.5625</v>
      </c>
      <c r="F9" s="95">
        <v>2.0</v>
      </c>
      <c r="G9" s="96">
        <v>1.0</v>
      </c>
      <c r="H9" s="97">
        <v>0.0</v>
      </c>
      <c r="I9" s="96">
        <v>6.0</v>
      </c>
      <c r="J9" s="96">
        <v>3.0</v>
      </c>
      <c r="K9" s="96">
        <v>2.0</v>
      </c>
      <c r="L9" s="98">
        <v>11.0</v>
      </c>
      <c r="M9" s="96">
        <v>1.0</v>
      </c>
      <c r="N9" s="34">
        <f t="shared" ref="N9:O9" si="14">C9+L9</f>
        <v>282</v>
      </c>
      <c r="O9" s="34">
        <f t="shared" si="14"/>
        <v>28</v>
      </c>
      <c r="P9" s="49" t="s">
        <v>58</v>
      </c>
      <c r="Q9" s="49" t="s">
        <v>58</v>
      </c>
      <c r="R9" s="49"/>
      <c r="S9" s="50">
        <f t="shared" si="4"/>
        <v>16</v>
      </c>
      <c r="T9" s="52">
        <f t="shared" si="5"/>
        <v>0</v>
      </c>
      <c r="U9" s="52"/>
      <c r="V9" s="50">
        <f t="shared" si="6"/>
        <v>6</v>
      </c>
      <c r="W9" s="52">
        <f t="shared" si="7"/>
        <v>3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91</v>
      </c>
      <c r="C10" s="34">
        <v>269.0</v>
      </c>
      <c r="D10" s="34">
        <v>29.0</v>
      </c>
      <c r="E10" s="35">
        <f t="shared" si="2"/>
        <v>12.35</v>
      </c>
      <c r="F10" s="95">
        <v>1.0</v>
      </c>
      <c r="G10" s="96">
        <v>2.0</v>
      </c>
      <c r="H10" s="97">
        <v>0.0</v>
      </c>
      <c r="I10" s="96">
        <v>4.0</v>
      </c>
      <c r="J10" s="96">
        <v>6.0</v>
      </c>
      <c r="K10" s="96">
        <v>6.0</v>
      </c>
      <c r="L10" s="98">
        <v>16.0</v>
      </c>
      <c r="M10" s="96">
        <v>1.0</v>
      </c>
      <c r="N10" s="34">
        <f t="shared" ref="N10:O10" si="15">C10+L10</f>
        <v>285</v>
      </c>
      <c r="O10" s="34">
        <f t="shared" si="15"/>
        <v>30</v>
      </c>
      <c r="P10" s="49" t="s">
        <v>58</v>
      </c>
      <c r="Q10" s="49" t="s">
        <v>58</v>
      </c>
      <c r="R10" s="49"/>
      <c r="S10" s="50">
        <f t="shared" si="4"/>
        <v>20</v>
      </c>
      <c r="T10" s="52">
        <f t="shared" si="5"/>
        <v>1</v>
      </c>
      <c r="U10" s="52"/>
      <c r="V10" s="50">
        <f t="shared" si="6"/>
        <v>1</v>
      </c>
      <c r="W10" s="52">
        <f t="shared" si="7"/>
        <v>-1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83</v>
      </c>
      <c r="C11" s="34">
        <v>269.0</v>
      </c>
      <c r="D11" s="34">
        <v>26.0</v>
      </c>
      <c r="E11" s="35">
        <f t="shared" si="2"/>
        <v>14.15384615</v>
      </c>
      <c r="F11" s="95">
        <v>2.0</v>
      </c>
      <c r="G11" s="96">
        <v>2.0</v>
      </c>
      <c r="H11" s="97">
        <v>0.0</v>
      </c>
      <c r="I11" s="96">
        <v>6.0</v>
      </c>
      <c r="J11" s="96">
        <v>7.0</v>
      </c>
      <c r="K11" s="96">
        <v>6.0</v>
      </c>
      <c r="L11" s="98">
        <v>19.0</v>
      </c>
      <c r="M11" s="96">
        <v>3.0</v>
      </c>
      <c r="N11" s="34">
        <f t="shared" ref="N11:O11" si="16">C11+L11</f>
        <v>288</v>
      </c>
      <c r="O11" s="34">
        <f t="shared" si="16"/>
        <v>29</v>
      </c>
      <c r="P11" s="49" t="s">
        <v>58</v>
      </c>
      <c r="Q11" s="49" t="s">
        <v>58</v>
      </c>
      <c r="R11" s="49"/>
      <c r="S11" s="50">
        <f t="shared" si="4"/>
        <v>13</v>
      </c>
      <c r="T11" s="52">
        <f t="shared" si="5"/>
        <v>1</v>
      </c>
      <c r="U11" s="52"/>
      <c r="V11" s="50">
        <f t="shared" si="6"/>
        <v>8</v>
      </c>
      <c r="W11" s="52">
        <f t="shared" si="7"/>
        <v>4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113</v>
      </c>
      <c r="C12" s="34">
        <v>268.0</v>
      </c>
      <c r="D12" s="34">
        <v>24.0</v>
      </c>
      <c r="E12" s="35">
        <f t="shared" si="2"/>
        <v>13.11764706</v>
      </c>
      <c r="F12" s="95">
        <v>1.0</v>
      </c>
      <c r="G12" s="96">
        <v>2.0</v>
      </c>
      <c r="H12" s="97">
        <v>0.0</v>
      </c>
      <c r="I12" s="96">
        <v>4.0</v>
      </c>
      <c r="J12" s="96">
        <v>7.0</v>
      </c>
      <c r="K12" s="96">
        <v>4.0</v>
      </c>
      <c r="L12" s="98">
        <v>15.0</v>
      </c>
      <c r="M12" s="96">
        <v>1.0</v>
      </c>
      <c r="N12" s="34">
        <f t="shared" ref="N12:O12" si="17">C12+L12</f>
        <v>283</v>
      </c>
      <c r="O12" s="34">
        <f t="shared" si="17"/>
        <v>25</v>
      </c>
      <c r="P12" s="49" t="s">
        <v>58</v>
      </c>
      <c r="Q12" s="49" t="s">
        <v>58</v>
      </c>
      <c r="R12" s="49"/>
      <c r="S12" s="50">
        <f t="shared" si="4"/>
        <v>17</v>
      </c>
      <c r="T12" s="52">
        <f t="shared" si="5"/>
        <v>0</v>
      </c>
      <c r="U12" s="52"/>
      <c r="V12" s="50">
        <f t="shared" si="6"/>
        <v>5</v>
      </c>
      <c r="W12" s="52">
        <f t="shared" si="7"/>
        <v>-1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98</v>
      </c>
      <c r="C13" s="34">
        <v>267.0</v>
      </c>
      <c r="D13" s="34">
        <v>30.0</v>
      </c>
      <c r="E13" s="35">
        <f t="shared" si="2"/>
        <v>12.28571429</v>
      </c>
      <c r="F13" s="95">
        <v>1.0</v>
      </c>
      <c r="G13" s="96">
        <v>2.0</v>
      </c>
      <c r="H13" s="97">
        <v>0.0</v>
      </c>
      <c r="I13" s="96">
        <v>6.0</v>
      </c>
      <c r="J13" s="96">
        <v>6.0</v>
      </c>
      <c r="K13" s="96">
        <v>4.0</v>
      </c>
      <c r="L13" s="98">
        <v>16.0</v>
      </c>
      <c r="M13" s="96">
        <v>1.0</v>
      </c>
      <c r="N13" s="34">
        <f t="shared" ref="N13:O13" si="18">C13+L13</f>
        <v>283</v>
      </c>
      <c r="O13" s="34">
        <f t="shared" si="18"/>
        <v>31</v>
      </c>
      <c r="P13" s="49" t="s">
        <v>58</v>
      </c>
      <c r="Q13" s="49" t="s">
        <v>58</v>
      </c>
      <c r="R13" s="49"/>
      <c r="S13" s="50">
        <f t="shared" si="4"/>
        <v>21</v>
      </c>
      <c r="T13" s="52">
        <f t="shared" si="5"/>
        <v>0</v>
      </c>
      <c r="U13" s="52"/>
      <c r="V13" s="50">
        <f t="shared" si="6"/>
        <v>1</v>
      </c>
      <c r="W13" s="52">
        <f t="shared" si="7"/>
        <v>0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94</v>
      </c>
      <c r="C14" s="34">
        <v>266.0</v>
      </c>
      <c r="D14" s="34">
        <v>24.0</v>
      </c>
      <c r="E14" s="35">
        <f t="shared" si="2"/>
        <v>12.4</v>
      </c>
      <c r="F14" s="95">
        <v>1.0</v>
      </c>
      <c r="G14" s="96">
        <v>3.0</v>
      </c>
      <c r="H14" s="97">
        <v>0.0</v>
      </c>
      <c r="I14" s="96">
        <v>3.0</v>
      </c>
      <c r="J14" s="96">
        <v>7.0</v>
      </c>
      <c r="K14" s="96">
        <v>6.0</v>
      </c>
      <c r="L14" s="98">
        <v>16.0</v>
      </c>
      <c r="M14" s="96">
        <v>2.0</v>
      </c>
      <c r="N14" s="34">
        <f t="shared" ref="N14:O14" si="19">C14+L14</f>
        <v>282</v>
      </c>
      <c r="O14" s="34">
        <f t="shared" si="19"/>
        <v>26</v>
      </c>
      <c r="P14" s="49" t="s">
        <v>58</v>
      </c>
      <c r="Q14" s="49" t="s">
        <v>58</v>
      </c>
      <c r="R14" s="49"/>
      <c r="S14" s="50">
        <f t="shared" si="4"/>
        <v>20</v>
      </c>
      <c r="T14" s="52">
        <f t="shared" si="5"/>
        <v>0</v>
      </c>
      <c r="U14" s="52"/>
      <c r="V14" s="50">
        <f t="shared" si="6"/>
        <v>2</v>
      </c>
      <c r="W14" s="52">
        <f t="shared" si="7"/>
        <v>0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134</v>
      </c>
      <c r="C15" s="34">
        <v>265.0</v>
      </c>
      <c r="D15" s="34">
        <v>27.0</v>
      </c>
      <c r="E15" s="35">
        <f t="shared" si="2"/>
        <v>14.15384615</v>
      </c>
      <c r="F15" s="95">
        <v>3.0</v>
      </c>
      <c r="G15" s="96">
        <v>0.0</v>
      </c>
      <c r="H15" s="97">
        <v>9.0</v>
      </c>
      <c r="I15" s="96">
        <v>0.0</v>
      </c>
      <c r="J15" s="96">
        <v>0.0</v>
      </c>
      <c r="K15" s="96">
        <v>0.0</v>
      </c>
      <c r="L15" s="98">
        <v>9.0</v>
      </c>
      <c r="M15" s="96">
        <v>0.0</v>
      </c>
      <c r="N15" s="34">
        <f t="shared" ref="N15:O15" si="20">C15+L15</f>
        <v>274</v>
      </c>
      <c r="O15" s="34">
        <f t="shared" si="20"/>
        <v>27</v>
      </c>
      <c r="P15" s="49" t="s">
        <v>58</v>
      </c>
      <c r="Q15" s="49" t="s">
        <v>58</v>
      </c>
      <c r="R15" s="49"/>
      <c r="S15" s="50">
        <f t="shared" si="4"/>
        <v>13</v>
      </c>
      <c r="T15" s="52">
        <f t="shared" si="5"/>
        <v>0</v>
      </c>
      <c r="U15" s="52"/>
      <c r="V15" s="50">
        <f t="shared" si="6"/>
        <v>9</v>
      </c>
      <c r="W15" s="52">
        <f t="shared" si="7"/>
        <v>-5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125</v>
      </c>
      <c r="C16" s="34">
        <v>258.0</v>
      </c>
      <c r="D16" s="34">
        <v>23.0</v>
      </c>
      <c r="E16" s="35">
        <f t="shared" si="2"/>
        <v>12.75</v>
      </c>
      <c r="F16" s="95">
        <v>1.0</v>
      </c>
      <c r="G16" s="96">
        <v>3.0</v>
      </c>
      <c r="H16" s="97">
        <v>0.0</v>
      </c>
      <c r="I16" s="96">
        <v>3.0</v>
      </c>
      <c r="J16" s="96">
        <v>6.0</v>
      </c>
      <c r="K16" s="96">
        <v>3.0</v>
      </c>
      <c r="L16" s="98">
        <v>12.0</v>
      </c>
      <c r="M16" s="96">
        <v>0.0</v>
      </c>
      <c r="N16" s="34">
        <f t="shared" ref="N16:O16" si="21">C16+L16</f>
        <v>270</v>
      </c>
      <c r="O16" s="34">
        <f t="shared" si="21"/>
        <v>23</v>
      </c>
      <c r="P16" s="49" t="s">
        <v>58</v>
      </c>
      <c r="Q16" s="49" t="s">
        <v>58</v>
      </c>
      <c r="R16" s="49"/>
      <c r="S16" s="50">
        <f t="shared" si="4"/>
        <v>16</v>
      </c>
      <c r="T16" s="52">
        <f t="shared" si="5"/>
        <v>0</v>
      </c>
      <c r="U16" s="52"/>
      <c r="V16" s="50">
        <f t="shared" si="6"/>
        <v>6</v>
      </c>
      <c r="W16" s="52">
        <f t="shared" si="7"/>
        <v>6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103</v>
      </c>
      <c r="C17" s="34">
        <v>258.0</v>
      </c>
      <c r="D17" s="34">
        <v>18.0</v>
      </c>
      <c r="E17" s="35">
        <f t="shared" si="2"/>
        <v>12.29411765</v>
      </c>
      <c r="F17" s="95">
        <v>2.0</v>
      </c>
      <c r="G17" s="96">
        <v>3.0</v>
      </c>
      <c r="H17" s="97">
        <v>0.0</v>
      </c>
      <c r="I17" s="96">
        <v>6.0</v>
      </c>
      <c r="J17" s="96">
        <v>6.0</v>
      </c>
      <c r="K17" s="96">
        <v>6.0</v>
      </c>
      <c r="L17" s="98">
        <v>18.0</v>
      </c>
      <c r="M17" s="96">
        <v>2.0</v>
      </c>
      <c r="N17" s="34">
        <f t="shared" ref="N17:O17" si="22">C17+L17</f>
        <v>276</v>
      </c>
      <c r="O17" s="34">
        <f t="shared" si="22"/>
        <v>20</v>
      </c>
      <c r="P17" s="49" t="s">
        <v>58</v>
      </c>
      <c r="Q17" s="49" t="s">
        <v>58</v>
      </c>
      <c r="R17" s="49"/>
      <c r="S17" s="50">
        <f t="shared" si="4"/>
        <v>17</v>
      </c>
      <c r="T17" s="52">
        <f t="shared" si="5"/>
        <v>1</v>
      </c>
      <c r="U17" s="52"/>
      <c r="V17" s="50">
        <f t="shared" si="6"/>
        <v>4</v>
      </c>
      <c r="W17" s="52">
        <f t="shared" si="7"/>
        <v>1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107</v>
      </c>
      <c r="C18" s="34">
        <v>257.0</v>
      </c>
      <c r="D18" s="34">
        <v>23.0</v>
      </c>
      <c r="E18" s="35">
        <f t="shared" si="2"/>
        <v>13.23076923</v>
      </c>
      <c r="F18" s="95">
        <v>3.0</v>
      </c>
      <c r="G18" s="96">
        <v>0.0</v>
      </c>
      <c r="H18" s="97">
        <v>9.0</v>
      </c>
      <c r="I18" s="96">
        <v>0.0</v>
      </c>
      <c r="J18" s="96">
        <v>0.0</v>
      </c>
      <c r="K18" s="96">
        <v>0.0</v>
      </c>
      <c r="L18" s="98">
        <v>9.0</v>
      </c>
      <c r="M18" s="96">
        <v>0.0</v>
      </c>
      <c r="N18" s="34">
        <f t="shared" ref="N18:O18" si="23">C18+L18</f>
        <v>266</v>
      </c>
      <c r="O18" s="34">
        <f t="shared" si="23"/>
        <v>23</v>
      </c>
      <c r="P18" s="49" t="s">
        <v>58</v>
      </c>
      <c r="Q18" s="49" t="s">
        <v>58</v>
      </c>
      <c r="R18" s="49"/>
      <c r="S18" s="50">
        <f t="shared" si="4"/>
        <v>13</v>
      </c>
      <c r="T18" s="52">
        <f t="shared" si="5"/>
        <v>1</v>
      </c>
      <c r="U18" s="52"/>
      <c r="V18" s="50">
        <f t="shared" si="6"/>
        <v>8</v>
      </c>
      <c r="W18" s="52">
        <f t="shared" si="7"/>
        <v>-2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128</v>
      </c>
      <c r="C19" s="34">
        <v>256.0</v>
      </c>
      <c r="D19" s="34">
        <v>22.0</v>
      </c>
      <c r="E19" s="35">
        <f t="shared" si="2"/>
        <v>12.625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4">C19+L19</f>
        <v>265</v>
      </c>
      <c r="O19" s="34">
        <f t="shared" si="24"/>
        <v>22</v>
      </c>
      <c r="P19" s="49" t="s">
        <v>58</v>
      </c>
      <c r="Q19" s="49" t="s">
        <v>58</v>
      </c>
      <c r="R19" s="49"/>
      <c r="S19" s="50">
        <f t="shared" si="4"/>
        <v>16</v>
      </c>
      <c r="T19" s="52">
        <f t="shared" si="5"/>
        <v>0</v>
      </c>
      <c r="U19" s="52"/>
      <c r="V19" s="50">
        <f t="shared" si="6"/>
        <v>6</v>
      </c>
      <c r="W19" s="52">
        <f t="shared" si="7"/>
        <v>-2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133</v>
      </c>
      <c r="C20" s="34">
        <v>255.0</v>
      </c>
      <c r="D20" s="34">
        <v>26.0</v>
      </c>
      <c r="E20" s="35">
        <f t="shared" si="2"/>
        <v>12.35294118</v>
      </c>
      <c r="F20" s="95">
        <v>1.0</v>
      </c>
      <c r="G20" s="96">
        <v>3.0</v>
      </c>
      <c r="H20" s="97">
        <v>0.0</v>
      </c>
      <c r="I20" s="96">
        <v>6.0</v>
      </c>
      <c r="J20" s="96">
        <v>7.0</v>
      </c>
      <c r="K20" s="96">
        <v>3.0</v>
      </c>
      <c r="L20" s="98">
        <v>16.0</v>
      </c>
      <c r="M20" s="96">
        <v>2.0</v>
      </c>
      <c r="N20" s="34">
        <f t="shared" ref="N20:O20" si="25">C20+L20</f>
        <v>271</v>
      </c>
      <c r="O20" s="34">
        <f t="shared" si="25"/>
        <v>28</v>
      </c>
      <c r="P20" s="49" t="s">
        <v>58</v>
      </c>
      <c r="Q20" s="49" t="s">
        <v>58</v>
      </c>
      <c r="R20" s="49"/>
      <c r="S20" s="50">
        <f t="shared" si="4"/>
        <v>17</v>
      </c>
      <c r="T20" s="52">
        <f t="shared" si="5"/>
        <v>0</v>
      </c>
      <c r="U20" s="52"/>
      <c r="V20" s="50">
        <f t="shared" si="6"/>
        <v>5</v>
      </c>
      <c r="W20" s="52">
        <f t="shared" si="7"/>
        <v>-1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87</v>
      </c>
      <c r="C21" s="34">
        <v>255.0</v>
      </c>
      <c r="D21" s="34">
        <v>25.0</v>
      </c>
      <c r="E21" s="35">
        <f t="shared" si="2"/>
        <v>11.78947368</v>
      </c>
      <c r="F21" s="95">
        <v>1.0</v>
      </c>
      <c r="G21" s="96">
        <v>4.0</v>
      </c>
      <c r="H21" s="97">
        <v>0.0</v>
      </c>
      <c r="I21" s="96">
        <v>6.0</v>
      </c>
      <c r="J21" s="96">
        <v>6.0</v>
      </c>
      <c r="K21" s="96">
        <v>4.0</v>
      </c>
      <c r="L21" s="98">
        <v>16.0</v>
      </c>
      <c r="M21" s="96">
        <v>2.0</v>
      </c>
      <c r="N21" s="34">
        <f t="shared" ref="N21:O21" si="26">C21+L21</f>
        <v>271</v>
      </c>
      <c r="O21" s="34">
        <f t="shared" si="26"/>
        <v>27</v>
      </c>
      <c r="P21" s="49" t="s">
        <v>58</v>
      </c>
      <c r="Q21" s="49" t="s">
        <v>58</v>
      </c>
      <c r="R21" s="49"/>
      <c r="S21" s="50">
        <f t="shared" si="4"/>
        <v>19</v>
      </c>
      <c r="T21" s="52">
        <f t="shared" si="5"/>
        <v>1</v>
      </c>
      <c r="U21" s="52"/>
      <c r="V21" s="50">
        <f t="shared" si="6"/>
        <v>2</v>
      </c>
      <c r="W21" s="52">
        <f t="shared" si="7"/>
        <v>5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65</v>
      </c>
      <c r="C22" s="34">
        <v>254.0</v>
      </c>
      <c r="D22" s="34">
        <v>23.0</v>
      </c>
      <c r="E22" s="35">
        <f t="shared" si="2"/>
        <v>13.30769231</v>
      </c>
      <c r="F22" s="95">
        <v>1.0</v>
      </c>
      <c r="G22" s="96">
        <v>4.0</v>
      </c>
      <c r="H22" s="97">
        <v>0.0</v>
      </c>
      <c r="I22" s="96">
        <v>6.0</v>
      </c>
      <c r="J22" s="96">
        <v>0.0</v>
      </c>
      <c r="K22" s="96">
        <v>6.0</v>
      </c>
      <c r="L22" s="98">
        <v>12.0</v>
      </c>
      <c r="M22" s="96">
        <v>2.0</v>
      </c>
      <c r="N22" s="34">
        <f t="shared" ref="N22:O22" si="27">C22+L22</f>
        <v>266</v>
      </c>
      <c r="O22" s="34">
        <f t="shared" si="27"/>
        <v>25</v>
      </c>
      <c r="P22" s="49" t="s">
        <v>58</v>
      </c>
      <c r="Q22" s="49" t="s">
        <v>58</v>
      </c>
      <c r="R22" s="49"/>
      <c r="S22" s="50">
        <f t="shared" si="4"/>
        <v>13</v>
      </c>
      <c r="T22" s="52">
        <f t="shared" si="5"/>
        <v>0</v>
      </c>
      <c r="U22" s="52"/>
      <c r="V22" s="50">
        <f t="shared" si="6"/>
        <v>9</v>
      </c>
      <c r="W22" s="52">
        <f t="shared" si="7"/>
        <v>6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97</v>
      </c>
      <c r="C23" s="34">
        <v>253.0</v>
      </c>
      <c r="D23" s="34">
        <v>25.0</v>
      </c>
      <c r="E23" s="35">
        <f t="shared" si="2"/>
        <v>12.66666667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8">C23+L23</f>
        <v>262</v>
      </c>
      <c r="O23" s="34">
        <f t="shared" si="28"/>
        <v>25</v>
      </c>
      <c r="P23" s="49" t="s">
        <v>58</v>
      </c>
      <c r="Q23" s="49" t="s">
        <v>58</v>
      </c>
      <c r="R23" s="49"/>
      <c r="S23" s="50">
        <f t="shared" si="4"/>
        <v>15</v>
      </c>
      <c r="T23" s="52">
        <f t="shared" si="5"/>
        <v>0</v>
      </c>
      <c r="U23" s="52"/>
      <c r="V23" s="50">
        <f t="shared" si="6"/>
        <v>7</v>
      </c>
      <c r="W23" s="52">
        <f t="shared" si="7"/>
        <v>-3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111</v>
      </c>
      <c r="C24" s="34">
        <v>251.0</v>
      </c>
      <c r="D24" s="34">
        <v>21.0</v>
      </c>
      <c r="E24" s="35">
        <f t="shared" si="2"/>
        <v>11.88235294</v>
      </c>
      <c r="F24" s="95">
        <v>2.0</v>
      </c>
      <c r="G24" s="96">
        <v>4.0</v>
      </c>
      <c r="H24" s="97">
        <v>0.0</v>
      </c>
      <c r="I24" s="96">
        <v>2.0</v>
      </c>
      <c r="J24" s="96">
        <v>6.0</v>
      </c>
      <c r="K24" s="96">
        <v>6.0</v>
      </c>
      <c r="L24" s="98">
        <v>14.0</v>
      </c>
      <c r="M24" s="96">
        <v>2.0</v>
      </c>
      <c r="N24" s="34">
        <f t="shared" ref="N24:O24" si="29">C24+L24</f>
        <v>265</v>
      </c>
      <c r="O24" s="34">
        <f t="shared" si="29"/>
        <v>23</v>
      </c>
      <c r="P24" s="49" t="s">
        <v>58</v>
      </c>
      <c r="Q24" s="49" t="s">
        <v>58</v>
      </c>
      <c r="R24" s="49"/>
      <c r="S24" s="50">
        <f t="shared" si="4"/>
        <v>17</v>
      </c>
      <c r="T24" s="52">
        <f t="shared" si="5"/>
        <v>1</v>
      </c>
      <c r="U24" s="52"/>
      <c r="V24" s="50">
        <f t="shared" si="6"/>
        <v>4</v>
      </c>
      <c r="W24" s="52">
        <f t="shared" si="7"/>
        <v>-1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109</v>
      </c>
      <c r="C25" s="34">
        <v>250.0</v>
      </c>
      <c r="D25" s="34">
        <v>22.0</v>
      </c>
      <c r="E25" s="35">
        <f t="shared" si="2"/>
        <v>12.05882353</v>
      </c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30">C25+L25</f>
        <v>259</v>
      </c>
      <c r="O25" s="34">
        <f t="shared" si="30"/>
        <v>22</v>
      </c>
      <c r="P25" s="49" t="s">
        <v>58</v>
      </c>
      <c r="Q25" s="49" t="s">
        <v>58</v>
      </c>
      <c r="R25" s="49"/>
      <c r="S25" s="50">
        <f t="shared" si="4"/>
        <v>17</v>
      </c>
      <c r="T25" s="52">
        <f t="shared" si="5"/>
        <v>0</v>
      </c>
      <c r="U25" s="52"/>
      <c r="V25" s="50">
        <f t="shared" si="6"/>
        <v>5</v>
      </c>
      <c r="W25" s="52">
        <f t="shared" si="7"/>
        <v>-4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114</v>
      </c>
      <c r="C26" s="34">
        <v>250.0</v>
      </c>
      <c r="D26" s="34">
        <v>19.0</v>
      </c>
      <c r="E26" s="35">
        <f t="shared" si="2"/>
        <v>11.66666667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31">C26+L26</f>
        <v>259</v>
      </c>
      <c r="O26" s="34">
        <f t="shared" si="31"/>
        <v>19</v>
      </c>
      <c r="P26" s="49" t="s">
        <v>58</v>
      </c>
      <c r="Q26" s="49" t="s">
        <v>58</v>
      </c>
      <c r="R26" s="49"/>
      <c r="S26" s="50">
        <f t="shared" si="4"/>
        <v>18</v>
      </c>
      <c r="T26" s="52">
        <f t="shared" si="5"/>
        <v>1</v>
      </c>
      <c r="U26" s="52"/>
      <c r="V26" s="50">
        <f t="shared" si="6"/>
        <v>3</v>
      </c>
      <c r="W26" s="52">
        <f t="shared" si="7"/>
        <v>6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136</v>
      </c>
      <c r="C27" s="34">
        <v>249.0</v>
      </c>
      <c r="D27" s="34">
        <v>22.0</v>
      </c>
      <c r="E27" s="35">
        <f t="shared" si="2"/>
        <v>11.31818182</v>
      </c>
      <c r="F27" s="95">
        <v>1.0</v>
      </c>
      <c r="G27" s="96">
        <v>4.0</v>
      </c>
      <c r="H27" s="97">
        <v>0.0</v>
      </c>
      <c r="I27" s="96">
        <v>2.0</v>
      </c>
      <c r="J27" s="96">
        <v>0.0</v>
      </c>
      <c r="K27" s="96">
        <v>4.0</v>
      </c>
      <c r="L27" s="98">
        <v>6.0</v>
      </c>
      <c r="M27" s="96">
        <v>0.0</v>
      </c>
      <c r="N27" s="34">
        <f t="shared" ref="N27:O27" si="32">C27+L27</f>
        <v>255</v>
      </c>
      <c r="O27" s="34">
        <f t="shared" si="32"/>
        <v>22</v>
      </c>
      <c r="P27" s="49" t="s">
        <v>58</v>
      </c>
      <c r="Q27" s="49" t="s">
        <v>58</v>
      </c>
      <c r="R27" s="49"/>
      <c r="S27" s="50">
        <f t="shared" si="4"/>
        <v>22</v>
      </c>
      <c r="T27" s="52">
        <f t="shared" si="5"/>
        <v>0</v>
      </c>
      <c r="U27" s="52"/>
      <c r="V27" s="50">
        <f t="shared" si="6"/>
        <v>0</v>
      </c>
      <c r="W27" s="52">
        <f t="shared" si="7"/>
        <v>4</v>
      </c>
      <c r="X27" s="32">
        <f t="shared" si="12"/>
        <v>23</v>
      </c>
      <c r="Y27" s="32" t="str">
        <f t="shared" si="8"/>
        <v>Y</v>
      </c>
      <c r="Z27" s="16" t="str">
        <f t="shared" si="9"/>
        <v/>
      </c>
    </row>
    <row r="28">
      <c r="A28" s="32">
        <f t="shared" si="10"/>
        <v>24</v>
      </c>
      <c r="B28" s="33" t="s">
        <v>135</v>
      </c>
      <c r="C28" s="34">
        <v>248.0</v>
      </c>
      <c r="D28" s="34">
        <v>25.0</v>
      </c>
      <c r="E28" s="35">
        <f t="shared" si="2"/>
        <v>12.125</v>
      </c>
      <c r="F28" s="95">
        <v>2.0</v>
      </c>
      <c r="G28" s="96">
        <v>5.0</v>
      </c>
      <c r="H28" s="97">
        <v>0.0</v>
      </c>
      <c r="I28" s="96">
        <v>3.0</v>
      </c>
      <c r="J28" s="96">
        <v>6.0</v>
      </c>
      <c r="K28" s="96">
        <v>3.0</v>
      </c>
      <c r="L28" s="98">
        <v>12.0</v>
      </c>
      <c r="M28" s="96">
        <v>1.0</v>
      </c>
      <c r="N28" s="34">
        <f t="shared" ref="N28:O28" si="33">C28+L28</f>
        <v>260</v>
      </c>
      <c r="O28" s="34">
        <f t="shared" si="33"/>
        <v>26</v>
      </c>
      <c r="P28" s="49" t="s">
        <v>58</v>
      </c>
      <c r="Q28" s="49" t="s">
        <v>58</v>
      </c>
      <c r="R28" s="49"/>
      <c r="S28" s="50">
        <f t="shared" si="4"/>
        <v>16</v>
      </c>
      <c r="T28" s="52">
        <f t="shared" si="5"/>
        <v>0</v>
      </c>
      <c r="U28" s="52"/>
      <c r="V28" s="50">
        <f t="shared" si="6"/>
        <v>6</v>
      </c>
      <c r="W28" s="52">
        <f t="shared" si="7"/>
        <v>-4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93</v>
      </c>
      <c r="C29" s="34">
        <v>246.0</v>
      </c>
      <c r="D29" s="34">
        <v>22.0</v>
      </c>
      <c r="E29" s="35">
        <f t="shared" si="2"/>
        <v>13</v>
      </c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4">C29+L29</f>
        <v>255</v>
      </c>
      <c r="O29" s="34">
        <f t="shared" si="34"/>
        <v>22</v>
      </c>
      <c r="P29" s="49" t="s">
        <v>58</v>
      </c>
      <c r="Q29" s="49" t="s">
        <v>58</v>
      </c>
      <c r="R29" s="49"/>
      <c r="S29" s="50">
        <f t="shared" si="4"/>
        <v>12</v>
      </c>
      <c r="T29" s="52">
        <f t="shared" si="5"/>
        <v>0</v>
      </c>
      <c r="U29" s="52"/>
      <c r="V29" s="50">
        <f t="shared" si="6"/>
        <v>10</v>
      </c>
      <c r="W29" s="52">
        <f t="shared" si="7"/>
        <v>-2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66</v>
      </c>
      <c r="C30" s="34">
        <v>246.0</v>
      </c>
      <c r="D30" s="34">
        <v>21.0</v>
      </c>
      <c r="E30" s="35">
        <f t="shared" si="2"/>
        <v>11.4</v>
      </c>
      <c r="F30" s="95">
        <v>1.0</v>
      </c>
      <c r="G30" s="96">
        <v>5.0</v>
      </c>
      <c r="H30" s="97">
        <v>0.0</v>
      </c>
      <c r="I30" s="96">
        <v>3.0</v>
      </c>
      <c r="J30" s="96">
        <v>2.0</v>
      </c>
      <c r="K30" s="96">
        <v>6.0</v>
      </c>
      <c r="L30" s="98">
        <v>11.0</v>
      </c>
      <c r="M30" s="96">
        <v>1.0</v>
      </c>
      <c r="N30" s="34">
        <f t="shared" ref="N30:O30" si="35">C30+L30</f>
        <v>257</v>
      </c>
      <c r="O30" s="34">
        <f t="shared" si="35"/>
        <v>22</v>
      </c>
      <c r="P30" s="49" t="s">
        <v>58</v>
      </c>
      <c r="Q30" s="49" t="s">
        <v>58</v>
      </c>
      <c r="R30" s="49"/>
      <c r="S30" s="50">
        <f t="shared" si="4"/>
        <v>20</v>
      </c>
      <c r="T30" s="52">
        <f t="shared" si="5"/>
        <v>0</v>
      </c>
      <c r="U30" s="52"/>
      <c r="V30" s="50">
        <f t="shared" si="6"/>
        <v>2</v>
      </c>
      <c r="W30" s="52">
        <f t="shared" si="7"/>
        <v>4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100</v>
      </c>
      <c r="C31" s="34">
        <v>246.0</v>
      </c>
      <c r="D31" s="34">
        <v>20.0</v>
      </c>
      <c r="E31" s="35">
        <f t="shared" si="2"/>
        <v>12.69230769</v>
      </c>
      <c r="F31" s="95">
        <v>1.0</v>
      </c>
      <c r="G31" s="96">
        <v>5.0</v>
      </c>
      <c r="H31" s="97">
        <v>0.0</v>
      </c>
      <c r="I31" s="96">
        <v>6.0</v>
      </c>
      <c r="J31" s="96">
        <v>2.0</v>
      </c>
      <c r="K31" s="96">
        <v>3.0</v>
      </c>
      <c r="L31" s="98">
        <v>11.0</v>
      </c>
      <c r="M31" s="96">
        <v>1.0</v>
      </c>
      <c r="N31" s="34">
        <f t="shared" ref="N31:O31" si="36">C31+L31</f>
        <v>257</v>
      </c>
      <c r="O31" s="34">
        <f t="shared" si="36"/>
        <v>21</v>
      </c>
      <c r="P31" s="49" t="s">
        <v>58</v>
      </c>
      <c r="Q31" s="49" t="s">
        <v>58</v>
      </c>
      <c r="R31" s="49"/>
      <c r="S31" s="50">
        <f t="shared" si="4"/>
        <v>13</v>
      </c>
      <c r="T31" s="52">
        <f t="shared" si="5"/>
        <v>0</v>
      </c>
      <c r="U31" s="52"/>
      <c r="V31" s="50">
        <f t="shared" si="6"/>
        <v>9</v>
      </c>
      <c r="W31" s="52">
        <f t="shared" si="7"/>
        <v>5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110</v>
      </c>
      <c r="C32" s="34">
        <v>245.0</v>
      </c>
      <c r="D32" s="34">
        <v>23.0</v>
      </c>
      <c r="E32" s="35">
        <f t="shared" si="2"/>
        <v>11.35</v>
      </c>
      <c r="F32" s="95">
        <v>1.0</v>
      </c>
      <c r="G32" s="96">
        <v>5.0</v>
      </c>
      <c r="H32" s="97">
        <v>0.0</v>
      </c>
      <c r="I32" s="96">
        <v>6.0</v>
      </c>
      <c r="J32" s="96">
        <v>6.0</v>
      </c>
      <c r="K32" s="96">
        <v>6.0</v>
      </c>
      <c r="L32" s="98">
        <v>18.0</v>
      </c>
      <c r="M32" s="96">
        <v>3.0</v>
      </c>
      <c r="N32" s="34">
        <f t="shared" ref="N32:O32" si="37">C32+L32</f>
        <v>263</v>
      </c>
      <c r="O32" s="34">
        <f t="shared" si="37"/>
        <v>26</v>
      </c>
      <c r="P32" s="49" t="s">
        <v>58</v>
      </c>
      <c r="Q32" s="49" t="s">
        <v>58</v>
      </c>
      <c r="R32" s="49"/>
      <c r="S32" s="50">
        <f t="shared" si="4"/>
        <v>20</v>
      </c>
      <c r="T32" s="52">
        <f t="shared" si="5"/>
        <v>0</v>
      </c>
      <c r="U32" s="52"/>
      <c r="V32" s="50">
        <f t="shared" si="6"/>
        <v>2</v>
      </c>
      <c r="W32" s="52">
        <f t="shared" si="7"/>
        <v>-7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50</v>
      </c>
      <c r="C33" s="34">
        <v>245.0</v>
      </c>
      <c r="D33" s="34">
        <v>23.0</v>
      </c>
      <c r="E33" s="35">
        <f t="shared" si="2"/>
        <v>11.35</v>
      </c>
      <c r="F33" s="95">
        <v>1.0</v>
      </c>
      <c r="G33" s="96">
        <v>6.0</v>
      </c>
      <c r="H33" s="97">
        <v>0.0</v>
      </c>
      <c r="I33" s="96">
        <v>4.0</v>
      </c>
      <c r="J33" s="96">
        <v>4.0</v>
      </c>
      <c r="K33" s="96">
        <v>6.0</v>
      </c>
      <c r="L33" s="98">
        <v>14.0</v>
      </c>
      <c r="M33" s="96">
        <v>0.0</v>
      </c>
      <c r="N33" s="34">
        <f t="shared" ref="N33:O33" si="38">C33+L33</f>
        <v>259</v>
      </c>
      <c r="O33" s="34">
        <f t="shared" si="38"/>
        <v>23</v>
      </c>
      <c r="P33" s="49" t="s">
        <v>58</v>
      </c>
      <c r="Q33" s="49" t="s">
        <v>58</v>
      </c>
      <c r="R33" s="49"/>
      <c r="S33" s="50">
        <f t="shared" si="4"/>
        <v>20</v>
      </c>
      <c r="T33" s="52">
        <f t="shared" si="5"/>
        <v>0</v>
      </c>
      <c r="U33" s="52"/>
      <c r="V33" s="50">
        <f t="shared" si="6"/>
        <v>2</v>
      </c>
      <c r="W33" s="52">
        <f t="shared" si="7"/>
        <v>-4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89</v>
      </c>
      <c r="C34" s="34">
        <v>244.0</v>
      </c>
      <c r="D34" s="34">
        <v>21.0</v>
      </c>
      <c r="E34" s="35">
        <f t="shared" si="2"/>
        <v>12.83333333</v>
      </c>
      <c r="F34" s="95">
        <v>3.0</v>
      </c>
      <c r="G34" s="96">
        <v>0.0</v>
      </c>
      <c r="H34" s="97">
        <v>9.0</v>
      </c>
      <c r="I34" s="96">
        <v>0.0</v>
      </c>
      <c r="J34" s="96">
        <v>0.0</v>
      </c>
      <c r="K34" s="96">
        <v>0.0</v>
      </c>
      <c r="L34" s="98">
        <v>9.0</v>
      </c>
      <c r="M34" s="96">
        <v>0.0</v>
      </c>
      <c r="N34" s="34">
        <f t="shared" ref="N34:O34" si="39">C34+L34</f>
        <v>253</v>
      </c>
      <c r="O34" s="34">
        <f t="shared" si="39"/>
        <v>21</v>
      </c>
      <c r="P34" s="49" t="s">
        <v>58</v>
      </c>
      <c r="Q34" s="49" t="s">
        <v>58</v>
      </c>
      <c r="R34" s="49"/>
      <c r="S34" s="50">
        <f t="shared" si="4"/>
        <v>12</v>
      </c>
      <c r="T34" s="52">
        <f t="shared" si="5"/>
        <v>0</v>
      </c>
      <c r="U34" s="52"/>
      <c r="V34" s="50">
        <f t="shared" si="6"/>
        <v>10</v>
      </c>
      <c r="W34" s="52">
        <f t="shared" si="7"/>
        <v>-4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49</v>
      </c>
      <c r="C35" s="34">
        <v>244.0</v>
      </c>
      <c r="D35" s="34">
        <v>21.0</v>
      </c>
      <c r="E35" s="35">
        <f t="shared" si="2"/>
        <v>11.42105263</v>
      </c>
      <c r="F35" s="95">
        <v>1.0</v>
      </c>
      <c r="G35" s="96">
        <v>6.0</v>
      </c>
      <c r="H35" s="97">
        <v>0.0</v>
      </c>
      <c r="I35" s="96">
        <v>6.0</v>
      </c>
      <c r="J35" s="96">
        <v>4.0</v>
      </c>
      <c r="K35" s="96">
        <v>7.0</v>
      </c>
      <c r="L35" s="98">
        <v>17.0</v>
      </c>
      <c r="M35" s="96">
        <v>2.0</v>
      </c>
      <c r="N35" s="34">
        <f t="shared" ref="N35:O35" si="40">C35+L35</f>
        <v>261</v>
      </c>
      <c r="O35" s="34">
        <f t="shared" si="40"/>
        <v>23</v>
      </c>
      <c r="P35" s="49" t="s">
        <v>58</v>
      </c>
      <c r="Q35" s="49" t="s">
        <v>58</v>
      </c>
      <c r="R35" s="49"/>
      <c r="S35" s="50">
        <f t="shared" si="4"/>
        <v>19</v>
      </c>
      <c r="T35" s="52">
        <f t="shared" si="5"/>
        <v>0</v>
      </c>
      <c r="U35" s="52"/>
      <c r="V35" s="50">
        <f t="shared" si="6"/>
        <v>3</v>
      </c>
      <c r="W35" s="52">
        <f t="shared" si="7"/>
        <v>-2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96</v>
      </c>
      <c r="C36" s="34">
        <v>244.0</v>
      </c>
      <c r="D36" s="34">
        <v>19.0</v>
      </c>
      <c r="E36" s="35">
        <f t="shared" si="2"/>
        <v>11.3</v>
      </c>
      <c r="F36" s="95">
        <v>1.0</v>
      </c>
      <c r="G36" s="96">
        <v>6.0</v>
      </c>
      <c r="H36" s="97">
        <v>0.0</v>
      </c>
      <c r="I36" s="96">
        <v>4.0</v>
      </c>
      <c r="J36" s="96">
        <v>6.0</v>
      </c>
      <c r="K36" s="96">
        <v>7.0</v>
      </c>
      <c r="L36" s="98">
        <v>17.0</v>
      </c>
      <c r="M36" s="96">
        <v>2.0</v>
      </c>
      <c r="N36" s="34">
        <f t="shared" ref="N36:O36" si="41">C36+L36</f>
        <v>261</v>
      </c>
      <c r="O36" s="34">
        <f t="shared" si="41"/>
        <v>21</v>
      </c>
      <c r="P36" s="49" t="s">
        <v>58</v>
      </c>
      <c r="Q36" s="49" t="s">
        <v>58</v>
      </c>
      <c r="R36" s="49"/>
      <c r="S36" s="50">
        <f t="shared" si="4"/>
        <v>20</v>
      </c>
      <c r="T36" s="52">
        <f t="shared" si="5"/>
        <v>0</v>
      </c>
      <c r="U36" s="52"/>
      <c r="V36" s="50">
        <f t="shared" si="6"/>
        <v>2</v>
      </c>
      <c r="W36" s="52">
        <f t="shared" si="7"/>
        <v>-1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99</v>
      </c>
      <c r="C37" s="34">
        <v>242.0</v>
      </c>
      <c r="D37" s="34">
        <v>17.0</v>
      </c>
      <c r="E37" s="35">
        <f t="shared" si="2"/>
        <v>11.85714286</v>
      </c>
      <c r="F37" s="95">
        <v>1.0</v>
      </c>
      <c r="G37" s="96">
        <v>6.0</v>
      </c>
      <c r="H37" s="97">
        <v>0.0</v>
      </c>
      <c r="I37" s="96">
        <v>6.0</v>
      </c>
      <c r="J37" s="96">
        <v>6.0</v>
      </c>
      <c r="K37" s="96">
        <v>6.0</v>
      </c>
      <c r="L37" s="98">
        <v>18.0</v>
      </c>
      <c r="M37" s="96">
        <v>2.0</v>
      </c>
      <c r="N37" s="34">
        <f t="shared" ref="N37:O37" si="42">C37+L37</f>
        <v>260</v>
      </c>
      <c r="O37" s="34">
        <f t="shared" si="42"/>
        <v>19</v>
      </c>
      <c r="P37" s="49" t="s">
        <v>58</v>
      </c>
      <c r="Q37" s="49" t="s">
        <v>58</v>
      </c>
      <c r="R37" s="49"/>
      <c r="S37" s="50">
        <f t="shared" si="4"/>
        <v>14</v>
      </c>
      <c r="T37" s="52">
        <f t="shared" si="5"/>
        <v>1</v>
      </c>
      <c r="U37" s="52"/>
      <c r="V37" s="50">
        <f t="shared" si="6"/>
        <v>7</v>
      </c>
      <c r="W37" s="52">
        <f t="shared" si="7"/>
        <v>1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60</v>
      </c>
      <c r="C38" s="34">
        <v>235.0</v>
      </c>
      <c r="D38" s="34">
        <v>22.0</v>
      </c>
      <c r="E38" s="35">
        <f t="shared" si="2"/>
        <v>10.94736842</v>
      </c>
      <c r="F38" s="95">
        <v>1.0</v>
      </c>
      <c r="G38" s="96">
        <v>9.0</v>
      </c>
      <c r="H38" s="97">
        <v>0.0</v>
      </c>
      <c r="I38" s="96">
        <v>6.0</v>
      </c>
      <c r="J38" s="96">
        <v>6.0</v>
      </c>
      <c r="K38" s="96">
        <v>6.0</v>
      </c>
      <c r="L38" s="98">
        <v>18.0</v>
      </c>
      <c r="M38" s="96">
        <v>3.0</v>
      </c>
      <c r="N38" s="34">
        <f t="shared" ref="N38:O38" si="43">C38+L38</f>
        <v>253</v>
      </c>
      <c r="O38" s="34">
        <f t="shared" si="43"/>
        <v>25</v>
      </c>
      <c r="P38" s="49" t="s">
        <v>58</v>
      </c>
      <c r="Q38" s="49" t="s">
        <v>58</v>
      </c>
      <c r="R38" s="49"/>
      <c r="S38" s="50">
        <f t="shared" si="4"/>
        <v>19</v>
      </c>
      <c r="T38" s="52">
        <f t="shared" si="5"/>
        <v>0</v>
      </c>
      <c r="U38" s="52"/>
      <c r="V38" s="50">
        <f t="shared" si="6"/>
        <v>3</v>
      </c>
      <c r="W38" s="52">
        <f t="shared" si="7"/>
        <v>-1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106</v>
      </c>
      <c r="C39" s="34">
        <v>234.0</v>
      </c>
      <c r="D39" s="34">
        <v>19.0</v>
      </c>
      <c r="E39" s="35">
        <f t="shared" si="2"/>
        <v>11.13333333</v>
      </c>
      <c r="F39" s="95">
        <v>1.0</v>
      </c>
      <c r="G39" s="96">
        <v>9.0</v>
      </c>
      <c r="H39" s="97">
        <v>0.0</v>
      </c>
      <c r="I39" s="96">
        <v>6.0</v>
      </c>
      <c r="J39" s="96">
        <v>4.0</v>
      </c>
      <c r="K39" s="96">
        <v>3.0</v>
      </c>
      <c r="L39" s="98">
        <v>13.0</v>
      </c>
      <c r="M39" s="96">
        <v>1.0</v>
      </c>
      <c r="N39" s="34">
        <f t="shared" ref="N39:O39" si="44">C39+L39</f>
        <v>247</v>
      </c>
      <c r="O39" s="34">
        <f t="shared" si="44"/>
        <v>20</v>
      </c>
      <c r="P39" s="49" t="s">
        <v>58</v>
      </c>
      <c r="Q39" s="49" t="s">
        <v>58</v>
      </c>
      <c r="R39" s="49"/>
      <c r="S39" s="50">
        <f t="shared" si="4"/>
        <v>15</v>
      </c>
      <c r="T39" s="52">
        <f t="shared" si="5"/>
        <v>1</v>
      </c>
      <c r="U39" s="52"/>
      <c r="V39" s="50">
        <f t="shared" si="6"/>
        <v>6</v>
      </c>
      <c r="W39" s="52">
        <f t="shared" si="7"/>
        <v>2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122</v>
      </c>
      <c r="C40" s="34">
        <v>234.0</v>
      </c>
      <c r="D40" s="34">
        <v>17.0</v>
      </c>
      <c r="E40" s="35">
        <f t="shared" si="2"/>
        <v>12.27272727</v>
      </c>
      <c r="F40" s="95">
        <v>3.0</v>
      </c>
      <c r="G40" s="96">
        <v>0.0</v>
      </c>
      <c r="H40" s="97">
        <v>9.0</v>
      </c>
      <c r="I40" s="96">
        <v>0.0</v>
      </c>
      <c r="J40" s="96">
        <v>0.0</v>
      </c>
      <c r="K40" s="96">
        <v>0.0</v>
      </c>
      <c r="L40" s="98">
        <v>9.0</v>
      </c>
      <c r="M40" s="96">
        <v>0.0</v>
      </c>
      <c r="N40" s="34">
        <f t="shared" ref="N40:O40" si="45">C40+L40</f>
        <v>243</v>
      </c>
      <c r="O40" s="34">
        <f t="shared" si="45"/>
        <v>17</v>
      </c>
      <c r="P40" s="49" t="s">
        <v>58</v>
      </c>
      <c r="Q40" s="49" t="s">
        <v>58</v>
      </c>
      <c r="R40" s="49"/>
      <c r="S40" s="50">
        <f t="shared" si="4"/>
        <v>11</v>
      </c>
      <c r="T40" s="52">
        <f t="shared" si="5"/>
        <v>0</v>
      </c>
      <c r="U40" s="52"/>
      <c r="V40" s="50">
        <f t="shared" si="6"/>
        <v>11</v>
      </c>
      <c r="W40" s="52">
        <f t="shared" si="7"/>
        <v>-1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129</v>
      </c>
      <c r="C41" s="34">
        <v>232.0</v>
      </c>
      <c r="D41" s="34">
        <v>22.0</v>
      </c>
      <c r="E41" s="35">
        <f t="shared" si="2"/>
        <v>10.78947368</v>
      </c>
      <c r="F41" s="95">
        <v>1.0</v>
      </c>
      <c r="G41" s="96">
        <v>9.0</v>
      </c>
      <c r="H41" s="97">
        <v>0.0</v>
      </c>
      <c r="I41" s="96">
        <v>1.0</v>
      </c>
      <c r="J41" s="96">
        <v>6.0</v>
      </c>
      <c r="K41" s="96">
        <v>3.0</v>
      </c>
      <c r="L41" s="98">
        <v>10.0</v>
      </c>
      <c r="M41" s="96">
        <v>1.0</v>
      </c>
      <c r="N41" s="34">
        <f t="shared" ref="N41:O41" si="46">C41+L41</f>
        <v>242</v>
      </c>
      <c r="O41" s="34">
        <f t="shared" si="46"/>
        <v>23</v>
      </c>
      <c r="P41" s="49" t="s">
        <v>58</v>
      </c>
      <c r="Q41" s="49" t="s">
        <v>58</v>
      </c>
      <c r="R41" s="49"/>
      <c r="S41" s="50">
        <f t="shared" si="4"/>
        <v>19</v>
      </c>
      <c r="T41" s="52">
        <f t="shared" si="5"/>
        <v>0</v>
      </c>
      <c r="U41" s="52"/>
      <c r="V41" s="50">
        <f t="shared" si="6"/>
        <v>3</v>
      </c>
      <c r="W41" s="52">
        <f t="shared" si="7"/>
        <v>-1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138</v>
      </c>
      <c r="C42" s="34">
        <v>226.0</v>
      </c>
      <c r="D42" s="34">
        <v>14.0</v>
      </c>
      <c r="E42" s="35">
        <f t="shared" si="2"/>
        <v>11.54545455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7">C42+L42</f>
        <v>235</v>
      </c>
      <c r="O42" s="34">
        <f t="shared" si="47"/>
        <v>14</v>
      </c>
      <c r="P42" s="49" t="s">
        <v>58</v>
      </c>
      <c r="Q42" s="49" t="s">
        <v>58</v>
      </c>
      <c r="R42" s="49"/>
      <c r="S42" s="50">
        <f t="shared" si="4"/>
        <v>11</v>
      </c>
      <c r="T42" s="52">
        <f t="shared" si="5"/>
        <v>0</v>
      </c>
      <c r="U42" s="52"/>
      <c r="V42" s="50">
        <f t="shared" si="6"/>
        <v>11</v>
      </c>
      <c r="W42" s="52">
        <f t="shared" si="7"/>
        <v>0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137</v>
      </c>
      <c r="C43" s="34">
        <v>225.0</v>
      </c>
      <c r="D43" s="34">
        <v>17.0</v>
      </c>
      <c r="E43" s="35">
        <f t="shared" si="2"/>
        <v>10.8</v>
      </c>
      <c r="F43" s="95">
        <v>1.0</v>
      </c>
      <c r="G43" s="96">
        <v>9.0</v>
      </c>
      <c r="H43" s="97">
        <v>0.0</v>
      </c>
      <c r="I43" s="96">
        <v>1.0</v>
      </c>
      <c r="J43" s="96">
        <v>4.0</v>
      </c>
      <c r="K43" s="96">
        <v>6.0</v>
      </c>
      <c r="L43" s="98">
        <v>11.0</v>
      </c>
      <c r="M43" s="96">
        <v>1.0</v>
      </c>
      <c r="N43" s="34">
        <f t="shared" ref="N43:O43" si="48">C43+L43</f>
        <v>236</v>
      </c>
      <c r="O43" s="34">
        <f t="shared" si="48"/>
        <v>18</v>
      </c>
      <c r="P43" s="49" t="s">
        <v>58</v>
      </c>
      <c r="Q43" s="49" t="s">
        <v>58</v>
      </c>
      <c r="R43" s="49"/>
      <c r="S43" s="50">
        <f t="shared" si="4"/>
        <v>15</v>
      </c>
      <c r="T43" s="52">
        <f t="shared" si="5"/>
        <v>0</v>
      </c>
      <c r="U43" s="52"/>
      <c r="V43" s="50">
        <f t="shared" si="6"/>
        <v>7</v>
      </c>
      <c r="W43" s="52">
        <f t="shared" si="7"/>
        <v>0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222.0</v>
      </c>
      <c r="D44" s="34">
        <v>12.0</v>
      </c>
      <c r="E44" s="35">
        <f t="shared" si="2"/>
        <v>10.81818182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231</v>
      </c>
      <c r="O44" s="34">
        <f t="shared" si="49"/>
        <v>12</v>
      </c>
      <c r="P44" s="49" t="s">
        <v>58</v>
      </c>
      <c r="Q44" s="49" t="s">
        <v>58</v>
      </c>
      <c r="R44" s="49"/>
      <c r="S44" s="50">
        <f t="shared" si="4"/>
        <v>11</v>
      </c>
      <c r="T44" s="52">
        <f t="shared" si="5"/>
        <v>1</v>
      </c>
      <c r="U44" s="52"/>
      <c r="V44" s="50">
        <f t="shared" si="6"/>
        <v>10</v>
      </c>
      <c r="W44" s="52">
        <f t="shared" si="7"/>
        <v>0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75</v>
      </c>
      <c r="C45" s="34">
        <v>222.0</v>
      </c>
      <c r="D45" s="34">
        <v>11.0</v>
      </c>
      <c r="E45" s="35">
        <f t="shared" si="2"/>
        <v>12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231</v>
      </c>
      <c r="O45" s="34">
        <f t="shared" si="50"/>
        <v>11</v>
      </c>
      <c r="P45" s="49" t="s">
        <v>58</v>
      </c>
      <c r="Q45" s="49" t="s">
        <v>58</v>
      </c>
      <c r="R45" s="49"/>
      <c r="S45" s="50">
        <f t="shared" si="4"/>
        <v>8</v>
      </c>
      <c r="T45" s="52">
        <f t="shared" si="5"/>
        <v>0</v>
      </c>
      <c r="U45" s="52"/>
      <c r="V45" s="50">
        <f t="shared" si="6"/>
        <v>14</v>
      </c>
      <c r="W45" s="52">
        <f t="shared" si="7"/>
        <v>0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121</v>
      </c>
      <c r="C46" s="34">
        <v>220.0</v>
      </c>
      <c r="D46" s="34">
        <v>13.0</v>
      </c>
      <c r="E46" s="35">
        <f t="shared" si="2"/>
        <v>11.57142857</v>
      </c>
      <c r="F46" s="95">
        <v>2.0</v>
      </c>
      <c r="G46" s="96">
        <v>7.0</v>
      </c>
      <c r="H46" s="97">
        <v>0.0</v>
      </c>
      <c r="I46" s="96">
        <v>6.0</v>
      </c>
      <c r="J46" s="96">
        <v>6.0</v>
      </c>
      <c r="K46" s="96">
        <v>6.0</v>
      </c>
      <c r="L46" s="98">
        <v>18.0</v>
      </c>
      <c r="M46" s="96">
        <v>3.0</v>
      </c>
      <c r="N46" s="34">
        <f t="shared" ref="N46:O46" si="51">C46+L46</f>
        <v>238</v>
      </c>
      <c r="O46" s="34">
        <f t="shared" si="51"/>
        <v>16</v>
      </c>
      <c r="P46" s="49" t="s">
        <v>58</v>
      </c>
      <c r="Q46" s="49" t="s">
        <v>58</v>
      </c>
      <c r="R46" s="49"/>
      <c r="S46" s="50">
        <f t="shared" si="4"/>
        <v>7</v>
      </c>
      <c r="T46" s="52">
        <f t="shared" si="5"/>
        <v>1</v>
      </c>
      <c r="U46" s="52"/>
      <c r="V46" s="50">
        <f t="shared" si="6"/>
        <v>14</v>
      </c>
      <c r="W46" s="52">
        <f t="shared" si="7"/>
        <v>3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132</v>
      </c>
      <c r="C47" s="34">
        <v>220.0</v>
      </c>
      <c r="D47" s="34">
        <v>12.0</v>
      </c>
      <c r="E47" s="35">
        <f t="shared" si="2"/>
        <v>11.75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229</v>
      </c>
      <c r="O47" s="34">
        <f t="shared" si="52"/>
        <v>12</v>
      </c>
      <c r="P47" s="49" t="s">
        <v>58</v>
      </c>
      <c r="Q47" s="49" t="s">
        <v>58</v>
      </c>
      <c r="R47" s="49"/>
      <c r="S47" s="50">
        <f t="shared" si="4"/>
        <v>8</v>
      </c>
      <c r="T47" s="52">
        <f t="shared" si="5"/>
        <v>0</v>
      </c>
      <c r="U47" s="52"/>
      <c r="V47" s="50">
        <f t="shared" si="6"/>
        <v>14</v>
      </c>
      <c r="W47" s="52">
        <f t="shared" si="7"/>
        <v>-1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139</v>
      </c>
      <c r="C48" s="34">
        <v>214.0</v>
      </c>
      <c r="D48" s="34">
        <v>16.0</v>
      </c>
      <c r="E48" s="35">
        <f t="shared" si="2"/>
        <v>10.06666667</v>
      </c>
      <c r="F48" s="95">
        <v>1.0</v>
      </c>
      <c r="G48" s="96">
        <v>7.0</v>
      </c>
      <c r="H48" s="97">
        <v>0.0</v>
      </c>
      <c r="I48" s="96">
        <v>0.0</v>
      </c>
      <c r="J48" s="96">
        <v>3.0</v>
      </c>
      <c r="K48" s="96">
        <v>6.0</v>
      </c>
      <c r="L48" s="98">
        <v>9.0</v>
      </c>
      <c r="M48" s="96">
        <v>1.0</v>
      </c>
      <c r="N48" s="34">
        <f t="shared" ref="N48:O48" si="53">C48+L48</f>
        <v>223</v>
      </c>
      <c r="O48" s="34">
        <f t="shared" si="53"/>
        <v>17</v>
      </c>
      <c r="P48" s="49" t="s">
        <v>58</v>
      </c>
      <c r="Q48" s="49" t="s">
        <v>58</v>
      </c>
      <c r="R48" s="49"/>
      <c r="S48" s="50">
        <f t="shared" si="4"/>
        <v>15</v>
      </c>
      <c r="T48" s="52">
        <f t="shared" si="5"/>
        <v>0</v>
      </c>
      <c r="U48" s="52"/>
      <c r="V48" s="50">
        <f t="shared" si="6"/>
        <v>7</v>
      </c>
      <c r="W48" s="52">
        <f t="shared" si="7"/>
        <v>-1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54</v>
      </c>
      <c r="C49" s="34">
        <v>212.0</v>
      </c>
      <c r="D49" s="34">
        <v>17.0</v>
      </c>
      <c r="E49" s="35">
        <f t="shared" si="2"/>
        <v>9.823529412</v>
      </c>
      <c r="F49" s="95">
        <v>1.0</v>
      </c>
      <c r="G49" s="96">
        <v>7.0</v>
      </c>
      <c r="H49" s="97">
        <v>0.0</v>
      </c>
      <c r="I49" s="96">
        <v>0.0</v>
      </c>
      <c r="J49" s="96">
        <v>6.0</v>
      </c>
      <c r="K49" s="96">
        <v>0.0</v>
      </c>
      <c r="L49" s="98">
        <v>6.0</v>
      </c>
      <c r="M49" s="96">
        <v>1.0</v>
      </c>
      <c r="N49" s="34">
        <f t="shared" ref="N49:O49" si="54">C49+L49</f>
        <v>218</v>
      </c>
      <c r="O49" s="34">
        <f t="shared" si="54"/>
        <v>18</v>
      </c>
      <c r="P49" s="49" t="s">
        <v>58</v>
      </c>
      <c r="Q49" s="49" t="s">
        <v>58</v>
      </c>
      <c r="R49" s="49"/>
      <c r="S49" s="50">
        <f t="shared" si="4"/>
        <v>17</v>
      </c>
      <c r="T49" s="52">
        <f t="shared" si="5"/>
        <v>0</v>
      </c>
      <c r="U49" s="52"/>
      <c r="V49" s="50">
        <f t="shared" si="6"/>
        <v>5</v>
      </c>
      <c r="W49" s="52">
        <f t="shared" si="7"/>
        <v>-1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108</v>
      </c>
      <c r="C50" s="34">
        <v>208.0</v>
      </c>
      <c r="D50" s="34">
        <v>9.0</v>
      </c>
      <c r="E50" s="35">
        <f t="shared" si="2"/>
        <v>9.714285714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217</v>
      </c>
      <c r="O50" s="34">
        <f t="shared" si="55"/>
        <v>9</v>
      </c>
      <c r="P50" s="49" t="s">
        <v>58</v>
      </c>
      <c r="Q50" s="49" t="s">
        <v>58</v>
      </c>
      <c r="R50" s="49"/>
      <c r="S50" s="50">
        <f t="shared" si="4"/>
        <v>14</v>
      </c>
      <c r="T50" s="52">
        <f t="shared" si="5"/>
        <v>0</v>
      </c>
      <c r="U50" s="52"/>
      <c r="V50" s="50">
        <f t="shared" si="6"/>
        <v>8</v>
      </c>
      <c r="W50" s="52">
        <f t="shared" si="7"/>
        <v>0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47</v>
      </c>
      <c r="C51" s="34">
        <v>205.0</v>
      </c>
      <c r="D51" s="34">
        <v>8.0</v>
      </c>
      <c r="E51" s="35">
        <f t="shared" si="2"/>
        <v>10.75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214</v>
      </c>
      <c r="O51" s="34">
        <f t="shared" si="56"/>
        <v>8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18</v>
      </c>
      <c r="W51" s="52">
        <f t="shared" si="7"/>
        <v>0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143</v>
      </c>
      <c r="C52" s="34">
        <v>205.0</v>
      </c>
      <c r="D52" s="34">
        <v>7.0</v>
      </c>
      <c r="E52" s="35">
        <f t="shared" si="2"/>
        <v>10.16666667</v>
      </c>
      <c r="F52" s="95">
        <v>2.0</v>
      </c>
      <c r="G52" s="96">
        <v>7.0</v>
      </c>
      <c r="H52" s="97">
        <v>0.0</v>
      </c>
      <c r="I52" s="96">
        <v>6.0</v>
      </c>
      <c r="J52" s="96">
        <v>3.0</v>
      </c>
      <c r="K52" s="96">
        <v>0.0</v>
      </c>
      <c r="L52" s="98">
        <v>9.0</v>
      </c>
      <c r="M52" s="96">
        <v>1.0</v>
      </c>
      <c r="N52" s="34">
        <f t="shared" ref="N52:O52" si="57">C52+L52</f>
        <v>214</v>
      </c>
      <c r="O52" s="34">
        <f t="shared" si="57"/>
        <v>8</v>
      </c>
      <c r="P52" s="49" t="s">
        <v>58</v>
      </c>
      <c r="Q52" s="49" t="s">
        <v>58</v>
      </c>
      <c r="R52" s="49"/>
      <c r="S52" s="50">
        <f t="shared" si="4"/>
        <v>6</v>
      </c>
      <c r="T52" s="52">
        <f t="shared" si="5"/>
        <v>0</v>
      </c>
      <c r="U52" s="52"/>
      <c r="V52" s="50">
        <f t="shared" si="6"/>
        <v>16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144</v>
      </c>
      <c r="C53" s="34">
        <v>202.0</v>
      </c>
      <c r="D53" s="34">
        <v>9.0</v>
      </c>
      <c r="E53" s="35">
        <f t="shared" si="2"/>
        <v>9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211</v>
      </c>
      <c r="O53" s="34">
        <f t="shared" si="58"/>
        <v>9</v>
      </c>
      <c r="P53" s="49" t="s">
        <v>58</v>
      </c>
      <c r="Q53" s="49" t="s">
        <v>58</v>
      </c>
      <c r="R53" s="49"/>
      <c r="S53" s="50">
        <f t="shared" si="4"/>
        <v>8</v>
      </c>
      <c r="T53" s="52">
        <f t="shared" si="5"/>
        <v>1</v>
      </c>
      <c r="U53" s="52"/>
      <c r="V53" s="50">
        <f t="shared" si="6"/>
        <v>13</v>
      </c>
      <c r="W53" s="52">
        <f t="shared" si="7"/>
        <v>0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140</v>
      </c>
      <c r="C54" s="34">
        <v>201.0</v>
      </c>
      <c r="D54" s="34">
        <v>8.0</v>
      </c>
      <c r="E54" s="35">
        <f t="shared" si="2"/>
        <v>9.5</v>
      </c>
      <c r="F54" s="95">
        <v>1.0</v>
      </c>
      <c r="G54" s="96">
        <v>8.0</v>
      </c>
      <c r="H54" s="97">
        <v>0.0</v>
      </c>
      <c r="I54" s="96">
        <v>5.0</v>
      </c>
      <c r="J54" s="96">
        <v>6.0</v>
      </c>
      <c r="K54" s="96">
        <v>6.0</v>
      </c>
      <c r="L54" s="98">
        <v>17.0</v>
      </c>
      <c r="M54" s="96">
        <v>2.0</v>
      </c>
      <c r="N54" s="34">
        <f t="shared" ref="N54:O54" si="59">C54+L54</f>
        <v>218</v>
      </c>
      <c r="O54" s="34">
        <f t="shared" si="59"/>
        <v>10</v>
      </c>
      <c r="P54" s="49" t="s">
        <v>58</v>
      </c>
      <c r="Q54" s="49" t="s">
        <v>58</v>
      </c>
      <c r="R54" s="49"/>
      <c r="S54" s="50">
        <f t="shared" si="4"/>
        <v>6</v>
      </c>
      <c r="T54" s="52">
        <f t="shared" si="5"/>
        <v>0</v>
      </c>
      <c r="U54" s="52"/>
      <c r="V54" s="50">
        <f t="shared" si="6"/>
        <v>16</v>
      </c>
      <c r="W54" s="52">
        <f t="shared" si="7"/>
        <v>1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105</v>
      </c>
      <c r="C55" s="34">
        <v>200.0</v>
      </c>
      <c r="D55" s="34">
        <v>8.0</v>
      </c>
      <c r="E55" s="35">
        <f t="shared" si="2"/>
        <v>9.4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209</v>
      </c>
      <c r="O55" s="34">
        <f t="shared" si="60"/>
        <v>8</v>
      </c>
      <c r="P55" s="49" t="s">
        <v>58</v>
      </c>
      <c r="Q55" s="49" t="s">
        <v>58</v>
      </c>
      <c r="R55" s="49"/>
      <c r="S55" s="50">
        <f t="shared" si="4"/>
        <v>5</v>
      </c>
      <c r="T55" s="52">
        <f t="shared" si="5"/>
        <v>0</v>
      </c>
      <c r="U55" s="52"/>
      <c r="V55" s="50">
        <f t="shared" si="6"/>
        <v>17</v>
      </c>
      <c r="W55" s="52">
        <f t="shared" si="7"/>
        <v>-1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95</v>
      </c>
      <c r="C56" s="34">
        <v>200.0</v>
      </c>
      <c r="D56" s="34">
        <v>7.0</v>
      </c>
      <c r="E56" s="35">
        <f t="shared" si="2"/>
        <v>8.6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209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5</v>
      </c>
      <c r="T56" s="52">
        <f t="shared" si="5"/>
        <v>1</v>
      </c>
      <c r="U56" s="52"/>
      <c r="V56" s="50">
        <f t="shared" si="6"/>
        <v>16</v>
      </c>
      <c r="W56" s="52">
        <f t="shared" si="7"/>
        <v>0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142</v>
      </c>
      <c r="C57" s="34">
        <v>197.0</v>
      </c>
      <c r="D57" s="34">
        <v>11.0</v>
      </c>
      <c r="E57" s="35">
        <f t="shared" si="2"/>
        <v>8.909090909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206</v>
      </c>
      <c r="O57" s="34">
        <f t="shared" si="62"/>
        <v>11</v>
      </c>
      <c r="P57" s="49" t="s">
        <v>58</v>
      </c>
      <c r="Q57" s="49" t="s">
        <v>58</v>
      </c>
      <c r="R57" s="49"/>
      <c r="S57" s="50">
        <f t="shared" si="4"/>
        <v>11</v>
      </c>
      <c r="T57" s="52">
        <f t="shared" si="5"/>
        <v>0</v>
      </c>
      <c r="U57" s="52"/>
      <c r="V57" s="50">
        <f t="shared" si="6"/>
        <v>11</v>
      </c>
      <c r="W57" s="52">
        <f t="shared" si="7"/>
        <v>0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69</v>
      </c>
      <c r="C58" s="34">
        <v>197.0</v>
      </c>
      <c r="D58" s="34">
        <v>7.0</v>
      </c>
      <c r="E58" s="35">
        <f t="shared" si="2"/>
        <v>8.75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206</v>
      </c>
      <c r="O58" s="34">
        <f t="shared" si="63"/>
        <v>7</v>
      </c>
      <c r="P58" s="49" t="s">
        <v>58</v>
      </c>
      <c r="Q58" s="49" t="s">
        <v>58</v>
      </c>
      <c r="R58" s="49"/>
      <c r="S58" s="50">
        <f t="shared" si="4"/>
        <v>4</v>
      </c>
      <c r="T58" s="52">
        <f t="shared" si="5"/>
        <v>0</v>
      </c>
      <c r="U58" s="52"/>
      <c r="V58" s="50">
        <f t="shared" si="6"/>
        <v>18</v>
      </c>
      <c r="W58" s="52">
        <f t="shared" si="7"/>
        <v>0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145</v>
      </c>
      <c r="C59" s="34">
        <v>193.0</v>
      </c>
      <c r="D59" s="34">
        <v>10.0</v>
      </c>
      <c r="E59" s="35">
        <f t="shared" si="2"/>
        <v>8.545454545</v>
      </c>
      <c r="F59" s="95">
        <v>1.0</v>
      </c>
      <c r="G59" s="96">
        <v>8.0</v>
      </c>
      <c r="H59" s="97">
        <v>0.0</v>
      </c>
      <c r="I59" s="96">
        <v>7.0</v>
      </c>
      <c r="J59" s="96">
        <v>2.0</v>
      </c>
      <c r="K59" s="96">
        <v>6.0</v>
      </c>
      <c r="L59" s="98">
        <v>15.0</v>
      </c>
      <c r="M59" s="96">
        <v>2.0</v>
      </c>
      <c r="N59" s="34">
        <f t="shared" ref="N59:O59" si="64">C59+L59</f>
        <v>208</v>
      </c>
      <c r="O59" s="34">
        <f t="shared" si="64"/>
        <v>12</v>
      </c>
      <c r="P59" s="49" t="s">
        <v>58</v>
      </c>
      <c r="Q59" s="49" t="s">
        <v>58</v>
      </c>
      <c r="R59" s="49"/>
      <c r="S59" s="50">
        <f t="shared" si="4"/>
        <v>11</v>
      </c>
      <c r="T59" s="52">
        <f t="shared" si="5"/>
        <v>0</v>
      </c>
      <c r="U59" s="52"/>
      <c r="V59" s="50">
        <f t="shared" si="6"/>
        <v>11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189.0</v>
      </c>
      <c r="D60" s="34">
        <v>5.0</v>
      </c>
      <c r="E60" s="35">
        <f t="shared" si="2"/>
        <v>6.75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198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4</v>
      </c>
      <c r="T60" s="52">
        <f t="shared" si="5"/>
        <v>0</v>
      </c>
      <c r="U60" s="52"/>
      <c r="V60" s="50">
        <f t="shared" si="6"/>
        <v>18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146</v>
      </c>
      <c r="C61" s="34">
        <v>188.0</v>
      </c>
      <c r="D61" s="34">
        <v>6.0</v>
      </c>
      <c r="E61" s="35">
        <f t="shared" si="2"/>
        <v>7</v>
      </c>
      <c r="F61" s="95">
        <v>2.0</v>
      </c>
      <c r="G61" s="96">
        <v>8.0</v>
      </c>
      <c r="H61" s="97">
        <v>0.0</v>
      </c>
      <c r="I61" s="96">
        <v>7.0</v>
      </c>
      <c r="J61" s="96">
        <v>6.0</v>
      </c>
      <c r="K61" s="96">
        <v>2.0</v>
      </c>
      <c r="L61" s="98">
        <v>15.0</v>
      </c>
      <c r="M61" s="96">
        <v>2.0</v>
      </c>
      <c r="N61" s="34">
        <f t="shared" ref="N61:O61" si="66">C61+L61</f>
        <v>203</v>
      </c>
      <c r="O61" s="34">
        <f t="shared" si="66"/>
        <v>8</v>
      </c>
      <c r="P61" s="49" t="s">
        <v>58</v>
      </c>
      <c r="Q61" s="49" t="s">
        <v>58</v>
      </c>
      <c r="R61" s="49"/>
      <c r="S61" s="50">
        <f t="shared" si="4"/>
        <v>7</v>
      </c>
      <c r="T61" s="52">
        <f t="shared" si="5"/>
        <v>1</v>
      </c>
      <c r="U61" s="52"/>
      <c r="V61" s="50">
        <f t="shared" si="6"/>
        <v>14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147</v>
      </c>
      <c r="C62" s="34">
        <v>185.0</v>
      </c>
      <c r="D62" s="34">
        <v>4.0</v>
      </c>
      <c r="E62" s="35">
        <f t="shared" si="2"/>
        <v>5.75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194</v>
      </c>
      <c r="O62" s="34">
        <f t="shared" si="67"/>
        <v>4</v>
      </c>
      <c r="P62" s="49" t="s">
        <v>58</v>
      </c>
      <c r="Q62" s="49" t="s">
        <v>58</v>
      </c>
      <c r="R62" s="49"/>
      <c r="S62" s="50">
        <f t="shared" si="4"/>
        <v>4</v>
      </c>
      <c r="T62" s="52">
        <f t="shared" si="5"/>
        <v>0</v>
      </c>
      <c r="U62" s="52"/>
      <c r="V62" s="50">
        <f t="shared" si="6"/>
        <v>18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148</v>
      </c>
      <c r="C63" s="34">
        <v>185.0</v>
      </c>
      <c r="D63" s="34">
        <v>1.0</v>
      </c>
      <c r="E63" s="35">
        <f t="shared" si="2"/>
        <v>6.166666667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194</v>
      </c>
      <c r="O63" s="34">
        <f t="shared" si="68"/>
        <v>1</v>
      </c>
      <c r="P63" s="49" t="s">
        <v>58</v>
      </c>
      <c r="Q63" s="49" t="s">
        <v>58</v>
      </c>
      <c r="R63" s="49"/>
      <c r="S63" s="50">
        <f t="shared" si="4"/>
        <v>6</v>
      </c>
      <c r="T63" s="52">
        <f t="shared" si="5"/>
        <v>1</v>
      </c>
      <c r="U63" s="52"/>
      <c r="V63" s="50">
        <f t="shared" si="6"/>
        <v>15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131</v>
      </c>
      <c r="C64" s="34">
        <v>180.0</v>
      </c>
      <c r="D64" s="34">
        <v>0.0</v>
      </c>
      <c r="E64" s="35">
        <f t="shared" si="2"/>
        <v>-9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189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1</v>
      </c>
      <c r="T64" s="52">
        <f t="shared" si="5"/>
        <v>0</v>
      </c>
      <c r="U64" s="52"/>
      <c r="V64" s="50">
        <f t="shared" si="6"/>
        <v>21</v>
      </c>
      <c r="W64" s="52">
        <f t="shared" si="7"/>
        <v>2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130</v>
      </c>
      <c r="C65" s="34">
        <v>180.0</v>
      </c>
      <c r="D65" s="34">
        <v>0.0</v>
      </c>
      <c r="E65" s="35">
        <f t="shared" si="2"/>
        <v>-9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189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1</v>
      </c>
      <c r="T65" s="52">
        <f t="shared" si="5"/>
        <v>0</v>
      </c>
      <c r="U65" s="52"/>
      <c r="V65" s="50">
        <f t="shared" si="6"/>
        <v>21</v>
      </c>
      <c r="W65" s="52">
        <f t="shared" si="7"/>
        <v>-1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104</v>
      </c>
      <c r="C66" s="34">
        <v>180.0</v>
      </c>
      <c r="D66" s="34">
        <v>0.0</v>
      </c>
      <c r="E66" s="35">
        <f t="shared" si="2"/>
        <v>-9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189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1</v>
      </c>
      <c r="T66" s="52">
        <f t="shared" si="5"/>
        <v>0</v>
      </c>
      <c r="U66" s="52"/>
      <c r="V66" s="50">
        <f t="shared" si="6"/>
        <v>21</v>
      </c>
      <c r="W66" s="52">
        <f t="shared" si="7"/>
        <v>-1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118</v>
      </c>
      <c r="C67" s="34">
        <v>178.0</v>
      </c>
      <c r="D67" s="34">
        <v>1.0</v>
      </c>
      <c r="E67" s="35">
        <f t="shared" si="2"/>
        <v>1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187</v>
      </c>
      <c r="O67" s="34">
        <f t="shared" si="72"/>
        <v>1</v>
      </c>
      <c r="P67" s="49" t="s">
        <v>58</v>
      </c>
      <c r="Q67" s="49" t="s">
        <v>58</v>
      </c>
      <c r="R67" s="49"/>
      <c r="S67" s="50">
        <f t="shared" si="4"/>
        <v>3</v>
      </c>
      <c r="T67" s="52">
        <f t="shared" si="5"/>
        <v>1</v>
      </c>
      <c r="U67" s="52"/>
      <c r="V67" s="50">
        <f t="shared" si="6"/>
        <v>18</v>
      </c>
      <c r="W67" s="52">
        <f t="shared" si="7"/>
        <v>1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101</v>
      </c>
      <c r="C68" s="34">
        <v>177.0</v>
      </c>
      <c r="D68" s="34">
        <v>7.0</v>
      </c>
      <c r="E68" s="35">
        <f t="shared" si="2"/>
        <v>7.384615385</v>
      </c>
      <c r="F68" s="95">
        <v>1.0</v>
      </c>
      <c r="G68" s="96">
        <v>8.0</v>
      </c>
      <c r="H68" s="97">
        <v>0.0</v>
      </c>
      <c r="I68" s="96">
        <v>5.0</v>
      </c>
      <c r="J68" s="96">
        <v>2.0</v>
      </c>
      <c r="K68" s="96">
        <v>2.0</v>
      </c>
      <c r="L68" s="98">
        <v>9.0</v>
      </c>
      <c r="M68" s="96">
        <v>0.0</v>
      </c>
      <c r="N68" s="34">
        <f t="shared" ref="N68:O68" si="73">C68+L68</f>
        <v>186</v>
      </c>
      <c r="O68" s="34">
        <f t="shared" si="73"/>
        <v>7</v>
      </c>
      <c r="P68" s="49" t="s">
        <v>58</v>
      </c>
      <c r="Q68" s="49" t="s">
        <v>58</v>
      </c>
      <c r="R68" s="49"/>
      <c r="S68" s="50">
        <f t="shared" si="4"/>
        <v>13</v>
      </c>
      <c r="T68" s="52">
        <f t="shared" si="5"/>
        <v>0</v>
      </c>
      <c r="U68" s="52"/>
      <c r="V68" s="50">
        <f t="shared" si="6"/>
        <v>9</v>
      </c>
      <c r="W68" s="52">
        <f t="shared" si="7"/>
        <v>-1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166.0</v>
      </c>
      <c r="D69" s="34">
        <v>1.0</v>
      </c>
      <c r="E69" s="35">
        <f t="shared" si="2"/>
        <v>2.6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175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5</v>
      </c>
      <c r="T69" s="52">
        <f t="shared" si="5"/>
        <v>0</v>
      </c>
      <c r="U69" s="52"/>
      <c r="V69" s="50">
        <f t="shared" si="6"/>
        <v>17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11/22/25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desc"",0)"),"Pulkit Mathur")</f>
        <v>Pulkit Mathur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IFERROR(__xludf.DUMMYFUNCTION("""COMPUTED_VALUE"""),1.0)</f>
        <v>1</v>
      </c>
      <c r="F81" s="1"/>
    </row>
    <row r="82">
      <c r="A82" s="1"/>
      <c r="B82" s="33" t="str">
        <f>IFERROR(__xludf.DUMMYFUNCTION("""COMPUTED_VALUE"""),"Eric Pan")</f>
        <v>Eric Pan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IFERROR(__xludf.DUMMYFUNCTION("""COMPUTED_VALUE"""),2.0)</f>
        <v>2</v>
      </c>
      <c r="F82" s="1"/>
    </row>
    <row r="83">
      <c r="A83" s="1"/>
      <c r="B83" s="33" t="str">
        <f>IFERROR(__xludf.DUMMYFUNCTION("""COMPUTED_VALUE"""),"Elayaraja Thangaraj")</f>
        <v>Elayaraja Thangaraj</v>
      </c>
      <c r="C83" s="117">
        <f>IFERROR(__xludf.DUMMYFUNCTION("""COMPUTED_VALUE"""),19.0)</f>
        <v>19</v>
      </c>
      <c r="D83" s="117">
        <f>IFERROR(__xludf.DUMMYFUNCTION("""COMPUTED_VALUE"""),3.0)</f>
        <v>3</v>
      </c>
      <c r="E83" s="117">
        <f>IFERROR(__xludf.DUMMYFUNCTION("""COMPUTED_VALUE"""),7.0)</f>
        <v>7</v>
      </c>
      <c r="F83" s="1"/>
    </row>
    <row r="84">
      <c r="A84" s="1"/>
      <c r="B84" s="33" t="str">
        <f>IFERROR(__xludf.DUMMYFUNCTION("""COMPUTED_VALUE"""),"Oscar Bonilla")</f>
        <v>Oscar Bonilla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IFERROR(__xludf.DUMMYFUNCTION("""COMPUTED_VALUE"""),3.0)</f>
        <v>3</v>
      </c>
      <c r="F84" s="1"/>
    </row>
    <row r="85">
      <c r="A85" s="1"/>
      <c r="B85" s="33" t="str">
        <f>IFERROR(__xludf.DUMMYFUNCTION("""COMPUTED_VALUE"""),"Scott Li")</f>
        <v>Scott Li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IFERROR(__xludf.DUMMYFUNCTION("""COMPUTED_VALUE"""),4.0)</f>
        <v>4</v>
      </c>
      <c r="F85" s="1"/>
    </row>
    <row r="86">
      <c r="A86" s="1"/>
      <c r="B86" s="33" t="str">
        <f>IFERROR(__xludf.DUMMYFUNCTION("""COMPUTED_VALUE"""),"Mauricio Palacios")</f>
        <v>Mauricio Palacios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IFERROR(__xludf.DUMMYFUNCTION("""COMPUTED_VALUE"""),6.0)</f>
        <v>6</v>
      </c>
      <c r="F86" s="1"/>
    </row>
    <row r="87">
      <c r="A87" s="1"/>
      <c r="B87" s="33" t="str">
        <f>IFERROR(__xludf.DUMMYFUNCTION("""COMPUTED_VALUE"""),"James Phan")</f>
        <v>James Phan</v>
      </c>
      <c r="C87" s="117">
        <f>IFERROR(__xludf.DUMMYFUNCTION("""COMPUTED_VALUE"""),18.0)</f>
        <v>18</v>
      </c>
      <c r="D87" s="117">
        <f>IFERROR(__xludf.DUMMYFUNCTION("""COMPUTED_VALUE"""),3.0)</f>
        <v>3</v>
      </c>
      <c r="E87" s="117">
        <f>IFERROR(__xludf.DUMMYFUNCTION("""COMPUTED_VALUE"""),8.0)</f>
        <v>8</v>
      </c>
      <c r="F87" s="1"/>
    </row>
    <row r="88">
      <c r="A88" s="1"/>
      <c r="B88" s="33" t="str">
        <f>IFERROR(__xludf.DUMMYFUNCTION("""COMPUTED_VALUE"""),"Darren Wong")</f>
        <v>Darren Wong</v>
      </c>
      <c r="C88" s="117">
        <f>IFERROR(__xludf.DUMMYFUNCTION("""COMPUTED_VALUE"""),18.0)</f>
        <v>18</v>
      </c>
      <c r="D88" s="117">
        <f>IFERROR(__xludf.DUMMYFUNCTION("""COMPUTED_VALUE"""),2.0)</f>
        <v>2</v>
      </c>
      <c r="E88" s="117">
        <f>IFERROR(__xludf.DUMMYFUNCTION("""COMPUTED_VALUE"""),9.0)</f>
        <v>9</v>
      </c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10"")"),"Oscar Bonilla")</f>
        <v>Oscar Bonilla</v>
      </c>
      <c r="C100" s="117">
        <f>IFERROR(__xludf.DUMMYFUNCTION("""COMPUTED_VALUE"""),6.0)</f>
        <v>6</v>
      </c>
      <c r="D100" s="117">
        <f t="shared" ref="D100:D109" si="75">VLOOKUP(B100,indirect($AC$2&amp;"!B$5:X$69"),23, false)</f>
        <v>18</v>
      </c>
      <c r="E100" s="117">
        <f t="shared" ref="E100:E109" si="76">VLOOKUP(B100,B$5:X$69,23, false)</f>
        <v>12</v>
      </c>
      <c r="F100" s="117">
        <f t="shared" ref="F100:F109" si="77">VLOOKUP(B100,indirect($AC$2&amp;"!B$5:U$70"),11, false)</f>
        <v>18</v>
      </c>
      <c r="G100" s="117">
        <f t="shared" ref="G100:G109" si="78">VLOOKUP(B100,indirect($AC$2&amp;"!B$5:U$70"),6, false)</f>
        <v>3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IFERROR(__xludf.DUMMYFUNCTION("""COMPUTED_VALUE"""),"Suleman Alidina")</f>
        <v>Suleman Alidina</v>
      </c>
      <c r="C101" s="117">
        <f>IFERROR(__xludf.DUMMYFUNCTION("""COMPUTED_VALUE"""),6.0)</f>
        <v>6</v>
      </c>
      <c r="D101" s="117">
        <f t="shared" si="75"/>
        <v>24</v>
      </c>
      <c r="E101" s="117">
        <f t="shared" si="76"/>
        <v>18</v>
      </c>
      <c r="F101" s="117">
        <f t="shared" si="77"/>
        <v>17</v>
      </c>
      <c r="G101" s="117">
        <f t="shared" si="78"/>
        <v>5</v>
      </c>
      <c r="L101" s="117" t="str">
        <f t="shared" si="79"/>
        <v>ok</v>
      </c>
    </row>
    <row r="102">
      <c r="A102" s="1"/>
      <c r="B102" s="33" t="str">
        <f>IFERROR(__xludf.DUMMYFUNCTION("""COMPUTED_VALUE"""),"Hongyuan Wen")</f>
        <v>Hongyuan Wen</v>
      </c>
      <c r="C102" s="117">
        <f>IFERROR(__xludf.DUMMYFUNCTION("""COMPUTED_VALUE"""),6.0)</f>
        <v>6</v>
      </c>
      <c r="D102" s="117">
        <f t="shared" si="75"/>
        <v>28</v>
      </c>
      <c r="E102" s="117">
        <f t="shared" si="76"/>
        <v>22</v>
      </c>
      <c r="F102" s="117">
        <f t="shared" si="77"/>
        <v>17</v>
      </c>
      <c r="G102" s="117">
        <f t="shared" si="78"/>
        <v>5</v>
      </c>
      <c r="L102" s="117" t="str">
        <f t="shared" si="79"/>
        <v>ok</v>
      </c>
    </row>
    <row r="103">
      <c r="A103" s="1"/>
      <c r="B103" s="33" t="str">
        <f>IFERROR(__xludf.DUMMYFUNCTION("""COMPUTED_VALUE"""),"Scott Li")</f>
        <v>Scott Li</v>
      </c>
      <c r="C103" s="117">
        <f>IFERROR(__xludf.DUMMYFUNCTION("""COMPUTED_VALUE"""),5.0)</f>
        <v>5</v>
      </c>
      <c r="D103" s="117">
        <f t="shared" si="75"/>
        <v>22</v>
      </c>
      <c r="E103" s="117">
        <f t="shared" si="76"/>
        <v>17</v>
      </c>
      <c r="F103" s="117">
        <f t="shared" si="77"/>
        <v>18</v>
      </c>
      <c r="G103" s="117">
        <f t="shared" si="78"/>
        <v>4</v>
      </c>
      <c r="L103" s="117" t="str">
        <f t="shared" si="79"/>
        <v>ok</v>
      </c>
    </row>
    <row r="104">
      <c r="A104" s="1"/>
      <c r="B104" s="33" t="str">
        <f>IFERROR(__xludf.DUMMYFUNCTION("""COMPUTED_VALUE"""),"Mauricio Palacios")</f>
        <v>Mauricio Palacios</v>
      </c>
      <c r="C104" s="117">
        <f>IFERROR(__xludf.DUMMYFUNCTION("""COMPUTED_VALUE"""),5.0)</f>
        <v>5</v>
      </c>
      <c r="D104" s="117">
        <f t="shared" si="75"/>
        <v>32</v>
      </c>
      <c r="E104" s="117">
        <f t="shared" si="76"/>
        <v>27</v>
      </c>
      <c r="F104" s="117">
        <f t="shared" si="77"/>
        <v>18</v>
      </c>
      <c r="G104" s="117">
        <f t="shared" si="78"/>
        <v>6</v>
      </c>
      <c r="L104" s="117" t="str">
        <f t="shared" si="79"/>
        <v>ok</v>
      </c>
    </row>
    <row r="105">
      <c r="A105" s="1"/>
      <c r="B105" s="33" t="str">
        <f>IFERROR(__xludf.DUMMYFUNCTION("""COMPUTED_VALUE"""),"Eric Pan")</f>
        <v>Eric Pan</v>
      </c>
      <c r="C105" s="117">
        <f>IFERROR(__xludf.DUMMYFUNCTION("""COMPUTED_VALUE"""),4.0)</f>
        <v>4</v>
      </c>
      <c r="D105" s="117">
        <f t="shared" si="75"/>
        <v>11</v>
      </c>
      <c r="E105" s="117">
        <f t="shared" si="76"/>
        <v>7</v>
      </c>
      <c r="F105" s="117">
        <f t="shared" si="77"/>
        <v>19</v>
      </c>
      <c r="G105" s="117">
        <f t="shared" si="78"/>
        <v>2</v>
      </c>
      <c r="L105" s="117" t="str">
        <f t="shared" si="79"/>
        <v>ok</v>
      </c>
    </row>
    <row r="106">
      <c r="A106" s="1"/>
      <c r="B106" s="33" t="str">
        <f>IFERROR(__xludf.DUMMYFUNCTION("""COMPUTED_VALUE"""),"Nicole Ni")</f>
        <v>Nicole Ni</v>
      </c>
      <c r="C106" s="117">
        <f>IFERROR(__xludf.DUMMYFUNCTION("""COMPUTED_VALUE"""),4.0)</f>
        <v>4</v>
      </c>
      <c r="D106" s="117">
        <f t="shared" si="75"/>
        <v>27</v>
      </c>
      <c r="E106" s="117">
        <f t="shared" si="76"/>
        <v>23</v>
      </c>
      <c r="F106" s="117">
        <f t="shared" si="77"/>
        <v>16</v>
      </c>
      <c r="G106" s="117">
        <f t="shared" si="78"/>
        <v>5</v>
      </c>
      <c r="L106" s="117" t="str">
        <f t="shared" si="79"/>
        <v>ok</v>
      </c>
    </row>
    <row r="107">
      <c r="A107" s="1"/>
      <c r="B107" s="33" t="str">
        <f>IFERROR(__xludf.DUMMYFUNCTION("""COMPUTED_VALUE"""),"Allen Zhang")</f>
        <v>Allen Zhang</v>
      </c>
      <c r="C107" s="117">
        <f>IFERROR(__xludf.DUMMYFUNCTION("""COMPUTED_VALUE"""),4.0)</f>
        <v>4</v>
      </c>
      <c r="D107" s="117">
        <f t="shared" si="75"/>
        <v>30</v>
      </c>
      <c r="E107" s="117">
        <f t="shared" si="76"/>
        <v>26</v>
      </c>
      <c r="F107" s="117">
        <f t="shared" si="77"/>
        <v>14</v>
      </c>
      <c r="G107" s="117">
        <f t="shared" si="78"/>
        <v>6</v>
      </c>
      <c r="L107" s="117" t="str">
        <f t="shared" si="79"/>
        <v>ok</v>
      </c>
    </row>
    <row r="108">
      <c r="A108" s="1"/>
      <c r="B108" s="33" t="str">
        <f>IFERROR(__xludf.DUMMYFUNCTION("""COMPUTED_VALUE"""),"Pulkit Mathur")</f>
        <v>Pulkit Mathur</v>
      </c>
      <c r="C108" s="117">
        <f>IFERROR(__xludf.DUMMYFUNCTION("""COMPUTED_VALUE"""),3.0)</f>
        <v>3</v>
      </c>
      <c r="D108" s="117">
        <f t="shared" si="75"/>
        <v>8</v>
      </c>
      <c r="E108" s="117">
        <f t="shared" si="76"/>
        <v>5</v>
      </c>
      <c r="F108" s="117">
        <f t="shared" si="77"/>
        <v>19</v>
      </c>
      <c r="G108" s="117">
        <f t="shared" si="78"/>
        <v>1</v>
      </c>
      <c r="L108" s="117" t="str">
        <f t="shared" si="79"/>
        <v>ok</v>
      </c>
    </row>
    <row r="109">
      <c r="A109" s="1"/>
      <c r="B109" s="33" t="str">
        <f>IFERROR(__xludf.DUMMYFUNCTION("""COMPUTED_VALUE"""),"James Phan")</f>
        <v>James Phan</v>
      </c>
      <c r="C109" s="117">
        <f>IFERROR(__xludf.DUMMYFUNCTION("""COMPUTED_VALUE"""),3.0)</f>
        <v>3</v>
      </c>
      <c r="D109" s="117">
        <f t="shared" si="75"/>
        <v>45</v>
      </c>
      <c r="E109" s="117">
        <f t="shared" si="76"/>
        <v>42</v>
      </c>
      <c r="F109" s="117">
        <f t="shared" si="77"/>
        <v>18</v>
      </c>
      <c r="G109" s="117">
        <f t="shared" si="78"/>
        <v>8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22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290</v>
      </c>
      <c r="D118" s="117">
        <f t="shared" si="80"/>
        <v>33</v>
      </c>
      <c r="E118" s="117">
        <f t="shared" si="80"/>
        <v>15.13333333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285</v>
      </c>
      <c r="D119" s="117">
        <f t="shared" si="81"/>
        <v>31</v>
      </c>
      <c r="E119" s="117">
        <f t="shared" si="81"/>
        <v>14.53333333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283</v>
      </c>
      <c r="D120" s="117">
        <f t="shared" si="82"/>
        <v>29</v>
      </c>
      <c r="E120" s="117">
        <f t="shared" si="82"/>
        <v>13.72222222</v>
      </c>
      <c r="F120" s="1"/>
    </row>
    <row r="121">
      <c r="A121" s="117">
        <f t="shared" ref="A121:E121" si="83">A8</f>
        <v>4</v>
      </c>
      <c r="B121" s="33" t="str">
        <f t="shared" si="83"/>
        <v>Sandeep Kamalon</v>
      </c>
      <c r="C121" s="117">
        <f t="shared" si="83"/>
        <v>273</v>
      </c>
      <c r="D121" s="117">
        <f t="shared" si="83"/>
        <v>31</v>
      </c>
      <c r="E121" s="117">
        <f t="shared" si="83"/>
        <v>12.55</v>
      </c>
      <c r="F121" s="1"/>
    </row>
    <row r="122">
      <c r="A122" s="117">
        <f t="shared" ref="A122:E122" si="84">A9</f>
        <v>5</v>
      </c>
      <c r="B122" s="33" t="str">
        <f t="shared" si="84"/>
        <v>Pulkit Mathur</v>
      </c>
      <c r="C122" s="117">
        <f t="shared" si="84"/>
        <v>271</v>
      </c>
      <c r="D122" s="117">
        <f t="shared" si="84"/>
        <v>27</v>
      </c>
      <c r="E122" s="117">
        <f t="shared" si="84"/>
        <v>13.5625</v>
      </c>
      <c r="F122" s="1"/>
    </row>
    <row r="123">
      <c r="A123" s="117">
        <f t="shared" ref="A123:E123" si="85">A10</f>
        <v>6</v>
      </c>
      <c r="B123" s="33" t="str">
        <f t="shared" si="85"/>
        <v>Rajasekar Ramasamy</v>
      </c>
      <c r="C123" s="117">
        <f t="shared" si="85"/>
        <v>269</v>
      </c>
      <c r="D123" s="117">
        <f t="shared" si="85"/>
        <v>29</v>
      </c>
      <c r="E123" s="117">
        <f t="shared" si="85"/>
        <v>12.35</v>
      </c>
      <c r="F123" s="1"/>
    </row>
    <row r="124">
      <c r="A124" s="117">
        <f t="shared" ref="A124:E124" si="86">A11</f>
        <v>7</v>
      </c>
      <c r="B124" s="33" t="str">
        <f t="shared" si="86"/>
        <v>Eric Pan</v>
      </c>
      <c r="C124" s="117">
        <f t="shared" si="86"/>
        <v>269</v>
      </c>
      <c r="D124" s="117">
        <f t="shared" si="86"/>
        <v>26</v>
      </c>
      <c r="E124" s="117">
        <f t="shared" si="86"/>
        <v>14.15384615</v>
      </c>
      <c r="F124" s="1"/>
    </row>
    <row r="125">
      <c r="A125" s="117">
        <f t="shared" ref="A125:E125" si="87">A12</f>
        <v>8</v>
      </c>
      <c r="B125" s="33" t="str">
        <f t="shared" si="87"/>
        <v>Pavan Akkimsetty</v>
      </c>
      <c r="C125" s="117">
        <f t="shared" si="87"/>
        <v>268</v>
      </c>
      <c r="D125" s="117">
        <f t="shared" si="87"/>
        <v>24</v>
      </c>
      <c r="E125" s="117">
        <f t="shared" si="87"/>
        <v>13.11764706</v>
      </c>
      <c r="F125" s="1"/>
    </row>
    <row r="126">
      <c r="A126" s="117">
        <f t="shared" ref="A126:E126" si="88">A13</f>
        <v>9</v>
      </c>
      <c r="B126" s="33" t="str">
        <f t="shared" si="88"/>
        <v>Ethan Gu</v>
      </c>
      <c r="C126" s="117">
        <f t="shared" si="88"/>
        <v>267</v>
      </c>
      <c r="D126" s="117">
        <f t="shared" si="88"/>
        <v>30</v>
      </c>
      <c r="E126" s="117">
        <f t="shared" si="88"/>
        <v>12.28571429</v>
      </c>
      <c r="F126" s="1"/>
    </row>
    <row r="127">
      <c r="A127" s="117">
        <f t="shared" ref="A127:E127" si="89">A14</f>
        <v>10</v>
      </c>
      <c r="B127" s="33" t="str">
        <f t="shared" si="89"/>
        <v>David Shin</v>
      </c>
      <c r="C127" s="117">
        <f t="shared" si="89"/>
        <v>266</v>
      </c>
      <c r="D127" s="117">
        <f t="shared" si="89"/>
        <v>24</v>
      </c>
      <c r="E127" s="117">
        <f t="shared" si="89"/>
        <v>12.4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ASC"")"),"Nicole Ni")</f>
        <v>Nicole Ni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  <c r="P154" s="33"/>
    </row>
    <row r="155">
      <c r="A155" s="117">
        <f t="shared" si="90"/>
        <v>0</v>
      </c>
      <c r="B155" s="33"/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11/22/25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IFERROR(__xludf.DUMMYFUNCTION("""COMPUTED_VALUE"""),"Rajasekar Ramasamy")</f>
        <v>Rajasekar Ramasamy</v>
      </c>
      <c r="C184" s="122">
        <f>IFERROR(__xludf.DUMMYFUNCTION("""COMPUTED_VALUE"""),4.0)</f>
        <v>4</v>
      </c>
      <c r="D184" s="122">
        <f>IFERROR(__xludf.DUMMYFUNCTION("""COMPUTED_VALUE"""),7.0)</f>
        <v>7</v>
      </c>
      <c r="E184" s="122">
        <f>IFERROR(__xludf.DUMMYFUNCTION("""COMPUTED_VALUE"""),1.0)</f>
        <v>1</v>
      </c>
      <c r="F184" s="122">
        <f>IFERROR(__xludf.DUMMYFUNCTION("""COMPUTED_VALUE"""),12.0)</f>
        <v>12</v>
      </c>
      <c r="G184" s="122">
        <f>IFERROR(__xludf.DUMMYFUNCTION("""COMPUTED_VALUE"""),1.0)</f>
        <v>1</v>
      </c>
    </row>
    <row r="185">
      <c r="A185" s="117">
        <f>IFERROR(__xludf.DUMMYFUNCTION("""COMPUTED_VALUE"""),1.0)</f>
        <v>1</v>
      </c>
      <c r="B185" s="33" t="str">
        <f>IFERROR(__xludf.DUMMYFUNCTION("""COMPUTED_VALUE"""),"Pavan Akkimsetty")</f>
        <v>Pavan Akkimsetty</v>
      </c>
      <c r="C185" s="122">
        <f>IFERROR(__xludf.DUMMYFUNCTION("""COMPUTED_VALUE"""),6.0)</f>
        <v>6</v>
      </c>
      <c r="D185" s="122">
        <f>IFERROR(__xludf.DUMMYFUNCTION("""COMPUTED_VALUE"""),6.0)</f>
        <v>6</v>
      </c>
      <c r="E185" s="122">
        <f>IFERROR(__xludf.DUMMYFUNCTION("""COMPUTED_VALUE"""),1.0)</f>
        <v>1</v>
      </c>
      <c r="F185" s="122">
        <f>IFERROR(__xludf.DUMMYFUNCTION("""COMPUTED_VALUE"""),13.0)</f>
        <v>13</v>
      </c>
      <c r="G185" s="122">
        <f>IFERROR(__xludf.DUMMYFUNCTION("""COMPUTED_VALUE"""),1.0)</f>
        <v>1</v>
      </c>
    </row>
    <row r="186">
      <c r="A186" s="117">
        <f>IFERROR(__xludf.DUMMYFUNCTION("""COMPUTED_VALUE"""),1.0)</f>
        <v>1</v>
      </c>
      <c r="B186" s="33" t="str">
        <f>IFERROR(__xludf.DUMMYFUNCTION("""COMPUTED_VALUE"""),"Pulkit Mathur")</f>
        <v>Pulkit Mathur</v>
      </c>
      <c r="C186" s="122">
        <f>IFERROR(__xludf.DUMMYFUNCTION("""COMPUTED_VALUE"""),6.0)</f>
        <v>6</v>
      </c>
      <c r="D186" s="122">
        <f>IFERROR(__xludf.DUMMYFUNCTION("""COMPUTED_VALUE"""),7.0)</f>
        <v>7</v>
      </c>
      <c r="E186" s="122">
        <f>IFERROR(__xludf.DUMMYFUNCTION("""COMPUTED_VALUE"""),6.0)</f>
        <v>6</v>
      </c>
      <c r="F186" s="122">
        <f>IFERROR(__xludf.DUMMYFUNCTION("""COMPUTED_VALUE"""),19.0)</f>
        <v>19</v>
      </c>
      <c r="G186" s="122">
        <f>IFERROR(__xludf.DUMMYFUNCTION("""COMPUTED_VALUE"""),3.0)</f>
        <v>3</v>
      </c>
    </row>
    <row r="187">
      <c r="A187" s="117">
        <f>IFERROR(__xludf.DUMMYFUNCTION("""COMPUTED_VALUE"""),1.0)</f>
        <v>1</v>
      </c>
      <c r="B187" s="33" t="str">
        <f>IFERROR(__xludf.DUMMYFUNCTION("""COMPUTED_VALUE"""),"Ethan Gu")</f>
        <v>Ethan Gu</v>
      </c>
      <c r="C187" s="122">
        <f>IFERROR(__xludf.DUMMYFUNCTION("""COMPUTED_VALUE"""),4.0)</f>
        <v>4</v>
      </c>
      <c r="D187" s="122">
        <f>IFERROR(__xludf.DUMMYFUNCTION("""COMPUTED_VALUE"""),6.0)</f>
        <v>6</v>
      </c>
      <c r="E187" s="122">
        <f>IFERROR(__xludf.DUMMYFUNCTION("""COMPUTED_VALUE"""),6.0)</f>
        <v>6</v>
      </c>
      <c r="F187" s="122">
        <f>IFERROR(__xludf.DUMMYFUNCTION("""COMPUTED_VALUE"""),16.0)</f>
        <v>16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IFERROR(__xludf.DUMMYFUNCTION("""COMPUTED_VALUE"""),"David Shin")</f>
        <v>David Shin</v>
      </c>
      <c r="C188" s="125">
        <f>IFERROR(__xludf.DUMMYFUNCTION("""COMPUTED_VALUE"""),6.0)</f>
        <v>6</v>
      </c>
      <c r="D188" s="125">
        <f>IFERROR(__xludf.DUMMYFUNCTION("""COMPUTED_VALUE"""),5.0)</f>
        <v>5</v>
      </c>
      <c r="E188" s="125">
        <f>IFERROR(__xludf.DUMMYFUNCTION("""COMPUTED_VALUE"""),4.0)</f>
        <v>4</v>
      </c>
      <c r="F188" s="125">
        <f>IFERROR(__xludf.DUMMYFUNCTION("""COMPUTED_VALUE"""),15.0)</f>
        <v>15</v>
      </c>
      <c r="G188" s="125">
        <f>IFERROR(__xludf.DUMMYFUNCTION("""COMPUTED_VALUE"""),1.0)</f>
        <v>1</v>
      </c>
    </row>
    <row r="189">
      <c r="A189" s="123">
        <f>IFERROR(__xludf.DUMMYFUNCTION("""COMPUTED_VALUE"""),2.0)</f>
        <v>2</v>
      </c>
      <c r="B189" s="124" t="str">
        <f>IFERROR(__xludf.DUMMYFUNCTION("""COMPUTED_VALUE"""),"Eric Pan")</f>
        <v>Eric Pan</v>
      </c>
      <c r="C189" s="125">
        <f>IFERROR(__xludf.DUMMYFUNCTION("""COMPUTED_VALUE"""),6.0)</f>
        <v>6</v>
      </c>
      <c r="D189" s="125">
        <f>IFERROR(__xludf.DUMMYFUNCTION("""COMPUTED_VALUE"""),7.0)</f>
        <v>7</v>
      </c>
      <c r="E189" s="125">
        <f>IFERROR(__xludf.DUMMYFUNCTION("""COMPUTED_VALUE"""),6.0)</f>
        <v>6</v>
      </c>
      <c r="F189" s="125">
        <f>IFERROR(__xludf.DUMMYFUNCTION("""COMPUTED_VALUE"""),19.0)</f>
        <v>19</v>
      </c>
      <c r="G189" s="125">
        <f>IFERROR(__xludf.DUMMYFUNCTION("""COMPUTED_VALUE"""),3.0)</f>
        <v>3</v>
      </c>
    </row>
    <row r="190">
      <c r="A190" s="123">
        <f>IFERROR(__xludf.DUMMYFUNCTION("""COMPUTED_VALUE"""),2.0)</f>
        <v>2</v>
      </c>
      <c r="B190" s="124" t="str">
        <f>IFERROR(__xludf.DUMMYFUNCTION("""COMPUTED_VALUE"""),"Joe Luzzi")</f>
        <v>Joe Luzzi</v>
      </c>
      <c r="C190" s="125">
        <f>IFERROR(__xludf.DUMMYFUNCTION("""COMPUTED_VALUE"""),1.0)</f>
        <v>1</v>
      </c>
      <c r="D190" s="125">
        <f>IFERROR(__xludf.DUMMYFUNCTION("""COMPUTED_VALUE"""),7.0)</f>
        <v>7</v>
      </c>
      <c r="E190" s="125">
        <f>IFERROR(__xludf.DUMMYFUNCTION("""COMPUTED_VALUE"""),4.0)</f>
        <v>4</v>
      </c>
      <c r="F190" s="125">
        <f>IFERROR(__xludf.DUMMYFUNCTION("""COMPUTED_VALUE"""),12.0)</f>
        <v>12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IFERROR(__xludf.DUMMYFUNCTION("""COMPUTED_VALUE"""),"Tina Hanson")</f>
        <v>Tina Hanson</v>
      </c>
      <c r="C191" s="125">
        <f>IFERROR(__xludf.DUMMYFUNCTION("""COMPUTED_VALUE"""),1.0)</f>
        <v>1</v>
      </c>
      <c r="D191" s="125">
        <f>IFERROR(__xludf.DUMMYFUNCTION("""COMPUTED_VALUE"""),5.0)</f>
        <v>5</v>
      </c>
      <c r="E191" s="125">
        <f>IFERROR(__xludf.DUMMYFUNCTION("""COMPUTED_VALUE"""),6.0)</f>
        <v>6</v>
      </c>
      <c r="F191" s="125">
        <f>IFERROR(__xludf.DUMMYFUNCTION("""COMPUTED_VALUE"""),12.0)</f>
        <v>12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IFERROR(__xludf.DUMMYFUNCTION("""COMPUTED_VALUE"""),"Ted Shen")</f>
        <v>Ted Shen</v>
      </c>
      <c r="C192" s="122">
        <f>IFERROR(__xludf.DUMMYFUNCTION("""COMPUTED_VALUE"""),1.0)</f>
        <v>1</v>
      </c>
      <c r="D192" s="122">
        <f>IFERROR(__xludf.DUMMYFUNCTION("""COMPUTED_VALUE"""),6.0)</f>
        <v>6</v>
      </c>
      <c r="E192" s="122">
        <f>IFERROR(__xludf.DUMMYFUNCTION("""COMPUTED_VALUE"""),3.0)</f>
        <v>3</v>
      </c>
      <c r="F192" s="122">
        <f>IFERROR(__xludf.DUMMYFUNCTION("""COMPUTED_VALUE"""),10.0)</f>
        <v>10</v>
      </c>
      <c r="G192" s="122">
        <f>IFERROR(__xludf.DUMMYFUNCTION("""COMPUTED_VALUE"""),1.0)</f>
        <v>1</v>
      </c>
    </row>
    <row r="193">
      <c r="A193" s="117">
        <f>IFERROR(__xludf.DUMMYFUNCTION("""COMPUTED_VALUE"""),3.0)</f>
        <v>3</v>
      </c>
      <c r="B193" s="33" t="str">
        <f>IFERROR(__xludf.DUMMYFUNCTION("""COMPUTED_VALUE"""),"Erik Hoeckmann")</f>
        <v>Erik Hoeckmann</v>
      </c>
      <c r="C193" s="122">
        <f>IFERROR(__xludf.DUMMYFUNCTION("""COMPUTED_VALUE"""),1.0)</f>
        <v>1</v>
      </c>
      <c r="D193" s="122">
        <f>IFERROR(__xludf.DUMMYFUNCTION("""COMPUTED_VALUE"""),2.0)</f>
        <v>2</v>
      </c>
      <c r="E193" s="122">
        <f>IFERROR(__xludf.DUMMYFUNCTION("""COMPUTED_VALUE"""),6.0)</f>
        <v>6</v>
      </c>
      <c r="F193" s="122">
        <f>IFERROR(__xludf.DUMMYFUNCTION("""COMPUTED_VALUE"""),9.0)</f>
        <v>9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IFERROR(__xludf.DUMMYFUNCTION("""COMPUTED_VALUE"""),"Oscar Bonilla")</f>
        <v>Oscar Bonilla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IFERROR(__xludf.DUMMYFUNCTION("""COMPUTED_VALUE"""),6.0)</f>
        <v>6</v>
      </c>
      <c r="F194" s="122">
        <f>IFERROR(__xludf.DUMMYFUNCTION("""COMPUTED_VALUE"""),18.0)</f>
        <v>18</v>
      </c>
      <c r="G194" s="122">
        <f>IFERROR(__xludf.DUMMYFUNCTION("""COMPUTED_VALUE"""),3.0)</f>
        <v>3</v>
      </c>
    </row>
    <row r="195">
      <c r="A195" s="117">
        <f>IFERROR(__xludf.DUMMYFUNCTION("""COMPUTED_VALUE"""),3.0)</f>
        <v>3</v>
      </c>
      <c r="B195" s="33" t="str">
        <f>IFERROR(__xludf.DUMMYFUNCTION("""COMPUTED_VALUE"""),"Herman Au")</f>
        <v>Herman Au</v>
      </c>
      <c r="C195" s="122">
        <f>IFERROR(__xludf.DUMMYFUNCTION("""COMPUTED_VALUE"""),6.0)</f>
        <v>6</v>
      </c>
      <c r="D195" s="122">
        <f>IFERROR(__xludf.DUMMYFUNCTION("""COMPUTED_VALUE"""),2.0)</f>
        <v>2</v>
      </c>
      <c r="E195" s="122">
        <f>IFERROR(__xludf.DUMMYFUNCTION("""COMPUTED_VALUE"""),3.0)</f>
        <v>3</v>
      </c>
      <c r="F195" s="122">
        <f>IFERROR(__xludf.DUMMYFUNCTION("""COMPUTED_VALUE"""),11.0)</f>
        <v>11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IFERROR(__xludf.DUMMYFUNCTION("""COMPUTED_VALUE"""),"Naveen Raj")</f>
        <v>Naveen Raj</v>
      </c>
      <c r="C196" s="125">
        <f>IFERROR(__xludf.DUMMYFUNCTION("""COMPUTED_VALUE"""),6.0)</f>
        <v>6</v>
      </c>
      <c r="D196" s="125">
        <f>IFERROR(__xludf.DUMMYFUNCTION("""COMPUTED_VALUE"""),2.0)</f>
        <v>2</v>
      </c>
      <c r="E196" s="125">
        <f>IFERROR(__xludf.DUMMYFUNCTION("""COMPUTED_VALUE"""),1.0)</f>
        <v>1</v>
      </c>
      <c r="F196" s="125">
        <f>IFERROR(__xludf.DUMMYFUNCTION("""COMPUTED_VALUE"""),9.0)</f>
        <v>9</v>
      </c>
      <c r="G196" s="125">
        <f>IFERROR(__xludf.DUMMYFUNCTION("""COMPUTED_VALUE"""),1.0)</f>
        <v>1</v>
      </c>
    </row>
    <row r="197">
      <c r="A197" s="123">
        <f>IFERROR(__xludf.DUMMYFUNCTION("""COMPUTED_VALUE"""),4.0)</f>
        <v>4</v>
      </c>
      <c r="B197" s="124" t="str">
        <f>IFERROR(__xludf.DUMMYFUNCTION("""COMPUTED_VALUE"""),"Frank Moon")</f>
        <v>Frank Moon</v>
      </c>
      <c r="C197" s="125">
        <f>IFERROR(__xludf.DUMMYFUNCTION("""COMPUTED_VALUE"""),1.0)</f>
        <v>1</v>
      </c>
      <c r="D197" s="125">
        <f>IFERROR(__xludf.DUMMYFUNCTION("""COMPUTED_VALUE"""),6.0)</f>
        <v>6</v>
      </c>
      <c r="E197" s="125">
        <f>IFERROR(__xludf.DUMMYFUNCTION("""COMPUTED_VALUE"""),1.0)</f>
        <v>1</v>
      </c>
      <c r="F197" s="125">
        <f>IFERROR(__xludf.DUMMYFUNCTION("""COMPUTED_VALUE"""),8.0)</f>
        <v>8</v>
      </c>
      <c r="G197" s="125">
        <f>IFERROR(__xludf.DUMMYFUNCTION("""COMPUTED_VALUE"""),1.0)</f>
        <v>1</v>
      </c>
    </row>
    <row r="198">
      <c r="A198" s="123">
        <f>IFERROR(__xludf.DUMMYFUNCTION("""COMPUTED_VALUE"""),4.0)</f>
        <v>4</v>
      </c>
      <c r="B198" s="124" t="str">
        <f>IFERROR(__xludf.DUMMYFUNCTION("""COMPUTED_VALUE"""),"Scott Li")</f>
        <v>Scott Li</v>
      </c>
      <c r="C198" s="125">
        <f>IFERROR(__xludf.DUMMYFUNCTION("""COMPUTED_VALUE"""),6.0)</f>
        <v>6</v>
      </c>
      <c r="D198" s="125">
        <f>IFERROR(__xludf.DUMMYFUNCTION("""COMPUTED_VALUE"""),6.0)</f>
        <v>6</v>
      </c>
      <c r="E198" s="125">
        <f>IFERROR(__xludf.DUMMYFUNCTION("""COMPUTED_VALUE"""),6.0)</f>
        <v>6</v>
      </c>
      <c r="F198" s="125">
        <f>IFERROR(__xludf.DUMMYFUNCTION("""COMPUTED_VALUE"""),18.0)</f>
        <v>18</v>
      </c>
      <c r="G198" s="125">
        <f>IFERROR(__xludf.DUMMYFUNCTION("""COMPUTED_VALUE"""),3.0)</f>
        <v>3</v>
      </c>
    </row>
    <row r="199">
      <c r="A199" s="123">
        <f>IFERROR(__xludf.DUMMYFUNCTION("""COMPUTED_VALUE"""),4.0)</f>
        <v>4</v>
      </c>
      <c r="B199" s="124" t="str">
        <f>IFERROR(__xludf.DUMMYFUNCTION("""COMPUTED_VALUE"""),"Cid Macaraeg")</f>
        <v>Cid Macaraeg</v>
      </c>
      <c r="C199" s="125">
        <f>IFERROR(__xludf.DUMMYFUNCTION("""COMPUTED_VALUE"""),1.0)</f>
        <v>1</v>
      </c>
      <c r="D199" s="125">
        <f>IFERROR(__xludf.DUMMYFUNCTION("""COMPUTED_VALUE"""),2.0)</f>
        <v>2</v>
      </c>
      <c r="E199" s="125">
        <f>IFERROR(__xludf.DUMMYFUNCTION("""COMPUTED_VALUE"""),6.0)</f>
        <v>6</v>
      </c>
      <c r="F199" s="125">
        <f>IFERROR(__xludf.DUMMYFUNCTION("""COMPUTED_VALUE"""),9.0)</f>
        <v>9</v>
      </c>
      <c r="G199" s="125">
        <f>IFERROR(__xludf.DUMMYFUNCTION("""COMPUTED_VALUE"""),1.0)</f>
        <v>1</v>
      </c>
    </row>
    <row r="200">
      <c r="A200" s="117">
        <f>IFERROR(__xludf.DUMMYFUNCTION("""COMPUTED_VALUE"""),5.0)</f>
        <v>5</v>
      </c>
      <c r="B200" s="33" t="str">
        <f>IFERROR(__xludf.DUMMYFUNCTION("""COMPUTED_VALUE"""),"Suleman Alidina")</f>
        <v>Suleman Alidina</v>
      </c>
      <c r="C200" s="122">
        <f>IFERROR(__xludf.DUMMYFUNCTION("""COMPUTED_VALUE"""),6.0)</f>
        <v>6</v>
      </c>
      <c r="D200" s="122">
        <f>IFERROR(__xludf.DUMMYFUNCTION("""COMPUTED_VALUE"""),6.0)</f>
        <v>6</v>
      </c>
      <c r="E200" s="122">
        <f>IFERROR(__xludf.DUMMYFUNCTION("""COMPUTED_VALUE"""),5.0)</f>
        <v>5</v>
      </c>
      <c r="F200" s="122">
        <f>IFERROR(__xludf.DUMMYFUNCTION("""COMPUTED_VALUE"""),17.0)</f>
        <v>17</v>
      </c>
      <c r="G200" s="122">
        <f>IFERROR(__xludf.DUMMYFUNCTION("""COMPUTED_VALUE"""),2.0)</f>
        <v>2</v>
      </c>
    </row>
    <row r="201">
      <c r="A201" s="117">
        <f>IFERROR(__xludf.DUMMYFUNCTION("""COMPUTED_VALUE"""),5.0)</f>
        <v>5</v>
      </c>
      <c r="B201" s="33" t="str">
        <f>IFERROR(__xludf.DUMMYFUNCTION("""COMPUTED_VALUE"""),"Nicole Ni")</f>
        <v>Nicole Ni</v>
      </c>
      <c r="C201" s="122">
        <f>IFERROR(__xludf.DUMMYFUNCTION("""COMPUTED_VALUE"""),3.0)</f>
        <v>3</v>
      </c>
      <c r="D201" s="122">
        <f>IFERROR(__xludf.DUMMYFUNCTION("""COMPUTED_VALUE"""),6.0)</f>
        <v>6</v>
      </c>
      <c r="E201" s="122">
        <f>IFERROR(__xludf.DUMMYFUNCTION("""COMPUTED_VALUE"""),7.0)</f>
        <v>7</v>
      </c>
      <c r="F201" s="122">
        <f>IFERROR(__xludf.DUMMYFUNCTION("""COMPUTED_VALUE"""),16.0)</f>
        <v>16</v>
      </c>
      <c r="G201" s="122">
        <f>IFERROR(__xludf.DUMMYFUNCTION("""COMPUTED_VALUE"""),2.0)</f>
        <v>2</v>
      </c>
    </row>
    <row r="202">
      <c r="A202" s="117">
        <f>IFERROR(__xludf.DUMMYFUNCTION("""COMPUTED_VALUE"""),5.0)</f>
        <v>5</v>
      </c>
      <c r="B202" s="33" t="str">
        <f>IFERROR(__xludf.DUMMYFUNCTION("""COMPUTED_VALUE"""),"Hongyuan Wen")</f>
        <v>Hongyuan Wen</v>
      </c>
      <c r="C202" s="122">
        <f>IFERROR(__xludf.DUMMYFUNCTION("""COMPUTED_VALUE"""),6.0)</f>
        <v>6</v>
      </c>
      <c r="D202" s="122">
        <f>IFERROR(__xludf.DUMMYFUNCTION("""COMPUTED_VALUE"""),4.0)</f>
        <v>4</v>
      </c>
      <c r="E202" s="122">
        <f>IFERROR(__xludf.DUMMYFUNCTION("""COMPUTED_VALUE"""),7.0)</f>
        <v>7</v>
      </c>
      <c r="F202" s="122">
        <f>IFERROR(__xludf.DUMMYFUNCTION("""COMPUTED_VALUE"""),17.0)</f>
        <v>17</v>
      </c>
      <c r="G202" s="122">
        <f>IFERROR(__xludf.DUMMYFUNCTION("""COMPUTED_VALUE"""),2.0)</f>
        <v>2</v>
      </c>
    </row>
    <row r="203">
      <c r="A203" s="117">
        <f>IFERROR(__xludf.DUMMYFUNCTION("""COMPUTED_VALUE"""),5.0)</f>
        <v>5</v>
      </c>
      <c r="B203" s="33" t="str">
        <f>IFERROR(__xludf.DUMMYFUNCTION("""COMPUTED_VALUE"""),"Jimmy Awolesi")</f>
        <v>Jimmy Awolesi</v>
      </c>
      <c r="C203" s="122">
        <f>IFERROR(__xludf.DUMMYFUNCTION("""COMPUTED_VALUE"""),3.0)</f>
        <v>3</v>
      </c>
      <c r="D203" s="122">
        <f>IFERROR(__xludf.DUMMYFUNCTION("""COMPUTED_VALUE"""),4.0)</f>
        <v>4</v>
      </c>
      <c r="E203" s="122">
        <f>IFERROR(__xludf.DUMMYFUNCTION("""COMPUTED_VALUE"""),5.0)</f>
        <v>5</v>
      </c>
      <c r="F203" s="122">
        <f>IFERROR(__xludf.DUMMYFUNCTION("""COMPUTED_VALUE"""),12.0)</f>
        <v>12</v>
      </c>
      <c r="G203" s="122">
        <f>IFERROR(__xludf.DUMMYFUNCTION("""COMPUTED_VALUE"""),0.0)</f>
        <v>0</v>
      </c>
    </row>
    <row r="204">
      <c r="A204" s="123">
        <f>IFERROR(__xludf.DUMMYFUNCTION("""COMPUTED_VALUE"""),6.0)</f>
        <v>6</v>
      </c>
      <c r="B204" s="124" t="str">
        <f>IFERROR(__xludf.DUMMYFUNCTION("""COMPUTED_VALUE"""),"Allen Zhang")</f>
        <v>Allen Zhang</v>
      </c>
      <c r="C204" s="125">
        <f>IFERROR(__xludf.DUMMYFUNCTION("""COMPUTED_VALUE"""),4.0)</f>
        <v>4</v>
      </c>
      <c r="D204" s="125">
        <f>IFERROR(__xludf.DUMMYFUNCTION("""COMPUTED_VALUE"""),6.0)</f>
        <v>6</v>
      </c>
      <c r="E204" s="125">
        <f>IFERROR(__xludf.DUMMYFUNCTION("""COMPUTED_VALUE"""),4.0)</f>
        <v>4</v>
      </c>
      <c r="F204" s="125">
        <f>IFERROR(__xludf.DUMMYFUNCTION("""COMPUTED_VALUE"""),14.0)</f>
        <v>14</v>
      </c>
      <c r="G204" s="125">
        <f>IFERROR(__xludf.DUMMYFUNCTION("""COMPUTED_VALUE"""),1.0)</f>
        <v>1</v>
      </c>
    </row>
    <row r="205">
      <c r="A205" s="123">
        <f>IFERROR(__xludf.DUMMYFUNCTION("""COMPUTED_VALUE"""),6.0)</f>
        <v>6</v>
      </c>
      <c r="B205" s="124" t="str">
        <f>IFERROR(__xludf.DUMMYFUNCTION("""COMPUTED_VALUE"""),"Coco Yan")</f>
        <v>Coco Yan</v>
      </c>
      <c r="C205" s="125">
        <f>IFERROR(__xludf.DUMMYFUNCTION("""COMPUTED_VALUE"""),4.0)</f>
        <v>4</v>
      </c>
      <c r="D205" s="125">
        <f>IFERROR(__xludf.DUMMYFUNCTION("""COMPUTED_VALUE"""),2.0)</f>
        <v>2</v>
      </c>
      <c r="E205" s="125">
        <f>IFERROR(__xludf.DUMMYFUNCTION("""COMPUTED_VALUE"""),6.0)</f>
        <v>6</v>
      </c>
      <c r="F205" s="125">
        <f>IFERROR(__xludf.DUMMYFUNCTION("""COMPUTED_VALUE"""),12.0)</f>
        <v>12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IFERROR(__xludf.DUMMYFUNCTION("""COMPUTED_VALUE"""),"Mauricio Palacios")</f>
        <v>Mauricio Palacios</v>
      </c>
      <c r="C206" s="125">
        <f>IFERROR(__xludf.DUMMYFUNCTION("""COMPUTED_VALUE"""),6.0)</f>
        <v>6</v>
      </c>
      <c r="D206" s="125">
        <f>IFERROR(__xludf.DUMMYFUNCTION("""COMPUTED_VALUE"""),6.0)</f>
        <v>6</v>
      </c>
      <c r="E206" s="125">
        <f>IFERROR(__xludf.DUMMYFUNCTION("""COMPUTED_VALUE"""),6.0)</f>
        <v>6</v>
      </c>
      <c r="F206" s="125">
        <f>IFERROR(__xludf.DUMMYFUNCTION("""COMPUTED_VALUE"""),18.0)</f>
        <v>18</v>
      </c>
      <c r="G206" s="125">
        <f>IFERROR(__xludf.DUMMYFUNCTION("""COMPUTED_VALUE"""),3.0)</f>
        <v>3</v>
      </c>
    </row>
    <row r="207">
      <c r="A207" s="123">
        <f>IFERROR(__xludf.DUMMYFUNCTION("""COMPUTED_VALUE"""),6.0)</f>
        <v>6</v>
      </c>
      <c r="B207" s="124" t="str">
        <f>IFERROR(__xludf.DUMMYFUNCTION("""COMPUTED_VALUE"""),"Alex Hou")</f>
        <v>Alex Hou</v>
      </c>
      <c r="C207" s="125">
        <f>IFERROR(__xludf.DUMMYFUNCTION("""COMPUTED_VALUE"""),6.0)</f>
        <v>6</v>
      </c>
      <c r="D207" s="125">
        <f>IFERROR(__xludf.DUMMYFUNCTION("""COMPUTED_VALUE"""),2.0)</f>
        <v>2</v>
      </c>
      <c r="E207" s="125">
        <f>IFERROR(__xludf.DUMMYFUNCTION("""COMPUTED_VALUE"""),4.0)</f>
        <v>4</v>
      </c>
      <c r="F207" s="125">
        <f>IFERROR(__xludf.DUMMYFUNCTION("""COMPUTED_VALUE"""),12.0)</f>
        <v>12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IFERROR(__xludf.DUMMYFUNCTION("""COMPUTED_VALUE"""),"Elayaraja Thangaraj")</f>
        <v>Elayaraja Thangaraj</v>
      </c>
      <c r="C208" s="122">
        <f>IFERROR(__xludf.DUMMYFUNCTION("""COMPUTED_VALUE"""),6.0)</f>
        <v>6</v>
      </c>
      <c r="D208" s="122">
        <f>IFERROR(__xludf.DUMMYFUNCTION("""COMPUTED_VALUE"""),7.0)</f>
        <v>7</v>
      </c>
      <c r="E208" s="122">
        <f>IFERROR(__xludf.DUMMYFUNCTION("""COMPUTED_VALUE"""),6.0)</f>
        <v>6</v>
      </c>
      <c r="F208" s="122">
        <f>IFERROR(__xludf.DUMMYFUNCTION("""COMPUTED_VALUE"""),19.0)</f>
        <v>19</v>
      </c>
      <c r="G208" s="122">
        <f>IFERROR(__xludf.DUMMYFUNCTION("""COMPUTED_VALUE"""),3.0)</f>
        <v>3</v>
      </c>
    </row>
    <row r="209">
      <c r="A209" s="117">
        <f>IFERROR(__xludf.DUMMYFUNCTION("""COMPUTED_VALUE"""),7.0)</f>
        <v>7</v>
      </c>
      <c r="B209" s="33" t="str">
        <f>IFERROR(__xludf.DUMMYFUNCTION("""COMPUTED_VALUE"""),"Jim Miao")</f>
        <v>Jim Miao</v>
      </c>
      <c r="C209" s="122">
        <f>IFERROR(__xludf.DUMMYFUNCTION("""COMPUTED_VALUE"""),6.0)</f>
        <v>6</v>
      </c>
      <c r="D209" s="122">
        <f>IFERROR(__xludf.DUMMYFUNCTION("""COMPUTED_VALUE"""),5.0)</f>
        <v>5</v>
      </c>
      <c r="E209" s="122">
        <f>IFERROR(__xludf.DUMMYFUNCTION("""COMPUTED_VALUE"""),1.0)</f>
        <v>1</v>
      </c>
      <c r="F209" s="122">
        <f>IFERROR(__xludf.DUMMYFUNCTION("""COMPUTED_VALUE"""),12.0)</f>
        <v>12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IFERROR(__xludf.DUMMYFUNCTION("""COMPUTED_VALUE"""),"Kumar Palakeel")</f>
        <v>Kumar Palakeel</v>
      </c>
      <c r="C210" s="122">
        <f>IFERROR(__xludf.DUMMYFUNCTION("""COMPUTED_VALUE"""),3.0)</f>
        <v>3</v>
      </c>
      <c r="D210" s="122">
        <f>IFERROR(__xludf.DUMMYFUNCTION("""COMPUTED_VALUE"""),7.0)</f>
        <v>7</v>
      </c>
      <c r="E210" s="122">
        <f>IFERROR(__xludf.DUMMYFUNCTION("""COMPUTED_VALUE"""),1.0)</f>
        <v>1</v>
      </c>
      <c r="F210" s="122">
        <f>IFERROR(__xludf.DUMMYFUNCTION("""COMPUTED_VALUE"""),11.0)</f>
        <v>11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IFERROR(__xludf.DUMMYFUNCTION("""COMPUTED_VALUE"""),"Sean Chang")</f>
        <v>Sean Chang</v>
      </c>
      <c r="C211" s="122">
        <f>IFERROR(__xludf.DUMMYFUNCTION("""COMPUTED_VALUE"""),3.0)</f>
        <v>3</v>
      </c>
      <c r="D211" s="122">
        <f>IFERROR(__xludf.DUMMYFUNCTION("""COMPUTED_VALUE"""),5.0)</f>
        <v>5</v>
      </c>
      <c r="E211" s="122">
        <f>IFERROR(__xludf.DUMMYFUNCTION("""COMPUTED_VALUE"""),6.0)</f>
        <v>6</v>
      </c>
      <c r="F211" s="122">
        <f>IFERROR(__xludf.DUMMYFUNCTION("""COMPUTED_VALUE"""),14.0)</f>
        <v>14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IFERROR(__xludf.DUMMYFUNCTION("""COMPUTED_VALUE"""),"Sandy Weyant")</f>
        <v>Sandy Weyant</v>
      </c>
      <c r="C212" s="125">
        <f>IFERROR(__xludf.DUMMYFUNCTION("""COMPUTED_VALUE"""),0.0)</f>
        <v>0</v>
      </c>
      <c r="D212" s="125">
        <f>IFERROR(__xludf.DUMMYFUNCTION("""COMPUTED_VALUE"""),3.0)</f>
        <v>3</v>
      </c>
      <c r="E212" s="125">
        <f>IFERROR(__xludf.DUMMYFUNCTION("""COMPUTED_VALUE"""),6.0)</f>
        <v>6</v>
      </c>
      <c r="F212" s="125">
        <f>IFERROR(__xludf.DUMMYFUNCTION("""COMPUTED_VALUE"""),9.0)</f>
        <v>9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IFERROR(__xludf.DUMMYFUNCTION("""COMPUTED_VALUE"""),"James Phan")</f>
        <v>James Phan</v>
      </c>
      <c r="C213" s="125">
        <f>IFERROR(__xludf.DUMMYFUNCTION("""COMPUTED_VALUE"""),6.0)</f>
        <v>6</v>
      </c>
      <c r="D213" s="125">
        <f>IFERROR(__xludf.DUMMYFUNCTION("""COMPUTED_VALUE"""),6.0)</f>
        <v>6</v>
      </c>
      <c r="E213" s="125">
        <f>IFERROR(__xludf.DUMMYFUNCTION("""COMPUTED_VALUE"""),6.0)</f>
        <v>6</v>
      </c>
      <c r="F213" s="125">
        <f>IFERROR(__xludf.DUMMYFUNCTION("""COMPUTED_VALUE"""),18.0)</f>
        <v>18</v>
      </c>
      <c r="G213" s="125">
        <f>IFERROR(__xludf.DUMMYFUNCTION("""COMPUTED_VALUE"""),3.0)</f>
        <v>3</v>
      </c>
    </row>
    <row r="214">
      <c r="A214" s="123">
        <f>IFERROR(__xludf.DUMMYFUNCTION("""COMPUTED_VALUE"""),8.0)</f>
        <v>8</v>
      </c>
      <c r="B214" s="124" t="str">
        <f>IFERROR(__xludf.DUMMYFUNCTION("""COMPUTED_VALUE"""),"Sanjaye Elayattu")</f>
        <v>Sanjaye Elayattu</v>
      </c>
      <c r="C214" s="125">
        <f>IFERROR(__xludf.DUMMYFUNCTION("""COMPUTED_VALUE"""),6.0)</f>
        <v>6</v>
      </c>
      <c r="D214" s="125">
        <f>IFERROR(__xludf.DUMMYFUNCTION("""COMPUTED_VALUE"""),3.0)</f>
        <v>3</v>
      </c>
      <c r="E214" s="125">
        <f>IFERROR(__xludf.DUMMYFUNCTION("""COMPUTED_VALUE"""),1.0)</f>
        <v>1</v>
      </c>
      <c r="F214" s="125">
        <f>IFERROR(__xludf.DUMMYFUNCTION("""COMPUTED_VALUE"""),10.0)</f>
        <v>10</v>
      </c>
      <c r="G214" s="125">
        <f>IFERROR(__xludf.DUMMYFUNCTION("""COMPUTED_VALUE"""),1.0)</f>
        <v>1</v>
      </c>
    </row>
    <row r="215">
      <c r="A215" s="123">
        <f>IFERROR(__xludf.DUMMYFUNCTION("""COMPUTED_VALUE"""),8.0)</f>
        <v>8</v>
      </c>
      <c r="B215" s="124" t="str">
        <f>IFERROR(__xludf.DUMMYFUNCTION("""COMPUTED_VALUE"""),"Wayne Liu")</f>
        <v>Wayne Liu</v>
      </c>
      <c r="C215" s="125">
        <f>IFERROR(__xludf.DUMMYFUNCTION("""COMPUTED_VALUE"""),0.0)</f>
        <v>0</v>
      </c>
      <c r="D215" s="125">
        <f>IFERROR(__xludf.DUMMYFUNCTION("""COMPUTED_VALUE"""),6.0)</f>
        <v>6</v>
      </c>
      <c r="E215" s="125">
        <f>IFERROR(__xludf.DUMMYFUNCTION("""COMPUTED_VALUE"""),1.0)</f>
        <v>1</v>
      </c>
      <c r="F215" s="125">
        <f>IFERROR(__xludf.DUMMYFUNCTION("""COMPUTED_VALUE"""),7.0)</f>
        <v>7</v>
      </c>
      <c r="G215" s="125">
        <f>IFERROR(__xludf.DUMMYFUNCTION("""COMPUTED_VALUE"""),1.0)</f>
        <v>1</v>
      </c>
    </row>
    <row r="216">
      <c r="A216" s="117">
        <f>IFERROR(__xludf.DUMMYFUNCTION("""COMPUTED_VALUE"""),9.0)</f>
        <v>9</v>
      </c>
      <c r="B216" s="33" t="str">
        <f>IFERROR(__xludf.DUMMYFUNCTION("""COMPUTED_VALUE"""),"Adrian Tay")</f>
        <v>Adrian Tay</v>
      </c>
      <c r="C216" s="122">
        <f>IFERROR(__xludf.DUMMYFUNCTION("""COMPUTED_VALUE"""),6.0)</f>
        <v>6</v>
      </c>
      <c r="D216" s="122">
        <f>IFERROR(__xludf.DUMMYFUNCTION("""COMPUTED_VALUE"""),3.0)</f>
        <v>3</v>
      </c>
      <c r="E216" s="122">
        <f>IFERROR(__xludf.DUMMYFUNCTION("""COMPUTED_VALUE"""),3.0)</f>
        <v>3</v>
      </c>
      <c r="F216" s="122">
        <f>IFERROR(__xludf.DUMMYFUNCTION("""COMPUTED_VALUE"""),12.0)</f>
        <v>12</v>
      </c>
      <c r="G216" s="122">
        <f>IFERROR(__xludf.DUMMYFUNCTION("""COMPUTED_VALUE"""),0.0)</f>
        <v>0</v>
      </c>
    </row>
    <row r="217">
      <c r="A217" s="117">
        <f>IFERROR(__xludf.DUMMYFUNCTION("""COMPUTED_VALUE"""),9.0)</f>
        <v>9</v>
      </c>
      <c r="B217" s="33" t="str">
        <f>IFERROR(__xludf.DUMMYFUNCTION("""COMPUTED_VALUE"""),"Darren Wong")</f>
        <v>Darren Wong</v>
      </c>
      <c r="C217" s="122">
        <f>IFERROR(__xludf.DUMMYFUNCTION("""COMPUTED_VALUE"""),6.0)</f>
        <v>6</v>
      </c>
      <c r="D217" s="122">
        <f>IFERROR(__xludf.DUMMYFUNCTION("""COMPUTED_VALUE"""),6.0)</f>
        <v>6</v>
      </c>
      <c r="E217" s="122">
        <f>IFERROR(__xludf.DUMMYFUNCTION("""COMPUTED_VALUE"""),6.0)</f>
        <v>6</v>
      </c>
      <c r="F217" s="122">
        <f>IFERROR(__xludf.DUMMYFUNCTION("""COMPUTED_VALUE"""),18.0)</f>
        <v>18</v>
      </c>
      <c r="G217" s="122">
        <f>IFERROR(__xludf.DUMMYFUNCTION("""COMPUTED_VALUE"""),2.0)</f>
        <v>2</v>
      </c>
    </row>
    <row r="218">
      <c r="A218" s="117">
        <f>IFERROR(__xludf.DUMMYFUNCTION("""COMPUTED_VALUE"""),9.0)</f>
        <v>9</v>
      </c>
      <c r="B218" s="33" t="str">
        <f>IFERROR(__xludf.DUMMYFUNCTION("""COMPUTED_VALUE"""),"Lam Bui")</f>
        <v>Lam Bui</v>
      </c>
      <c r="C218" s="122">
        <f>IFERROR(__xludf.DUMMYFUNCTION("""COMPUTED_VALUE"""),7.0)</f>
        <v>7</v>
      </c>
      <c r="D218" s="122">
        <f>IFERROR(__xludf.DUMMYFUNCTION("""COMPUTED_VALUE"""),6.0)</f>
        <v>6</v>
      </c>
      <c r="E218" s="122">
        <f>IFERROR(__xludf.DUMMYFUNCTION("""COMPUTED_VALUE"""),3.0)</f>
        <v>3</v>
      </c>
      <c r="F218" s="122">
        <f>IFERROR(__xludf.DUMMYFUNCTION("""COMPUTED_VALUE"""),16.0)</f>
        <v>16</v>
      </c>
      <c r="G218" s="122">
        <f>IFERROR(__xludf.DUMMYFUNCTION("""COMPUTED_VALUE"""),2.0)</f>
        <v>2</v>
      </c>
    </row>
    <row r="219">
      <c r="A219" s="117">
        <f>IFERROR(__xludf.DUMMYFUNCTION("""COMPUTED_VALUE"""),9.0)</f>
        <v>9</v>
      </c>
      <c r="B219" s="33" t="str">
        <f>IFERROR(__xludf.DUMMYFUNCTION("""COMPUTED_VALUE"""),"Sandeep Kamalon")</f>
        <v>Sandeep Kamalon</v>
      </c>
      <c r="C219" s="122">
        <f>IFERROR(__xludf.DUMMYFUNCTION("""COMPUTED_VALUE"""),7.0)</f>
        <v>7</v>
      </c>
      <c r="D219" s="122">
        <f>IFERROR(__xludf.DUMMYFUNCTION("""COMPUTED_VALUE"""),3.0)</f>
        <v>3</v>
      </c>
      <c r="E219" s="122">
        <f>IFERROR(__xludf.DUMMYFUNCTION("""COMPUTED_VALUE"""),6.0)</f>
        <v>6</v>
      </c>
      <c r="F219" s="122">
        <f>IFERROR(__xludf.DUMMYFUNCTION("""COMPUTED_VALUE"""),16.0)</f>
        <v>16</v>
      </c>
      <c r="G219" s="122">
        <f>IFERROR(__xludf.DUMMYFUNCTION("""COMPUTED_VALUE"""),2.0)</f>
        <v>2</v>
      </c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45983.0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21.0</v>
      </c>
      <c r="E2" s="1"/>
      <c r="F2" s="1"/>
      <c r="R2" s="17"/>
      <c r="AC2" s="21" t="str">
        <f>text(C1-7,"mm/dd/yy")</f>
        <v>11/15/25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278.0</v>
      </c>
      <c r="D5" s="34">
        <v>33.0</v>
      </c>
      <c r="E5" s="35">
        <f t="shared" ref="E5:E69" si="2">if(S5&gt;0,(C5-(V5*9)-(T5*13))/S5,0)</f>
        <v>15.35714286</v>
      </c>
      <c r="F5" s="95">
        <v>1.0</v>
      </c>
      <c r="G5" s="96">
        <v>9.0</v>
      </c>
      <c r="H5" s="97">
        <v>0.0</v>
      </c>
      <c r="I5" s="96">
        <v>6.0</v>
      </c>
      <c r="J5" s="96">
        <v>3.0</v>
      </c>
      <c r="K5" s="96">
        <v>3.0</v>
      </c>
      <c r="L5" s="98">
        <v>12.0</v>
      </c>
      <c r="M5" s="96">
        <v>0.0</v>
      </c>
      <c r="N5" s="34">
        <f t="shared" ref="N5:O5" si="1">C5+L5</f>
        <v>290</v>
      </c>
      <c r="O5" s="34">
        <f t="shared" si="1"/>
        <v>33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14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7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267.0</v>
      </c>
      <c r="D6" s="34">
        <v>29.0</v>
      </c>
      <c r="E6" s="35">
        <f t="shared" si="2"/>
        <v>14.28571429</v>
      </c>
      <c r="F6" s="95">
        <v>2.0</v>
      </c>
      <c r="G6" s="96">
        <v>9.0</v>
      </c>
      <c r="H6" s="97">
        <v>0.0</v>
      </c>
      <c r="I6" s="96">
        <v>6.0</v>
      </c>
      <c r="J6" s="96">
        <v>6.0</v>
      </c>
      <c r="K6" s="96">
        <v>6.0</v>
      </c>
      <c r="L6" s="98">
        <v>18.0</v>
      </c>
      <c r="M6" s="96">
        <v>2.0</v>
      </c>
      <c r="N6" s="34">
        <f t="shared" ref="N6:O6" si="3">C6+L6</f>
        <v>285</v>
      </c>
      <c r="O6" s="34">
        <f t="shared" si="3"/>
        <v>31</v>
      </c>
      <c r="P6" s="49" t="s">
        <v>58</v>
      </c>
      <c r="Q6" s="49" t="s">
        <v>58</v>
      </c>
      <c r="R6" s="49"/>
      <c r="S6" s="50">
        <f t="shared" si="4"/>
        <v>14</v>
      </c>
      <c r="T6" s="52">
        <f t="shared" si="5"/>
        <v>1</v>
      </c>
      <c r="U6" s="52"/>
      <c r="V6" s="50">
        <f t="shared" si="6"/>
        <v>6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267.0</v>
      </c>
      <c r="D7" s="34">
        <v>27.0</v>
      </c>
      <c r="E7" s="35">
        <f t="shared" si="2"/>
        <v>13.33333333</v>
      </c>
      <c r="F7" s="95">
        <v>1.0</v>
      </c>
      <c r="G7" s="96">
        <v>9.0</v>
      </c>
      <c r="H7" s="97">
        <v>0.0</v>
      </c>
      <c r="I7" s="96">
        <v>7.0</v>
      </c>
      <c r="J7" s="96">
        <v>6.0</v>
      </c>
      <c r="K7" s="96">
        <v>3.0</v>
      </c>
      <c r="L7" s="98">
        <v>16.0</v>
      </c>
      <c r="M7" s="96">
        <v>2.0</v>
      </c>
      <c r="N7" s="34">
        <f t="shared" ref="N7:O7" si="11">C7+L7</f>
        <v>283</v>
      </c>
      <c r="O7" s="34">
        <f t="shared" si="11"/>
        <v>29</v>
      </c>
      <c r="P7" s="49" t="s">
        <v>58</v>
      </c>
      <c r="Q7" s="49" t="s">
        <v>58</v>
      </c>
      <c r="R7" s="49"/>
      <c r="S7" s="50">
        <f t="shared" si="4"/>
        <v>18</v>
      </c>
      <c r="T7" s="52">
        <f t="shared" si="5"/>
        <v>0</v>
      </c>
      <c r="U7" s="52"/>
      <c r="V7" s="50">
        <f t="shared" si="6"/>
        <v>3</v>
      </c>
      <c r="W7" s="52">
        <f t="shared" si="7"/>
        <v>0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90</v>
      </c>
      <c r="C8" s="34">
        <v>257.0</v>
      </c>
      <c r="D8" s="34">
        <v>29.0</v>
      </c>
      <c r="E8" s="35">
        <f t="shared" si="2"/>
        <v>12.36842105</v>
      </c>
      <c r="F8" s="95">
        <v>1.0</v>
      </c>
      <c r="G8" s="96">
        <v>9.0</v>
      </c>
      <c r="H8" s="97">
        <v>0.0</v>
      </c>
      <c r="I8" s="96">
        <v>7.0</v>
      </c>
      <c r="J8" s="96">
        <v>3.0</v>
      </c>
      <c r="K8" s="96">
        <v>6.0</v>
      </c>
      <c r="L8" s="98">
        <v>16.0</v>
      </c>
      <c r="M8" s="96">
        <v>2.0</v>
      </c>
      <c r="N8" s="34">
        <f t="shared" ref="N8:O8" si="13">C8+L8</f>
        <v>273</v>
      </c>
      <c r="O8" s="34">
        <f t="shared" si="13"/>
        <v>31</v>
      </c>
      <c r="P8" s="49" t="s">
        <v>58</v>
      </c>
      <c r="Q8" s="49" t="s">
        <v>58</v>
      </c>
      <c r="R8" s="49"/>
      <c r="S8" s="50">
        <f t="shared" si="4"/>
        <v>19</v>
      </c>
      <c r="T8" s="52">
        <f t="shared" si="5"/>
        <v>1</v>
      </c>
      <c r="U8" s="52"/>
      <c r="V8" s="50">
        <f t="shared" si="6"/>
        <v>1</v>
      </c>
      <c r="W8" s="52">
        <f t="shared" si="7"/>
        <v>0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91</v>
      </c>
      <c r="C9" s="34">
        <v>257.0</v>
      </c>
      <c r="D9" s="34">
        <v>28.0</v>
      </c>
      <c r="E9" s="35">
        <f t="shared" si="2"/>
        <v>12.36842105</v>
      </c>
      <c r="F9" s="95">
        <v>1.0</v>
      </c>
      <c r="G9" s="96">
        <v>1.0</v>
      </c>
      <c r="H9" s="97">
        <v>0.0</v>
      </c>
      <c r="I9" s="96">
        <v>4.0</v>
      </c>
      <c r="J9" s="96">
        <v>7.0</v>
      </c>
      <c r="K9" s="96">
        <v>1.0</v>
      </c>
      <c r="L9" s="98">
        <v>12.0</v>
      </c>
      <c r="M9" s="96">
        <v>1.0</v>
      </c>
      <c r="N9" s="34">
        <f t="shared" ref="N9:O9" si="14">C9+L9</f>
        <v>269</v>
      </c>
      <c r="O9" s="34">
        <f t="shared" si="14"/>
        <v>29</v>
      </c>
      <c r="P9" s="49" t="s">
        <v>58</v>
      </c>
      <c r="Q9" s="49" t="s">
        <v>58</v>
      </c>
      <c r="R9" s="49"/>
      <c r="S9" s="50">
        <f t="shared" si="4"/>
        <v>19</v>
      </c>
      <c r="T9" s="52">
        <f t="shared" si="5"/>
        <v>1</v>
      </c>
      <c r="U9" s="52"/>
      <c r="V9" s="50">
        <f t="shared" si="6"/>
        <v>1</v>
      </c>
      <c r="W9" s="52">
        <f t="shared" si="7"/>
        <v>0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134</v>
      </c>
      <c r="C10" s="34">
        <v>256.0</v>
      </c>
      <c r="D10" s="34">
        <v>27.0</v>
      </c>
      <c r="E10" s="35">
        <f t="shared" si="2"/>
        <v>14.15384615</v>
      </c>
      <c r="F10" s="95">
        <v>3.0</v>
      </c>
      <c r="G10" s="96">
        <v>0.0</v>
      </c>
      <c r="H10" s="97">
        <v>9.0</v>
      </c>
      <c r="I10" s="96">
        <v>0.0</v>
      </c>
      <c r="J10" s="96">
        <v>0.0</v>
      </c>
      <c r="K10" s="96">
        <v>0.0</v>
      </c>
      <c r="L10" s="98">
        <v>9.0</v>
      </c>
      <c r="M10" s="96">
        <v>0.0</v>
      </c>
      <c r="N10" s="34">
        <f t="shared" ref="N10:O10" si="15">C10+L10</f>
        <v>265</v>
      </c>
      <c r="O10" s="34">
        <f t="shared" si="15"/>
        <v>27</v>
      </c>
      <c r="P10" s="49" t="s">
        <v>58</v>
      </c>
      <c r="Q10" s="49" t="s">
        <v>58</v>
      </c>
      <c r="R10" s="49"/>
      <c r="S10" s="50">
        <f t="shared" si="4"/>
        <v>13</v>
      </c>
      <c r="T10" s="52">
        <f t="shared" si="5"/>
        <v>0</v>
      </c>
      <c r="U10" s="52"/>
      <c r="V10" s="50">
        <f t="shared" si="6"/>
        <v>8</v>
      </c>
      <c r="W10" s="52">
        <f t="shared" si="7"/>
        <v>0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113</v>
      </c>
      <c r="C11" s="34">
        <v>255.0</v>
      </c>
      <c r="D11" s="34">
        <v>23.0</v>
      </c>
      <c r="E11" s="35">
        <f t="shared" si="2"/>
        <v>13.125</v>
      </c>
      <c r="F11" s="95">
        <v>1.0</v>
      </c>
      <c r="G11" s="96">
        <v>1.0</v>
      </c>
      <c r="H11" s="97">
        <v>0.0</v>
      </c>
      <c r="I11" s="96">
        <v>6.0</v>
      </c>
      <c r="J11" s="96">
        <v>6.0</v>
      </c>
      <c r="K11" s="96">
        <v>1.0</v>
      </c>
      <c r="L11" s="98">
        <v>13.0</v>
      </c>
      <c r="M11" s="96">
        <v>1.0</v>
      </c>
      <c r="N11" s="34">
        <f t="shared" ref="N11:O11" si="16">C11+L11</f>
        <v>268</v>
      </c>
      <c r="O11" s="34">
        <f t="shared" si="16"/>
        <v>24</v>
      </c>
      <c r="P11" s="49" t="s">
        <v>58</v>
      </c>
      <c r="Q11" s="49" t="s">
        <v>58</v>
      </c>
      <c r="R11" s="49"/>
      <c r="S11" s="50">
        <f t="shared" si="4"/>
        <v>16</v>
      </c>
      <c r="T11" s="52">
        <f t="shared" si="5"/>
        <v>0</v>
      </c>
      <c r="U11" s="52"/>
      <c r="V11" s="50">
        <f t="shared" si="6"/>
        <v>5</v>
      </c>
      <c r="W11" s="52">
        <f t="shared" si="7"/>
        <v>0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84</v>
      </c>
      <c r="C12" s="34">
        <v>252.0</v>
      </c>
      <c r="D12" s="34">
        <v>24.0</v>
      </c>
      <c r="E12" s="35">
        <f t="shared" si="2"/>
        <v>13.2</v>
      </c>
      <c r="F12" s="95">
        <v>1.0</v>
      </c>
      <c r="G12" s="96">
        <v>1.0</v>
      </c>
      <c r="H12" s="97">
        <v>0.0</v>
      </c>
      <c r="I12" s="96">
        <v>6.0</v>
      </c>
      <c r="J12" s="96">
        <v>7.0</v>
      </c>
      <c r="K12" s="96">
        <v>6.0</v>
      </c>
      <c r="L12" s="98">
        <v>19.0</v>
      </c>
      <c r="M12" s="96">
        <v>3.0</v>
      </c>
      <c r="N12" s="34">
        <f t="shared" ref="N12:O12" si="17">C12+L12</f>
        <v>271</v>
      </c>
      <c r="O12" s="34">
        <f t="shared" si="17"/>
        <v>27</v>
      </c>
      <c r="P12" s="49" t="s">
        <v>58</v>
      </c>
      <c r="Q12" s="49" t="s">
        <v>58</v>
      </c>
      <c r="R12" s="49"/>
      <c r="S12" s="50">
        <f t="shared" si="4"/>
        <v>15</v>
      </c>
      <c r="T12" s="52">
        <f t="shared" si="5"/>
        <v>0</v>
      </c>
      <c r="U12" s="52"/>
      <c r="V12" s="50">
        <f t="shared" si="6"/>
        <v>6</v>
      </c>
      <c r="W12" s="52">
        <f t="shared" si="7"/>
        <v>0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98</v>
      </c>
      <c r="C13" s="34">
        <v>251.0</v>
      </c>
      <c r="D13" s="34">
        <v>29.0</v>
      </c>
      <c r="E13" s="35">
        <f t="shared" si="2"/>
        <v>12.1</v>
      </c>
      <c r="F13" s="95">
        <v>1.0</v>
      </c>
      <c r="G13" s="96">
        <v>1.0</v>
      </c>
      <c r="H13" s="97">
        <v>0.0</v>
      </c>
      <c r="I13" s="96">
        <v>4.0</v>
      </c>
      <c r="J13" s="96">
        <v>6.0</v>
      </c>
      <c r="K13" s="96">
        <v>6.0</v>
      </c>
      <c r="L13" s="98">
        <v>16.0</v>
      </c>
      <c r="M13" s="96">
        <v>1.0</v>
      </c>
      <c r="N13" s="34">
        <f t="shared" ref="N13:O13" si="18">C13+L13</f>
        <v>267</v>
      </c>
      <c r="O13" s="34">
        <f t="shared" si="18"/>
        <v>30</v>
      </c>
      <c r="P13" s="49" t="s">
        <v>58</v>
      </c>
      <c r="Q13" s="49" t="s">
        <v>58</v>
      </c>
      <c r="R13" s="49"/>
      <c r="S13" s="50">
        <f t="shared" si="4"/>
        <v>20</v>
      </c>
      <c r="T13" s="52">
        <f t="shared" si="5"/>
        <v>0</v>
      </c>
      <c r="U13" s="52"/>
      <c r="V13" s="50">
        <f t="shared" si="6"/>
        <v>1</v>
      </c>
      <c r="W13" s="52">
        <f t="shared" si="7"/>
        <v>0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94</v>
      </c>
      <c r="C14" s="34">
        <v>251.0</v>
      </c>
      <c r="D14" s="34">
        <v>23.0</v>
      </c>
      <c r="E14" s="35">
        <f t="shared" si="2"/>
        <v>12.26315789</v>
      </c>
      <c r="F14" s="95">
        <v>1.0</v>
      </c>
      <c r="G14" s="96">
        <v>2.0</v>
      </c>
      <c r="H14" s="97">
        <v>0.0</v>
      </c>
      <c r="I14" s="96">
        <v>6.0</v>
      </c>
      <c r="J14" s="96">
        <v>5.0</v>
      </c>
      <c r="K14" s="96">
        <v>4.0</v>
      </c>
      <c r="L14" s="98">
        <v>15.0</v>
      </c>
      <c r="M14" s="96">
        <v>1.0</v>
      </c>
      <c r="N14" s="34">
        <f t="shared" ref="N14:O14" si="19">C14+L14</f>
        <v>266</v>
      </c>
      <c r="O14" s="34">
        <f t="shared" si="19"/>
        <v>24</v>
      </c>
      <c r="P14" s="49" t="s">
        <v>58</v>
      </c>
      <c r="Q14" s="49" t="s">
        <v>58</v>
      </c>
      <c r="R14" s="49"/>
      <c r="S14" s="50">
        <f t="shared" si="4"/>
        <v>19</v>
      </c>
      <c r="T14" s="52">
        <f t="shared" si="5"/>
        <v>0</v>
      </c>
      <c r="U14" s="52"/>
      <c r="V14" s="50">
        <f t="shared" si="6"/>
        <v>2</v>
      </c>
      <c r="W14" s="52">
        <f t="shared" si="7"/>
        <v>0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83</v>
      </c>
      <c r="C15" s="34">
        <v>250.0</v>
      </c>
      <c r="D15" s="34">
        <v>23.0</v>
      </c>
      <c r="E15" s="35">
        <f t="shared" si="2"/>
        <v>13.75</v>
      </c>
      <c r="F15" s="95">
        <v>1.0</v>
      </c>
      <c r="G15" s="96">
        <v>2.0</v>
      </c>
      <c r="H15" s="97">
        <v>0.0</v>
      </c>
      <c r="I15" s="96">
        <v>6.0</v>
      </c>
      <c r="J15" s="96">
        <v>7.0</v>
      </c>
      <c r="K15" s="96">
        <v>6.0</v>
      </c>
      <c r="L15" s="98">
        <v>19.0</v>
      </c>
      <c r="M15" s="96">
        <v>3.0</v>
      </c>
      <c r="N15" s="34">
        <f t="shared" ref="N15:O15" si="20">C15+L15</f>
        <v>269</v>
      </c>
      <c r="O15" s="34">
        <f t="shared" si="20"/>
        <v>26</v>
      </c>
      <c r="P15" s="49" t="s">
        <v>58</v>
      </c>
      <c r="Q15" s="49" t="s">
        <v>58</v>
      </c>
      <c r="R15" s="49"/>
      <c r="S15" s="50">
        <f t="shared" si="4"/>
        <v>12</v>
      </c>
      <c r="T15" s="52">
        <f t="shared" si="5"/>
        <v>1</v>
      </c>
      <c r="U15" s="52"/>
      <c r="V15" s="50">
        <f t="shared" si="6"/>
        <v>8</v>
      </c>
      <c r="W15" s="52">
        <f t="shared" si="7"/>
        <v>0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107</v>
      </c>
      <c r="C16" s="34">
        <v>248.0</v>
      </c>
      <c r="D16" s="34">
        <v>23.0</v>
      </c>
      <c r="E16" s="35">
        <f t="shared" si="2"/>
        <v>13.23076923</v>
      </c>
      <c r="F16" s="95">
        <v>3.0</v>
      </c>
      <c r="G16" s="96">
        <v>0.0</v>
      </c>
      <c r="H16" s="97">
        <v>9.0</v>
      </c>
      <c r="I16" s="96">
        <v>0.0</v>
      </c>
      <c r="J16" s="96">
        <v>0.0</v>
      </c>
      <c r="K16" s="96">
        <v>0.0</v>
      </c>
      <c r="L16" s="98">
        <v>9.0</v>
      </c>
      <c r="M16" s="96">
        <v>0.0</v>
      </c>
      <c r="N16" s="34">
        <f t="shared" ref="N16:O16" si="21">C16+L16</f>
        <v>257</v>
      </c>
      <c r="O16" s="34">
        <f t="shared" si="21"/>
        <v>23</v>
      </c>
      <c r="P16" s="49" t="s">
        <v>58</v>
      </c>
      <c r="Q16" s="49" t="s">
        <v>58</v>
      </c>
      <c r="R16" s="49"/>
      <c r="S16" s="50">
        <f t="shared" si="4"/>
        <v>13</v>
      </c>
      <c r="T16" s="52">
        <f t="shared" si="5"/>
        <v>1</v>
      </c>
      <c r="U16" s="52"/>
      <c r="V16" s="50">
        <f t="shared" si="6"/>
        <v>7</v>
      </c>
      <c r="W16" s="52">
        <f t="shared" si="7"/>
        <v>0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128</v>
      </c>
      <c r="C17" s="34">
        <v>247.0</v>
      </c>
      <c r="D17" s="34">
        <v>22.0</v>
      </c>
      <c r="E17" s="35">
        <f t="shared" si="2"/>
        <v>12.625</v>
      </c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22">C17+L17</f>
        <v>256</v>
      </c>
      <c r="O17" s="34">
        <f t="shared" si="22"/>
        <v>22</v>
      </c>
      <c r="P17" s="49" t="s">
        <v>58</v>
      </c>
      <c r="Q17" s="49" t="s">
        <v>58</v>
      </c>
      <c r="R17" s="49"/>
      <c r="S17" s="50">
        <f t="shared" si="4"/>
        <v>16</v>
      </c>
      <c r="T17" s="52">
        <f t="shared" si="5"/>
        <v>0</v>
      </c>
      <c r="U17" s="52"/>
      <c r="V17" s="50">
        <f t="shared" si="6"/>
        <v>5</v>
      </c>
      <c r="W17" s="52">
        <f t="shared" si="7"/>
        <v>0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103</v>
      </c>
      <c r="C18" s="34">
        <v>246.0</v>
      </c>
      <c r="D18" s="34">
        <v>17.0</v>
      </c>
      <c r="E18" s="35">
        <f t="shared" si="2"/>
        <v>12.3125</v>
      </c>
      <c r="F18" s="95">
        <v>1.0</v>
      </c>
      <c r="G18" s="96">
        <v>2.0</v>
      </c>
      <c r="H18" s="97">
        <v>0.0</v>
      </c>
      <c r="I18" s="96">
        <v>1.0</v>
      </c>
      <c r="J18" s="96">
        <v>7.0</v>
      </c>
      <c r="K18" s="96">
        <v>4.0</v>
      </c>
      <c r="L18" s="98">
        <v>12.0</v>
      </c>
      <c r="M18" s="96">
        <v>1.0</v>
      </c>
      <c r="N18" s="34">
        <f t="shared" ref="N18:O18" si="23">C18+L18</f>
        <v>258</v>
      </c>
      <c r="O18" s="34">
        <f t="shared" si="23"/>
        <v>18</v>
      </c>
      <c r="P18" s="49" t="s">
        <v>58</v>
      </c>
      <c r="Q18" s="49" t="s">
        <v>58</v>
      </c>
      <c r="R18" s="49"/>
      <c r="S18" s="50">
        <f t="shared" si="4"/>
        <v>16</v>
      </c>
      <c r="T18" s="52">
        <f t="shared" si="5"/>
        <v>1</v>
      </c>
      <c r="U18" s="52"/>
      <c r="V18" s="50">
        <f t="shared" si="6"/>
        <v>4</v>
      </c>
      <c r="W18" s="52">
        <f t="shared" si="7"/>
        <v>0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133</v>
      </c>
      <c r="C19" s="34">
        <v>243.0</v>
      </c>
      <c r="D19" s="34">
        <v>25.0</v>
      </c>
      <c r="E19" s="35">
        <f t="shared" si="2"/>
        <v>12.375</v>
      </c>
      <c r="F19" s="95">
        <v>1.0</v>
      </c>
      <c r="G19" s="96">
        <v>2.0</v>
      </c>
      <c r="H19" s="97">
        <v>0.0</v>
      </c>
      <c r="I19" s="96">
        <v>1.0</v>
      </c>
      <c r="J19" s="96">
        <v>5.0</v>
      </c>
      <c r="K19" s="96">
        <v>6.0</v>
      </c>
      <c r="L19" s="98">
        <v>12.0</v>
      </c>
      <c r="M19" s="96">
        <v>1.0</v>
      </c>
      <c r="N19" s="34">
        <f t="shared" ref="N19:O19" si="24">C19+L19</f>
        <v>255</v>
      </c>
      <c r="O19" s="34">
        <f t="shared" si="24"/>
        <v>26</v>
      </c>
      <c r="P19" s="49" t="s">
        <v>58</v>
      </c>
      <c r="Q19" s="49" t="s">
        <v>58</v>
      </c>
      <c r="R19" s="49"/>
      <c r="S19" s="50">
        <f t="shared" si="4"/>
        <v>16</v>
      </c>
      <c r="T19" s="52">
        <f t="shared" si="5"/>
        <v>0</v>
      </c>
      <c r="U19" s="52"/>
      <c r="V19" s="50">
        <f t="shared" si="6"/>
        <v>5</v>
      </c>
      <c r="W19" s="52">
        <f t="shared" si="7"/>
        <v>0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97</v>
      </c>
      <c r="C20" s="34">
        <v>243.0</v>
      </c>
      <c r="D20" s="34">
        <v>24.0</v>
      </c>
      <c r="E20" s="35">
        <f t="shared" si="2"/>
        <v>12.6</v>
      </c>
      <c r="F20" s="95">
        <v>1.0</v>
      </c>
      <c r="G20" s="96">
        <v>3.0</v>
      </c>
      <c r="H20" s="97">
        <v>0.0</v>
      </c>
      <c r="I20" s="96">
        <v>1.0</v>
      </c>
      <c r="J20" s="96">
        <v>6.0</v>
      </c>
      <c r="K20" s="96">
        <v>3.0</v>
      </c>
      <c r="L20" s="98">
        <v>10.0</v>
      </c>
      <c r="M20" s="96">
        <v>1.0</v>
      </c>
      <c r="N20" s="34">
        <f t="shared" ref="N20:O20" si="25">C20+L20</f>
        <v>253</v>
      </c>
      <c r="O20" s="34">
        <f t="shared" si="25"/>
        <v>25</v>
      </c>
      <c r="P20" s="49" t="s">
        <v>58</v>
      </c>
      <c r="Q20" s="49" t="s">
        <v>58</v>
      </c>
      <c r="R20" s="49"/>
      <c r="S20" s="50">
        <f t="shared" si="4"/>
        <v>15</v>
      </c>
      <c r="T20" s="52">
        <f t="shared" si="5"/>
        <v>0</v>
      </c>
      <c r="U20" s="52"/>
      <c r="V20" s="50">
        <f t="shared" si="6"/>
        <v>6</v>
      </c>
      <c r="W20" s="52">
        <f t="shared" si="7"/>
        <v>0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109</v>
      </c>
      <c r="C21" s="34">
        <v>241.0</v>
      </c>
      <c r="D21" s="34">
        <v>21.0</v>
      </c>
      <c r="E21" s="35">
        <f t="shared" si="2"/>
        <v>12.05882353</v>
      </c>
      <c r="F21" s="95">
        <v>1.0</v>
      </c>
      <c r="G21" s="96">
        <v>3.0</v>
      </c>
      <c r="H21" s="97">
        <v>0.0</v>
      </c>
      <c r="I21" s="96">
        <v>1.0</v>
      </c>
      <c r="J21" s="96">
        <v>2.0</v>
      </c>
      <c r="K21" s="96">
        <v>6.0</v>
      </c>
      <c r="L21" s="98">
        <v>9.0</v>
      </c>
      <c r="M21" s="96">
        <v>1.0</v>
      </c>
      <c r="N21" s="34">
        <f t="shared" ref="N21:O21" si="26">C21+L21</f>
        <v>250</v>
      </c>
      <c r="O21" s="34">
        <f t="shared" si="26"/>
        <v>22</v>
      </c>
      <c r="P21" s="49" t="s">
        <v>58</v>
      </c>
      <c r="Q21" s="49" t="s">
        <v>58</v>
      </c>
      <c r="R21" s="49"/>
      <c r="S21" s="50">
        <f t="shared" si="4"/>
        <v>17</v>
      </c>
      <c r="T21" s="52">
        <f t="shared" si="5"/>
        <v>0</v>
      </c>
      <c r="U21" s="52"/>
      <c r="V21" s="50">
        <f t="shared" si="6"/>
        <v>4</v>
      </c>
      <c r="W21" s="52">
        <f t="shared" si="7"/>
        <v>0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125</v>
      </c>
      <c r="C22" s="34">
        <v>240.0</v>
      </c>
      <c r="D22" s="34">
        <v>20.0</v>
      </c>
      <c r="E22" s="35">
        <f t="shared" si="2"/>
        <v>12.4</v>
      </c>
      <c r="F22" s="95">
        <v>1.0</v>
      </c>
      <c r="G22" s="96">
        <v>3.0</v>
      </c>
      <c r="H22" s="97">
        <v>0.0</v>
      </c>
      <c r="I22" s="96">
        <v>6.0</v>
      </c>
      <c r="J22" s="96">
        <v>6.0</v>
      </c>
      <c r="K22" s="96">
        <v>6.0</v>
      </c>
      <c r="L22" s="98">
        <v>18.0</v>
      </c>
      <c r="M22" s="96">
        <v>3.0</v>
      </c>
      <c r="N22" s="34">
        <f t="shared" ref="N22:O22" si="27">C22+L22</f>
        <v>258</v>
      </c>
      <c r="O22" s="34">
        <f t="shared" si="27"/>
        <v>23</v>
      </c>
      <c r="P22" s="49" t="s">
        <v>58</v>
      </c>
      <c r="Q22" s="49" t="s">
        <v>58</v>
      </c>
      <c r="R22" s="49"/>
      <c r="S22" s="50">
        <f t="shared" si="4"/>
        <v>15</v>
      </c>
      <c r="T22" s="52">
        <f t="shared" si="5"/>
        <v>0</v>
      </c>
      <c r="U22" s="52"/>
      <c r="V22" s="50">
        <f t="shared" si="6"/>
        <v>6</v>
      </c>
      <c r="W22" s="52">
        <f t="shared" si="7"/>
        <v>0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111</v>
      </c>
      <c r="C23" s="34">
        <v>240.0</v>
      </c>
      <c r="D23" s="34">
        <v>20.0</v>
      </c>
      <c r="E23" s="35">
        <f t="shared" si="2"/>
        <v>11.9375</v>
      </c>
      <c r="F23" s="95">
        <v>2.0</v>
      </c>
      <c r="G23" s="96">
        <v>3.0</v>
      </c>
      <c r="H23" s="97">
        <v>0.0</v>
      </c>
      <c r="I23" s="96">
        <v>6.0</v>
      </c>
      <c r="J23" s="96">
        <v>2.0</v>
      </c>
      <c r="K23" s="96">
        <v>3.0</v>
      </c>
      <c r="L23" s="98">
        <v>11.0</v>
      </c>
      <c r="M23" s="96">
        <v>1.0</v>
      </c>
      <c r="N23" s="34">
        <f t="shared" ref="N23:O23" si="28">C23+L23</f>
        <v>251</v>
      </c>
      <c r="O23" s="34">
        <f t="shared" si="28"/>
        <v>21</v>
      </c>
      <c r="P23" s="49" t="s">
        <v>58</v>
      </c>
      <c r="Q23" s="49" t="s">
        <v>58</v>
      </c>
      <c r="R23" s="49"/>
      <c r="S23" s="50">
        <f t="shared" si="4"/>
        <v>16</v>
      </c>
      <c r="T23" s="52">
        <f t="shared" si="5"/>
        <v>1</v>
      </c>
      <c r="U23" s="52"/>
      <c r="V23" s="50">
        <f t="shared" si="6"/>
        <v>4</v>
      </c>
      <c r="W23" s="52">
        <f t="shared" si="7"/>
        <v>0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135</v>
      </c>
      <c r="C24" s="34">
        <v>239.0</v>
      </c>
      <c r="D24" s="34">
        <v>24.0</v>
      </c>
      <c r="E24" s="35">
        <f t="shared" si="2"/>
        <v>12.33333333</v>
      </c>
      <c r="F24" s="95">
        <v>2.0</v>
      </c>
      <c r="G24" s="96">
        <v>4.0</v>
      </c>
      <c r="H24" s="97">
        <v>0.0</v>
      </c>
      <c r="I24" s="96">
        <v>6.0</v>
      </c>
      <c r="J24" s="96">
        <v>2.0</v>
      </c>
      <c r="K24" s="96">
        <v>1.0</v>
      </c>
      <c r="L24" s="98">
        <v>9.0</v>
      </c>
      <c r="M24" s="96">
        <v>1.0</v>
      </c>
      <c r="N24" s="34">
        <f t="shared" ref="N24:O24" si="29">C24+L24</f>
        <v>248</v>
      </c>
      <c r="O24" s="34">
        <f t="shared" si="29"/>
        <v>25</v>
      </c>
      <c r="P24" s="49" t="s">
        <v>58</v>
      </c>
      <c r="Q24" s="49" t="s">
        <v>58</v>
      </c>
      <c r="R24" s="49"/>
      <c r="S24" s="50">
        <f t="shared" si="4"/>
        <v>15</v>
      </c>
      <c r="T24" s="52">
        <f t="shared" si="5"/>
        <v>0</v>
      </c>
      <c r="U24" s="52"/>
      <c r="V24" s="50">
        <f t="shared" si="6"/>
        <v>6</v>
      </c>
      <c r="W24" s="52">
        <f t="shared" si="7"/>
        <v>0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110</v>
      </c>
      <c r="C25" s="34">
        <v>237.0</v>
      </c>
      <c r="D25" s="34">
        <v>22.0</v>
      </c>
      <c r="E25" s="35">
        <f t="shared" si="2"/>
        <v>11.52631579</v>
      </c>
      <c r="F25" s="95">
        <v>1.0</v>
      </c>
      <c r="G25" s="96">
        <v>4.0</v>
      </c>
      <c r="H25" s="97">
        <v>0.0</v>
      </c>
      <c r="I25" s="96">
        <v>1.0</v>
      </c>
      <c r="J25" s="96">
        <v>6.0</v>
      </c>
      <c r="K25" s="96">
        <v>1.0</v>
      </c>
      <c r="L25" s="98">
        <v>8.0</v>
      </c>
      <c r="M25" s="96">
        <v>1.0</v>
      </c>
      <c r="N25" s="34">
        <f t="shared" ref="N25:O25" si="30">C25+L25</f>
        <v>245</v>
      </c>
      <c r="O25" s="34">
        <f t="shared" si="30"/>
        <v>23</v>
      </c>
      <c r="P25" s="49" t="s">
        <v>58</v>
      </c>
      <c r="Q25" s="49" t="s">
        <v>58</v>
      </c>
      <c r="R25" s="49"/>
      <c r="S25" s="50">
        <f t="shared" si="4"/>
        <v>19</v>
      </c>
      <c r="T25" s="52">
        <f t="shared" si="5"/>
        <v>0</v>
      </c>
      <c r="U25" s="52"/>
      <c r="V25" s="50">
        <f t="shared" si="6"/>
        <v>2</v>
      </c>
      <c r="W25" s="52">
        <f t="shared" si="7"/>
        <v>0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87</v>
      </c>
      <c r="C26" s="34">
        <v>237.0</v>
      </c>
      <c r="D26" s="34">
        <v>22.0</v>
      </c>
      <c r="E26" s="35">
        <f t="shared" si="2"/>
        <v>11.44444444</v>
      </c>
      <c r="F26" s="95">
        <v>1.0</v>
      </c>
      <c r="G26" s="96">
        <v>4.0</v>
      </c>
      <c r="H26" s="97">
        <v>0.0</v>
      </c>
      <c r="I26" s="96">
        <v>6.0</v>
      </c>
      <c r="J26" s="96">
        <v>6.0</v>
      </c>
      <c r="K26" s="96">
        <v>6.0</v>
      </c>
      <c r="L26" s="98">
        <v>18.0</v>
      </c>
      <c r="M26" s="96">
        <v>3.0</v>
      </c>
      <c r="N26" s="34">
        <f t="shared" ref="N26:O26" si="31">C26+L26</f>
        <v>255</v>
      </c>
      <c r="O26" s="34">
        <f t="shared" si="31"/>
        <v>25</v>
      </c>
      <c r="P26" s="49" t="s">
        <v>58</v>
      </c>
      <c r="Q26" s="49" t="s">
        <v>58</v>
      </c>
      <c r="R26" s="49"/>
      <c r="S26" s="50">
        <f t="shared" si="4"/>
        <v>18</v>
      </c>
      <c r="T26" s="52">
        <f t="shared" si="5"/>
        <v>1</v>
      </c>
      <c r="U26" s="52"/>
      <c r="V26" s="50">
        <f t="shared" si="6"/>
        <v>2</v>
      </c>
      <c r="W26" s="52">
        <f t="shared" si="7"/>
        <v>0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93</v>
      </c>
      <c r="C27" s="34">
        <v>237.0</v>
      </c>
      <c r="D27" s="34">
        <v>21.0</v>
      </c>
      <c r="E27" s="35">
        <f t="shared" si="2"/>
        <v>13</v>
      </c>
      <c r="F27" s="95">
        <v>1.0</v>
      </c>
      <c r="G27" s="96">
        <v>4.0</v>
      </c>
      <c r="H27" s="97">
        <v>0.0</v>
      </c>
      <c r="I27" s="96">
        <v>1.0</v>
      </c>
      <c r="J27" s="96">
        <v>2.0</v>
      </c>
      <c r="K27" s="96">
        <v>6.0</v>
      </c>
      <c r="L27" s="98">
        <v>9.0</v>
      </c>
      <c r="M27" s="96">
        <v>1.0</v>
      </c>
      <c r="N27" s="34">
        <f t="shared" ref="N27:O27" si="32">C27+L27</f>
        <v>246</v>
      </c>
      <c r="O27" s="34">
        <f t="shared" si="32"/>
        <v>22</v>
      </c>
      <c r="P27" s="49" t="s">
        <v>58</v>
      </c>
      <c r="Q27" s="49" t="s">
        <v>58</v>
      </c>
      <c r="R27" s="49"/>
      <c r="S27" s="50">
        <f t="shared" si="4"/>
        <v>12</v>
      </c>
      <c r="T27" s="52">
        <f t="shared" si="5"/>
        <v>0</v>
      </c>
      <c r="U27" s="52"/>
      <c r="V27" s="50">
        <f t="shared" si="6"/>
        <v>9</v>
      </c>
      <c r="W27" s="52">
        <f t="shared" si="7"/>
        <v>0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65</v>
      </c>
      <c r="C28" s="34">
        <v>237.0</v>
      </c>
      <c r="D28" s="34">
        <v>21.0</v>
      </c>
      <c r="E28" s="35">
        <f t="shared" si="2"/>
        <v>13</v>
      </c>
      <c r="F28" s="95">
        <v>1.0</v>
      </c>
      <c r="G28" s="96">
        <v>5.0</v>
      </c>
      <c r="H28" s="97">
        <v>0.0</v>
      </c>
      <c r="I28" s="96">
        <v>6.0</v>
      </c>
      <c r="J28" s="96">
        <v>6.0</v>
      </c>
      <c r="K28" s="96">
        <v>5.0</v>
      </c>
      <c r="L28" s="98">
        <v>17.0</v>
      </c>
      <c r="M28" s="96">
        <v>2.0</v>
      </c>
      <c r="N28" s="34">
        <f t="shared" ref="N28:O28" si="33">C28+L28</f>
        <v>254</v>
      </c>
      <c r="O28" s="34">
        <f t="shared" si="33"/>
        <v>23</v>
      </c>
      <c r="P28" s="49" t="s">
        <v>58</v>
      </c>
      <c r="Q28" s="49" t="s">
        <v>58</v>
      </c>
      <c r="R28" s="49"/>
      <c r="S28" s="50">
        <f t="shared" si="4"/>
        <v>12</v>
      </c>
      <c r="T28" s="52">
        <f t="shared" si="5"/>
        <v>0</v>
      </c>
      <c r="U28" s="52"/>
      <c r="V28" s="50">
        <f t="shared" si="6"/>
        <v>9</v>
      </c>
      <c r="W28" s="52">
        <f t="shared" si="7"/>
        <v>0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50</v>
      </c>
      <c r="C29" s="34">
        <v>236.0</v>
      </c>
      <c r="D29" s="34">
        <v>23.0</v>
      </c>
      <c r="E29" s="35">
        <f t="shared" si="2"/>
        <v>11.47368421</v>
      </c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4">C29+L29</f>
        <v>245</v>
      </c>
      <c r="O29" s="34">
        <f t="shared" si="34"/>
        <v>23</v>
      </c>
      <c r="P29" s="49" t="s">
        <v>58</v>
      </c>
      <c r="Q29" s="49" t="s">
        <v>58</v>
      </c>
      <c r="R29" s="49"/>
      <c r="S29" s="50">
        <f t="shared" si="4"/>
        <v>19</v>
      </c>
      <c r="T29" s="52">
        <f t="shared" si="5"/>
        <v>0</v>
      </c>
      <c r="U29" s="52"/>
      <c r="V29" s="50">
        <f t="shared" si="6"/>
        <v>2</v>
      </c>
      <c r="W29" s="52">
        <f t="shared" si="7"/>
        <v>0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89</v>
      </c>
      <c r="C30" s="34">
        <v>235.0</v>
      </c>
      <c r="D30" s="34">
        <v>21.0</v>
      </c>
      <c r="E30" s="35">
        <f t="shared" si="2"/>
        <v>12.83333333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244</v>
      </c>
      <c r="O30" s="34">
        <f t="shared" si="35"/>
        <v>21</v>
      </c>
      <c r="P30" s="49" t="s">
        <v>58</v>
      </c>
      <c r="Q30" s="49" t="s">
        <v>58</v>
      </c>
      <c r="R30" s="49"/>
      <c r="S30" s="50">
        <f t="shared" si="4"/>
        <v>12</v>
      </c>
      <c r="T30" s="52">
        <f t="shared" si="5"/>
        <v>0</v>
      </c>
      <c r="U30" s="52"/>
      <c r="V30" s="50">
        <f t="shared" si="6"/>
        <v>9</v>
      </c>
      <c r="W30" s="52">
        <f t="shared" si="7"/>
        <v>0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136</v>
      </c>
      <c r="C31" s="34">
        <v>233.0</v>
      </c>
      <c r="D31" s="34">
        <v>20.0</v>
      </c>
      <c r="E31" s="35">
        <f t="shared" si="2"/>
        <v>11.0952381</v>
      </c>
      <c r="F31" s="95">
        <v>1.0</v>
      </c>
      <c r="G31" s="96">
        <v>5.0</v>
      </c>
      <c r="H31" s="97">
        <v>0.0</v>
      </c>
      <c r="I31" s="96">
        <v>3.0</v>
      </c>
      <c r="J31" s="96">
        <v>6.0</v>
      </c>
      <c r="K31" s="96">
        <v>7.0</v>
      </c>
      <c r="L31" s="98">
        <v>16.0</v>
      </c>
      <c r="M31" s="96">
        <v>2.0</v>
      </c>
      <c r="N31" s="34">
        <f t="shared" ref="N31:O31" si="36">C31+L31</f>
        <v>249</v>
      </c>
      <c r="O31" s="34">
        <f t="shared" si="36"/>
        <v>22</v>
      </c>
      <c r="P31" s="49" t="s">
        <v>58</v>
      </c>
      <c r="Q31" s="49" t="s">
        <v>58</v>
      </c>
      <c r="R31" s="49"/>
      <c r="S31" s="50">
        <f t="shared" si="4"/>
        <v>21</v>
      </c>
      <c r="T31" s="52">
        <f t="shared" si="5"/>
        <v>0</v>
      </c>
      <c r="U31" s="52"/>
      <c r="V31" s="50">
        <f t="shared" si="6"/>
        <v>0</v>
      </c>
      <c r="W31" s="52">
        <f t="shared" si="7"/>
        <v>0</v>
      </c>
      <c r="X31" s="32">
        <f t="shared" si="12"/>
        <v>27</v>
      </c>
      <c r="Y31" s="32" t="str">
        <f t="shared" si="8"/>
        <v>Y</v>
      </c>
      <c r="Z31" s="16" t="str">
        <f t="shared" si="9"/>
        <v/>
      </c>
    </row>
    <row r="32">
      <c r="A32" s="32">
        <f t="shared" si="10"/>
        <v>28</v>
      </c>
      <c r="B32" s="33" t="s">
        <v>114</v>
      </c>
      <c r="C32" s="34">
        <v>233.0</v>
      </c>
      <c r="D32" s="34">
        <v>17.0</v>
      </c>
      <c r="E32" s="35">
        <f t="shared" si="2"/>
        <v>11.22222222</v>
      </c>
      <c r="F32" s="95">
        <v>1.0</v>
      </c>
      <c r="G32" s="96">
        <v>5.0</v>
      </c>
      <c r="H32" s="97">
        <v>0.0</v>
      </c>
      <c r="I32" s="96">
        <v>6.0</v>
      </c>
      <c r="J32" s="96">
        <v>4.0</v>
      </c>
      <c r="K32" s="96">
        <v>7.0</v>
      </c>
      <c r="L32" s="98">
        <v>17.0</v>
      </c>
      <c r="M32" s="96">
        <v>2.0</v>
      </c>
      <c r="N32" s="34">
        <f t="shared" ref="N32:O32" si="37">C32+L32</f>
        <v>250</v>
      </c>
      <c r="O32" s="34">
        <f t="shared" si="37"/>
        <v>19</v>
      </c>
      <c r="P32" s="49" t="s">
        <v>58</v>
      </c>
      <c r="Q32" s="49" t="s">
        <v>58</v>
      </c>
      <c r="R32" s="49"/>
      <c r="S32" s="50">
        <f t="shared" si="4"/>
        <v>18</v>
      </c>
      <c r="T32" s="52">
        <f t="shared" si="5"/>
        <v>1</v>
      </c>
      <c r="U32" s="52"/>
      <c r="V32" s="50">
        <f t="shared" si="6"/>
        <v>2</v>
      </c>
      <c r="W32" s="52">
        <f t="shared" si="7"/>
        <v>0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49</v>
      </c>
      <c r="C33" s="34">
        <v>232.0</v>
      </c>
      <c r="D33" s="34">
        <v>21.0</v>
      </c>
      <c r="E33" s="35">
        <f t="shared" si="2"/>
        <v>11.38888889</v>
      </c>
      <c r="F33" s="95">
        <v>1.0</v>
      </c>
      <c r="G33" s="96">
        <v>5.0</v>
      </c>
      <c r="H33" s="97">
        <v>0.0</v>
      </c>
      <c r="I33" s="96">
        <v>3.0</v>
      </c>
      <c r="J33" s="96">
        <v>4.0</v>
      </c>
      <c r="K33" s="96">
        <v>5.0</v>
      </c>
      <c r="L33" s="98">
        <v>12.0</v>
      </c>
      <c r="M33" s="96">
        <v>0.0</v>
      </c>
      <c r="N33" s="34">
        <f t="shared" ref="N33:O33" si="38">C33+L33</f>
        <v>244</v>
      </c>
      <c r="O33" s="34">
        <f t="shared" si="38"/>
        <v>21</v>
      </c>
      <c r="P33" s="49" t="s">
        <v>58</v>
      </c>
      <c r="Q33" s="49" t="s">
        <v>58</v>
      </c>
      <c r="R33" s="49"/>
      <c r="S33" s="50">
        <f t="shared" si="4"/>
        <v>18</v>
      </c>
      <c r="T33" s="52">
        <f t="shared" si="5"/>
        <v>0</v>
      </c>
      <c r="U33" s="52"/>
      <c r="V33" s="50">
        <f t="shared" si="6"/>
        <v>3</v>
      </c>
      <c r="W33" s="52">
        <f t="shared" si="7"/>
        <v>0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66</v>
      </c>
      <c r="C34" s="34">
        <v>232.0</v>
      </c>
      <c r="D34" s="34">
        <v>20.0</v>
      </c>
      <c r="E34" s="35">
        <f t="shared" si="2"/>
        <v>11.26315789</v>
      </c>
      <c r="F34" s="95">
        <v>1.0</v>
      </c>
      <c r="G34" s="96">
        <v>6.0</v>
      </c>
      <c r="H34" s="97">
        <v>0.0</v>
      </c>
      <c r="I34" s="96">
        <v>4.0</v>
      </c>
      <c r="J34" s="96">
        <v>6.0</v>
      </c>
      <c r="K34" s="96">
        <v>4.0</v>
      </c>
      <c r="L34" s="98">
        <v>14.0</v>
      </c>
      <c r="M34" s="96">
        <v>1.0</v>
      </c>
      <c r="N34" s="34">
        <f t="shared" ref="N34:O34" si="39">C34+L34</f>
        <v>246</v>
      </c>
      <c r="O34" s="34">
        <f t="shared" si="39"/>
        <v>21</v>
      </c>
      <c r="P34" s="49" t="s">
        <v>58</v>
      </c>
      <c r="Q34" s="49" t="s">
        <v>58</v>
      </c>
      <c r="R34" s="49"/>
      <c r="S34" s="50">
        <f t="shared" si="4"/>
        <v>19</v>
      </c>
      <c r="T34" s="52">
        <f t="shared" si="5"/>
        <v>0</v>
      </c>
      <c r="U34" s="52"/>
      <c r="V34" s="50">
        <f t="shared" si="6"/>
        <v>2</v>
      </c>
      <c r="W34" s="52">
        <f t="shared" si="7"/>
        <v>0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96</v>
      </c>
      <c r="C35" s="34">
        <v>232.0</v>
      </c>
      <c r="D35" s="34">
        <v>18.0</v>
      </c>
      <c r="E35" s="35">
        <f t="shared" si="2"/>
        <v>11.26315789</v>
      </c>
      <c r="F35" s="95">
        <v>1.0</v>
      </c>
      <c r="G35" s="96">
        <v>6.0</v>
      </c>
      <c r="H35" s="97">
        <v>0.0</v>
      </c>
      <c r="I35" s="96">
        <v>4.0</v>
      </c>
      <c r="J35" s="96">
        <v>2.0</v>
      </c>
      <c r="K35" s="96">
        <v>6.0</v>
      </c>
      <c r="L35" s="98">
        <v>12.0</v>
      </c>
      <c r="M35" s="96">
        <v>1.0</v>
      </c>
      <c r="N35" s="34">
        <f t="shared" ref="N35:O35" si="40">C35+L35</f>
        <v>244</v>
      </c>
      <c r="O35" s="34">
        <f t="shared" si="40"/>
        <v>19</v>
      </c>
      <c r="P35" s="49" t="s">
        <v>58</v>
      </c>
      <c r="Q35" s="49" t="s">
        <v>58</v>
      </c>
      <c r="R35" s="49"/>
      <c r="S35" s="50">
        <f t="shared" si="4"/>
        <v>19</v>
      </c>
      <c r="T35" s="52">
        <f t="shared" si="5"/>
        <v>0</v>
      </c>
      <c r="U35" s="52"/>
      <c r="V35" s="50">
        <f t="shared" si="6"/>
        <v>2</v>
      </c>
      <c r="W35" s="52">
        <f t="shared" si="7"/>
        <v>0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100</v>
      </c>
      <c r="C36" s="34">
        <v>228.0</v>
      </c>
      <c r="D36" s="34">
        <v>17.0</v>
      </c>
      <c r="E36" s="35">
        <f t="shared" si="2"/>
        <v>12.25</v>
      </c>
      <c r="F36" s="95">
        <v>2.0</v>
      </c>
      <c r="G36" s="96">
        <v>6.0</v>
      </c>
      <c r="H36" s="97">
        <v>0.0</v>
      </c>
      <c r="I36" s="96">
        <v>6.0</v>
      </c>
      <c r="J36" s="96">
        <v>6.0</v>
      </c>
      <c r="K36" s="96">
        <v>6.0</v>
      </c>
      <c r="L36" s="98">
        <v>18.0</v>
      </c>
      <c r="M36" s="96">
        <v>3.0</v>
      </c>
      <c r="N36" s="34">
        <f t="shared" ref="N36:O36" si="41">C36+L36</f>
        <v>246</v>
      </c>
      <c r="O36" s="34">
        <f t="shared" si="41"/>
        <v>20</v>
      </c>
      <c r="P36" s="49" t="s">
        <v>58</v>
      </c>
      <c r="Q36" s="49" t="s">
        <v>58</v>
      </c>
      <c r="R36" s="49"/>
      <c r="S36" s="50">
        <f t="shared" si="4"/>
        <v>12</v>
      </c>
      <c r="T36" s="52">
        <f t="shared" si="5"/>
        <v>0</v>
      </c>
      <c r="U36" s="52"/>
      <c r="V36" s="50">
        <f t="shared" si="6"/>
        <v>9</v>
      </c>
      <c r="W36" s="52">
        <f t="shared" si="7"/>
        <v>0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60</v>
      </c>
      <c r="C37" s="34">
        <v>223.0</v>
      </c>
      <c r="D37" s="34">
        <v>21.0</v>
      </c>
      <c r="E37" s="35">
        <f t="shared" si="2"/>
        <v>10.88888889</v>
      </c>
      <c r="F37" s="95">
        <v>1.0</v>
      </c>
      <c r="G37" s="96">
        <v>6.0</v>
      </c>
      <c r="H37" s="97">
        <v>0.0</v>
      </c>
      <c r="I37" s="96">
        <v>6.0</v>
      </c>
      <c r="J37" s="96">
        <v>2.0</v>
      </c>
      <c r="K37" s="96">
        <v>4.0</v>
      </c>
      <c r="L37" s="98">
        <v>12.0</v>
      </c>
      <c r="M37" s="96">
        <v>1.0</v>
      </c>
      <c r="N37" s="34">
        <f t="shared" ref="N37:O37" si="42">C37+L37</f>
        <v>235</v>
      </c>
      <c r="O37" s="34">
        <f t="shared" si="42"/>
        <v>22</v>
      </c>
      <c r="P37" s="49" t="s">
        <v>58</v>
      </c>
      <c r="Q37" s="49" t="s">
        <v>58</v>
      </c>
      <c r="R37" s="49"/>
      <c r="S37" s="50">
        <f t="shared" si="4"/>
        <v>18</v>
      </c>
      <c r="T37" s="52">
        <f t="shared" si="5"/>
        <v>0</v>
      </c>
      <c r="U37" s="52"/>
      <c r="V37" s="50">
        <f t="shared" si="6"/>
        <v>3</v>
      </c>
      <c r="W37" s="52">
        <f t="shared" si="7"/>
        <v>0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99</v>
      </c>
      <c r="C38" s="34">
        <v>223.0</v>
      </c>
      <c r="D38" s="34">
        <v>14.0</v>
      </c>
      <c r="E38" s="35">
        <f t="shared" si="2"/>
        <v>11.30769231</v>
      </c>
      <c r="F38" s="95">
        <v>1.0</v>
      </c>
      <c r="G38" s="96">
        <v>7.0</v>
      </c>
      <c r="H38" s="97">
        <v>0.0</v>
      </c>
      <c r="I38" s="96">
        <v>6.0</v>
      </c>
      <c r="J38" s="96">
        <v>7.0</v>
      </c>
      <c r="K38" s="96">
        <v>6.0</v>
      </c>
      <c r="L38" s="98">
        <v>19.0</v>
      </c>
      <c r="M38" s="96">
        <v>3.0</v>
      </c>
      <c r="N38" s="34">
        <f t="shared" ref="N38:O38" si="43">C38+L38</f>
        <v>242</v>
      </c>
      <c r="O38" s="34">
        <f t="shared" si="43"/>
        <v>17</v>
      </c>
      <c r="P38" s="49" t="s">
        <v>58</v>
      </c>
      <c r="Q38" s="49" t="s">
        <v>58</v>
      </c>
      <c r="R38" s="49"/>
      <c r="S38" s="50">
        <f t="shared" si="4"/>
        <v>13</v>
      </c>
      <c r="T38" s="52">
        <f t="shared" si="5"/>
        <v>1</v>
      </c>
      <c r="U38" s="52"/>
      <c r="V38" s="50">
        <f t="shared" si="6"/>
        <v>7</v>
      </c>
      <c r="W38" s="52">
        <f t="shared" si="7"/>
        <v>0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122</v>
      </c>
      <c r="C39" s="34">
        <v>222.0</v>
      </c>
      <c r="D39" s="34">
        <v>16.0</v>
      </c>
      <c r="E39" s="35">
        <f t="shared" si="2"/>
        <v>12</v>
      </c>
      <c r="F39" s="95">
        <v>1.0</v>
      </c>
      <c r="G39" s="96">
        <v>7.0</v>
      </c>
      <c r="H39" s="97">
        <v>0.0</v>
      </c>
      <c r="I39" s="96">
        <v>6.0</v>
      </c>
      <c r="J39" s="96">
        <v>5.0</v>
      </c>
      <c r="K39" s="96">
        <v>1.0</v>
      </c>
      <c r="L39" s="98">
        <v>12.0</v>
      </c>
      <c r="M39" s="96">
        <v>1.0</v>
      </c>
      <c r="N39" s="34">
        <f t="shared" ref="N39:O39" si="44">C39+L39</f>
        <v>234</v>
      </c>
      <c r="O39" s="34">
        <f t="shared" si="44"/>
        <v>17</v>
      </c>
      <c r="P39" s="49" t="s">
        <v>58</v>
      </c>
      <c r="Q39" s="49" t="s">
        <v>58</v>
      </c>
      <c r="R39" s="49"/>
      <c r="S39" s="50">
        <f t="shared" si="4"/>
        <v>11</v>
      </c>
      <c r="T39" s="52">
        <f t="shared" si="5"/>
        <v>0</v>
      </c>
      <c r="U39" s="52"/>
      <c r="V39" s="50">
        <f t="shared" si="6"/>
        <v>10</v>
      </c>
      <c r="W39" s="52">
        <f t="shared" si="7"/>
        <v>0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129</v>
      </c>
      <c r="C40" s="34">
        <v>221.0</v>
      </c>
      <c r="D40" s="34">
        <v>21.0</v>
      </c>
      <c r="E40" s="35">
        <f t="shared" si="2"/>
        <v>10.77777778</v>
      </c>
      <c r="F40" s="95">
        <v>1.0</v>
      </c>
      <c r="G40" s="96">
        <v>7.0</v>
      </c>
      <c r="H40" s="97">
        <v>0.0</v>
      </c>
      <c r="I40" s="96">
        <v>3.0</v>
      </c>
      <c r="J40" s="96">
        <v>7.0</v>
      </c>
      <c r="K40" s="96">
        <v>1.0</v>
      </c>
      <c r="L40" s="98">
        <v>11.0</v>
      </c>
      <c r="M40" s="96">
        <v>1.0</v>
      </c>
      <c r="N40" s="34">
        <f t="shared" ref="N40:O40" si="45">C40+L40</f>
        <v>232</v>
      </c>
      <c r="O40" s="34">
        <f t="shared" si="45"/>
        <v>22</v>
      </c>
      <c r="P40" s="49" t="s">
        <v>58</v>
      </c>
      <c r="Q40" s="49" t="s">
        <v>58</v>
      </c>
      <c r="R40" s="49"/>
      <c r="S40" s="50">
        <f t="shared" si="4"/>
        <v>18</v>
      </c>
      <c r="T40" s="52">
        <f t="shared" si="5"/>
        <v>0</v>
      </c>
      <c r="U40" s="52"/>
      <c r="V40" s="50">
        <f t="shared" si="6"/>
        <v>3</v>
      </c>
      <c r="W40" s="52">
        <f t="shared" si="7"/>
        <v>0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106</v>
      </c>
      <c r="C41" s="34">
        <v>220.0</v>
      </c>
      <c r="D41" s="34">
        <v>18.0</v>
      </c>
      <c r="E41" s="35">
        <f t="shared" si="2"/>
        <v>10.92857143</v>
      </c>
      <c r="F41" s="95">
        <v>1.0</v>
      </c>
      <c r="G41" s="96">
        <v>7.0</v>
      </c>
      <c r="H41" s="97">
        <v>0.0</v>
      </c>
      <c r="I41" s="96">
        <v>3.0</v>
      </c>
      <c r="J41" s="96">
        <v>5.0</v>
      </c>
      <c r="K41" s="96">
        <v>6.0</v>
      </c>
      <c r="L41" s="98">
        <v>14.0</v>
      </c>
      <c r="M41" s="96">
        <v>1.0</v>
      </c>
      <c r="N41" s="34">
        <f t="shared" ref="N41:O41" si="46">C41+L41</f>
        <v>234</v>
      </c>
      <c r="O41" s="34">
        <f t="shared" si="46"/>
        <v>19</v>
      </c>
      <c r="P41" s="49" t="s">
        <v>58</v>
      </c>
      <c r="Q41" s="49" t="s">
        <v>58</v>
      </c>
      <c r="R41" s="49"/>
      <c r="S41" s="50">
        <f t="shared" si="4"/>
        <v>14</v>
      </c>
      <c r="T41" s="52">
        <f t="shared" si="5"/>
        <v>1</v>
      </c>
      <c r="U41" s="52"/>
      <c r="V41" s="50">
        <f t="shared" si="6"/>
        <v>6</v>
      </c>
      <c r="W41" s="52">
        <f t="shared" si="7"/>
        <v>0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138</v>
      </c>
      <c r="C42" s="34">
        <v>217.0</v>
      </c>
      <c r="D42" s="34">
        <v>14.0</v>
      </c>
      <c r="E42" s="35">
        <f t="shared" si="2"/>
        <v>11.54545455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7">C42+L42</f>
        <v>226</v>
      </c>
      <c r="O42" s="34">
        <f t="shared" si="47"/>
        <v>14</v>
      </c>
      <c r="P42" s="49" t="s">
        <v>58</v>
      </c>
      <c r="Q42" s="49" t="s">
        <v>58</v>
      </c>
      <c r="R42" s="49"/>
      <c r="S42" s="50">
        <f t="shared" si="4"/>
        <v>11</v>
      </c>
      <c r="T42" s="52">
        <f t="shared" si="5"/>
        <v>0</v>
      </c>
      <c r="U42" s="52"/>
      <c r="V42" s="50">
        <f t="shared" si="6"/>
        <v>10</v>
      </c>
      <c r="W42" s="52">
        <f t="shared" si="7"/>
        <v>0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137</v>
      </c>
      <c r="C43" s="34">
        <v>216.0</v>
      </c>
      <c r="D43" s="34">
        <v>17.0</v>
      </c>
      <c r="E43" s="35">
        <f t="shared" si="2"/>
        <v>10.92857143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225</v>
      </c>
      <c r="O43" s="34">
        <f t="shared" si="48"/>
        <v>17</v>
      </c>
      <c r="P43" s="49" t="s">
        <v>58</v>
      </c>
      <c r="Q43" s="49" t="s">
        <v>58</v>
      </c>
      <c r="R43" s="49"/>
      <c r="S43" s="50">
        <f t="shared" si="4"/>
        <v>14</v>
      </c>
      <c r="T43" s="52">
        <f t="shared" si="5"/>
        <v>0</v>
      </c>
      <c r="U43" s="52"/>
      <c r="V43" s="50">
        <f t="shared" si="6"/>
        <v>7</v>
      </c>
      <c r="W43" s="52">
        <f t="shared" si="7"/>
        <v>0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213.0</v>
      </c>
      <c r="D44" s="34">
        <v>12.0</v>
      </c>
      <c r="E44" s="35">
        <f t="shared" si="2"/>
        <v>10.81818182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222</v>
      </c>
      <c r="O44" s="34">
        <f t="shared" si="49"/>
        <v>12</v>
      </c>
      <c r="P44" s="49" t="s">
        <v>58</v>
      </c>
      <c r="Q44" s="49" t="s">
        <v>58</v>
      </c>
      <c r="R44" s="49"/>
      <c r="S44" s="50">
        <f t="shared" si="4"/>
        <v>11</v>
      </c>
      <c r="T44" s="52">
        <f t="shared" si="5"/>
        <v>1</v>
      </c>
      <c r="U44" s="52"/>
      <c r="V44" s="50">
        <f t="shared" si="6"/>
        <v>9</v>
      </c>
      <c r="W44" s="52">
        <f t="shared" si="7"/>
        <v>0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75</v>
      </c>
      <c r="C45" s="34">
        <v>213.0</v>
      </c>
      <c r="D45" s="34">
        <v>11.0</v>
      </c>
      <c r="E45" s="35">
        <f t="shared" si="2"/>
        <v>12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222</v>
      </c>
      <c r="O45" s="34">
        <f t="shared" si="50"/>
        <v>11</v>
      </c>
      <c r="P45" s="49" t="s">
        <v>58</v>
      </c>
      <c r="Q45" s="49" t="s">
        <v>58</v>
      </c>
      <c r="R45" s="49"/>
      <c r="S45" s="50">
        <f t="shared" si="4"/>
        <v>8</v>
      </c>
      <c r="T45" s="52">
        <f t="shared" si="5"/>
        <v>0</v>
      </c>
      <c r="U45" s="52"/>
      <c r="V45" s="50">
        <f t="shared" si="6"/>
        <v>13</v>
      </c>
      <c r="W45" s="52">
        <f t="shared" si="7"/>
        <v>0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132</v>
      </c>
      <c r="C46" s="34">
        <v>211.0</v>
      </c>
      <c r="D46" s="34">
        <v>12.0</v>
      </c>
      <c r="E46" s="35">
        <f t="shared" si="2"/>
        <v>11.75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220</v>
      </c>
      <c r="O46" s="34">
        <f t="shared" si="51"/>
        <v>12</v>
      </c>
      <c r="P46" s="49" t="s">
        <v>58</v>
      </c>
      <c r="Q46" s="49" t="s">
        <v>58</v>
      </c>
      <c r="R46" s="49"/>
      <c r="S46" s="50">
        <f t="shared" si="4"/>
        <v>8</v>
      </c>
      <c r="T46" s="52">
        <f t="shared" si="5"/>
        <v>0</v>
      </c>
      <c r="U46" s="52"/>
      <c r="V46" s="50">
        <f t="shared" si="6"/>
        <v>13</v>
      </c>
      <c r="W46" s="52">
        <f t="shared" si="7"/>
        <v>0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139</v>
      </c>
      <c r="C47" s="34">
        <v>205.0</v>
      </c>
      <c r="D47" s="34">
        <v>15.0</v>
      </c>
      <c r="E47" s="35">
        <f t="shared" si="2"/>
        <v>10.14285714</v>
      </c>
      <c r="F47" s="95">
        <v>1.0</v>
      </c>
      <c r="G47" s="96">
        <v>8.0</v>
      </c>
      <c r="H47" s="97">
        <v>0.0</v>
      </c>
      <c r="I47" s="96">
        <v>0.0</v>
      </c>
      <c r="J47" s="96">
        <v>3.0</v>
      </c>
      <c r="K47" s="96">
        <v>6.0</v>
      </c>
      <c r="L47" s="98">
        <v>9.0</v>
      </c>
      <c r="M47" s="96">
        <v>1.0</v>
      </c>
      <c r="N47" s="34">
        <f t="shared" ref="N47:O47" si="52">C47+L47</f>
        <v>214</v>
      </c>
      <c r="O47" s="34">
        <f t="shared" si="52"/>
        <v>16</v>
      </c>
      <c r="P47" s="49" t="s">
        <v>58</v>
      </c>
      <c r="Q47" s="49" t="s">
        <v>58</v>
      </c>
      <c r="R47" s="49"/>
      <c r="S47" s="50">
        <f t="shared" si="4"/>
        <v>14</v>
      </c>
      <c r="T47" s="52">
        <f t="shared" si="5"/>
        <v>0</v>
      </c>
      <c r="U47" s="52"/>
      <c r="V47" s="50">
        <f t="shared" si="6"/>
        <v>7</v>
      </c>
      <c r="W47" s="52">
        <f t="shared" si="7"/>
        <v>0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203.0</v>
      </c>
      <c r="D48" s="34">
        <v>17.0</v>
      </c>
      <c r="E48" s="35">
        <f t="shared" si="2"/>
        <v>9.875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3">C48+L48</f>
        <v>212</v>
      </c>
      <c r="O48" s="34">
        <f t="shared" si="53"/>
        <v>17</v>
      </c>
      <c r="P48" s="49" t="s">
        <v>58</v>
      </c>
      <c r="Q48" s="49" t="s">
        <v>58</v>
      </c>
      <c r="R48" s="49"/>
      <c r="S48" s="50">
        <f t="shared" si="4"/>
        <v>16</v>
      </c>
      <c r="T48" s="52">
        <f t="shared" si="5"/>
        <v>0</v>
      </c>
      <c r="U48" s="52"/>
      <c r="V48" s="50">
        <f t="shared" si="6"/>
        <v>5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121</v>
      </c>
      <c r="C49" s="34">
        <v>202.0</v>
      </c>
      <c r="D49" s="34">
        <v>10.0</v>
      </c>
      <c r="E49" s="35">
        <f t="shared" si="2"/>
        <v>10.5</v>
      </c>
      <c r="F49" s="95">
        <v>2.0</v>
      </c>
      <c r="G49" s="96">
        <v>8.0</v>
      </c>
      <c r="H49" s="97">
        <v>0.0</v>
      </c>
      <c r="I49" s="96">
        <v>6.0</v>
      </c>
      <c r="J49" s="96">
        <v>6.0</v>
      </c>
      <c r="K49" s="96">
        <v>6.0</v>
      </c>
      <c r="L49" s="98">
        <v>18.0</v>
      </c>
      <c r="M49" s="96">
        <v>3.0</v>
      </c>
      <c r="N49" s="34">
        <f t="shared" ref="N49:O49" si="54">C49+L49</f>
        <v>220</v>
      </c>
      <c r="O49" s="34">
        <f t="shared" si="54"/>
        <v>13</v>
      </c>
      <c r="P49" s="49" t="s">
        <v>58</v>
      </c>
      <c r="Q49" s="49" t="s">
        <v>58</v>
      </c>
      <c r="R49" s="49"/>
      <c r="S49" s="50">
        <f t="shared" si="4"/>
        <v>6</v>
      </c>
      <c r="T49" s="52">
        <f t="shared" si="5"/>
        <v>1</v>
      </c>
      <c r="U49" s="52"/>
      <c r="V49" s="50">
        <f t="shared" si="6"/>
        <v>14</v>
      </c>
      <c r="W49" s="52">
        <f t="shared" si="7"/>
        <v>0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108</v>
      </c>
      <c r="C50" s="34">
        <v>199.0</v>
      </c>
      <c r="D50" s="34">
        <v>9.0</v>
      </c>
      <c r="E50" s="35">
        <f t="shared" si="2"/>
        <v>9.714285714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208</v>
      </c>
      <c r="O50" s="34">
        <f t="shared" si="55"/>
        <v>9</v>
      </c>
      <c r="P50" s="49" t="s">
        <v>58</v>
      </c>
      <c r="Q50" s="49" t="s">
        <v>58</v>
      </c>
      <c r="R50" s="49"/>
      <c r="S50" s="50">
        <f t="shared" si="4"/>
        <v>14</v>
      </c>
      <c r="T50" s="52">
        <f t="shared" si="5"/>
        <v>0</v>
      </c>
      <c r="U50" s="52"/>
      <c r="V50" s="50">
        <f t="shared" si="6"/>
        <v>7</v>
      </c>
      <c r="W50" s="52">
        <f t="shared" si="7"/>
        <v>0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47</v>
      </c>
      <c r="C51" s="34">
        <v>196.0</v>
      </c>
      <c r="D51" s="34">
        <v>8.0</v>
      </c>
      <c r="E51" s="35">
        <f t="shared" si="2"/>
        <v>10.75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205</v>
      </c>
      <c r="O51" s="34">
        <f t="shared" si="56"/>
        <v>8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17</v>
      </c>
      <c r="W51" s="52">
        <f t="shared" si="7"/>
        <v>0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143</v>
      </c>
      <c r="C52" s="34">
        <v>196.0</v>
      </c>
      <c r="D52" s="34">
        <v>7.0</v>
      </c>
      <c r="E52" s="35">
        <f t="shared" si="2"/>
        <v>10.4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205</v>
      </c>
      <c r="O52" s="34">
        <f t="shared" si="57"/>
        <v>7</v>
      </c>
      <c r="P52" s="49" t="s">
        <v>58</v>
      </c>
      <c r="Q52" s="49" t="s">
        <v>58</v>
      </c>
      <c r="R52" s="49"/>
      <c r="S52" s="50">
        <f t="shared" si="4"/>
        <v>5</v>
      </c>
      <c r="T52" s="52">
        <f t="shared" si="5"/>
        <v>0</v>
      </c>
      <c r="U52" s="52"/>
      <c r="V52" s="50">
        <f t="shared" si="6"/>
        <v>16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144</v>
      </c>
      <c r="C53" s="34">
        <v>193.0</v>
      </c>
      <c r="D53" s="34">
        <v>9.0</v>
      </c>
      <c r="E53" s="35">
        <f t="shared" si="2"/>
        <v>9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202</v>
      </c>
      <c r="O53" s="34">
        <f t="shared" si="58"/>
        <v>9</v>
      </c>
      <c r="P53" s="49" t="s">
        <v>58</v>
      </c>
      <c r="Q53" s="49" t="s">
        <v>58</v>
      </c>
      <c r="R53" s="49"/>
      <c r="S53" s="50">
        <f t="shared" si="4"/>
        <v>8</v>
      </c>
      <c r="T53" s="52">
        <f t="shared" si="5"/>
        <v>1</v>
      </c>
      <c r="U53" s="52"/>
      <c r="V53" s="50">
        <f t="shared" si="6"/>
        <v>12</v>
      </c>
      <c r="W53" s="52">
        <f t="shared" si="7"/>
        <v>0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105</v>
      </c>
      <c r="C54" s="34">
        <v>191.0</v>
      </c>
      <c r="D54" s="34">
        <v>8.0</v>
      </c>
      <c r="E54" s="35">
        <f t="shared" si="2"/>
        <v>9.4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200</v>
      </c>
      <c r="O54" s="34">
        <f t="shared" si="59"/>
        <v>8</v>
      </c>
      <c r="P54" s="49" t="s">
        <v>58</v>
      </c>
      <c r="Q54" s="49" t="s">
        <v>58</v>
      </c>
      <c r="R54" s="49"/>
      <c r="S54" s="50">
        <f t="shared" si="4"/>
        <v>5</v>
      </c>
      <c r="T54" s="52">
        <f t="shared" si="5"/>
        <v>0</v>
      </c>
      <c r="U54" s="52"/>
      <c r="V54" s="50">
        <f t="shared" si="6"/>
        <v>16</v>
      </c>
      <c r="W54" s="52">
        <f t="shared" si="7"/>
        <v>0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140</v>
      </c>
      <c r="C55" s="34">
        <v>191.0</v>
      </c>
      <c r="D55" s="34">
        <v>7.0</v>
      </c>
      <c r="E55" s="35">
        <f t="shared" si="2"/>
        <v>9.4</v>
      </c>
      <c r="F55" s="95">
        <v>1.0</v>
      </c>
      <c r="G55" s="96">
        <v>8.0</v>
      </c>
      <c r="H55" s="97">
        <v>0.0</v>
      </c>
      <c r="I55" s="96">
        <v>6.0</v>
      </c>
      <c r="J55" s="96">
        <v>3.0</v>
      </c>
      <c r="K55" s="96">
        <v>1.0</v>
      </c>
      <c r="L55" s="98">
        <v>10.0</v>
      </c>
      <c r="M55" s="96">
        <v>1.0</v>
      </c>
      <c r="N55" s="34">
        <f t="shared" ref="N55:O55" si="60">C55+L55</f>
        <v>201</v>
      </c>
      <c r="O55" s="34">
        <f t="shared" si="60"/>
        <v>8</v>
      </c>
      <c r="P55" s="49" t="s">
        <v>58</v>
      </c>
      <c r="Q55" s="49" t="s">
        <v>58</v>
      </c>
      <c r="R55" s="49"/>
      <c r="S55" s="50">
        <f t="shared" si="4"/>
        <v>5</v>
      </c>
      <c r="T55" s="52">
        <f t="shared" si="5"/>
        <v>0</v>
      </c>
      <c r="U55" s="52"/>
      <c r="V55" s="50">
        <f t="shared" si="6"/>
        <v>16</v>
      </c>
      <c r="W55" s="52">
        <f t="shared" si="7"/>
        <v>0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95</v>
      </c>
      <c r="C56" s="34">
        <v>191.0</v>
      </c>
      <c r="D56" s="34">
        <v>7.0</v>
      </c>
      <c r="E56" s="35">
        <f t="shared" si="2"/>
        <v>8.6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200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5</v>
      </c>
      <c r="T56" s="52">
        <f t="shared" si="5"/>
        <v>1</v>
      </c>
      <c r="U56" s="52"/>
      <c r="V56" s="50">
        <f t="shared" si="6"/>
        <v>15</v>
      </c>
      <c r="W56" s="52">
        <f t="shared" si="7"/>
        <v>0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142</v>
      </c>
      <c r="C57" s="34">
        <v>188.0</v>
      </c>
      <c r="D57" s="34">
        <v>11.0</v>
      </c>
      <c r="E57" s="35">
        <f t="shared" si="2"/>
        <v>8.909090909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197</v>
      </c>
      <c r="O57" s="34">
        <f t="shared" si="62"/>
        <v>11</v>
      </c>
      <c r="P57" s="49" t="s">
        <v>58</v>
      </c>
      <c r="Q57" s="49" t="s">
        <v>58</v>
      </c>
      <c r="R57" s="49"/>
      <c r="S57" s="50">
        <f t="shared" si="4"/>
        <v>11</v>
      </c>
      <c r="T57" s="52">
        <f t="shared" si="5"/>
        <v>0</v>
      </c>
      <c r="U57" s="52"/>
      <c r="V57" s="50">
        <f t="shared" si="6"/>
        <v>10</v>
      </c>
      <c r="W57" s="52">
        <f t="shared" si="7"/>
        <v>0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69</v>
      </c>
      <c r="C58" s="34">
        <v>188.0</v>
      </c>
      <c r="D58" s="34">
        <v>7.0</v>
      </c>
      <c r="E58" s="35">
        <f t="shared" si="2"/>
        <v>8.75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197</v>
      </c>
      <c r="O58" s="34">
        <f t="shared" si="63"/>
        <v>7</v>
      </c>
      <c r="P58" s="49" t="s">
        <v>58</v>
      </c>
      <c r="Q58" s="49" t="s">
        <v>58</v>
      </c>
      <c r="R58" s="49"/>
      <c r="S58" s="50">
        <f t="shared" si="4"/>
        <v>4</v>
      </c>
      <c r="T58" s="52">
        <f t="shared" si="5"/>
        <v>0</v>
      </c>
      <c r="U58" s="52"/>
      <c r="V58" s="50">
        <f t="shared" si="6"/>
        <v>17</v>
      </c>
      <c r="W58" s="52">
        <f t="shared" si="7"/>
        <v>0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145</v>
      </c>
      <c r="C59" s="34">
        <v>186.0</v>
      </c>
      <c r="D59" s="34">
        <v>9.0</v>
      </c>
      <c r="E59" s="35">
        <f t="shared" si="2"/>
        <v>8.7</v>
      </c>
      <c r="F59" s="95">
        <v>1.0</v>
      </c>
      <c r="G59" s="96">
        <v>8.0</v>
      </c>
      <c r="H59" s="97">
        <v>0.0</v>
      </c>
      <c r="I59" s="96">
        <v>0.0</v>
      </c>
      <c r="J59" s="96">
        <v>6.0</v>
      </c>
      <c r="K59" s="96">
        <v>1.0</v>
      </c>
      <c r="L59" s="98">
        <v>7.0</v>
      </c>
      <c r="M59" s="96">
        <v>1.0</v>
      </c>
      <c r="N59" s="34">
        <f t="shared" ref="N59:O59" si="64">C59+L59</f>
        <v>193</v>
      </c>
      <c r="O59" s="34">
        <f t="shared" si="64"/>
        <v>10</v>
      </c>
      <c r="P59" s="49" t="s">
        <v>58</v>
      </c>
      <c r="Q59" s="49" t="s">
        <v>58</v>
      </c>
      <c r="R59" s="49"/>
      <c r="S59" s="50">
        <f t="shared" si="4"/>
        <v>10</v>
      </c>
      <c r="T59" s="52">
        <f t="shared" si="5"/>
        <v>0</v>
      </c>
      <c r="U59" s="52"/>
      <c r="V59" s="50">
        <f t="shared" si="6"/>
        <v>11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180.0</v>
      </c>
      <c r="D60" s="34">
        <v>5.0</v>
      </c>
      <c r="E60" s="35">
        <f t="shared" si="2"/>
        <v>6.75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189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4</v>
      </c>
      <c r="T60" s="52">
        <f t="shared" si="5"/>
        <v>0</v>
      </c>
      <c r="U60" s="52"/>
      <c r="V60" s="50">
        <f t="shared" si="6"/>
        <v>17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146</v>
      </c>
      <c r="C61" s="34">
        <v>179.0</v>
      </c>
      <c r="D61" s="34">
        <v>6.0</v>
      </c>
      <c r="E61" s="35">
        <f t="shared" si="2"/>
        <v>6.666666667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188</v>
      </c>
      <c r="O61" s="34">
        <f t="shared" si="66"/>
        <v>6</v>
      </c>
      <c r="P61" s="49" t="s">
        <v>58</v>
      </c>
      <c r="Q61" s="49" t="s">
        <v>58</v>
      </c>
      <c r="R61" s="49"/>
      <c r="S61" s="50">
        <f t="shared" si="4"/>
        <v>6</v>
      </c>
      <c r="T61" s="52">
        <f t="shared" si="5"/>
        <v>1</v>
      </c>
      <c r="U61" s="52"/>
      <c r="V61" s="50">
        <f t="shared" si="6"/>
        <v>14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147</v>
      </c>
      <c r="C62" s="34">
        <v>176.0</v>
      </c>
      <c r="D62" s="34">
        <v>4.0</v>
      </c>
      <c r="E62" s="35">
        <f t="shared" si="2"/>
        <v>5.75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185</v>
      </c>
      <c r="O62" s="34">
        <f t="shared" si="67"/>
        <v>4</v>
      </c>
      <c r="P62" s="49" t="s">
        <v>58</v>
      </c>
      <c r="Q62" s="49" t="s">
        <v>58</v>
      </c>
      <c r="R62" s="49"/>
      <c r="S62" s="50">
        <f t="shared" si="4"/>
        <v>4</v>
      </c>
      <c r="T62" s="52">
        <f t="shared" si="5"/>
        <v>0</v>
      </c>
      <c r="U62" s="52"/>
      <c r="V62" s="50">
        <f t="shared" si="6"/>
        <v>17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148</v>
      </c>
      <c r="C63" s="34">
        <v>176.0</v>
      </c>
      <c r="D63" s="34">
        <v>1.0</v>
      </c>
      <c r="E63" s="35">
        <f t="shared" si="2"/>
        <v>6.166666667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185</v>
      </c>
      <c r="O63" s="34">
        <f t="shared" si="68"/>
        <v>1</v>
      </c>
      <c r="P63" s="49" t="s">
        <v>58</v>
      </c>
      <c r="Q63" s="49" t="s">
        <v>58</v>
      </c>
      <c r="R63" s="49"/>
      <c r="S63" s="50">
        <f t="shared" si="4"/>
        <v>6</v>
      </c>
      <c r="T63" s="52">
        <f t="shared" si="5"/>
        <v>1</v>
      </c>
      <c r="U63" s="52"/>
      <c r="V63" s="50">
        <f t="shared" si="6"/>
        <v>14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171.0</v>
      </c>
      <c r="D64" s="34">
        <v>0.0</v>
      </c>
      <c r="E64" s="35">
        <f t="shared" si="2"/>
        <v>-9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180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1</v>
      </c>
      <c r="T64" s="52">
        <f t="shared" si="5"/>
        <v>0</v>
      </c>
      <c r="U64" s="52"/>
      <c r="V64" s="50">
        <f t="shared" si="6"/>
        <v>20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171.0</v>
      </c>
      <c r="D65" s="34">
        <v>0.0</v>
      </c>
      <c r="E65" s="35">
        <f t="shared" si="2"/>
        <v>-9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180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1</v>
      </c>
      <c r="T65" s="52">
        <f t="shared" si="5"/>
        <v>0</v>
      </c>
      <c r="U65" s="52"/>
      <c r="V65" s="50">
        <f t="shared" si="6"/>
        <v>20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171.0</v>
      </c>
      <c r="D66" s="34">
        <v>0.0</v>
      </c>
      <c r="E66" s="35">
        <f t="shared" si="2"/>
        <v>-9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180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1</v>
      </c>
      <c r="T66" s="52">
        <f t="shared" si="5"/>
        <v>0</v>
      </c>
      <c r="U66" s="52"/>
      <c r="V66" s="50">
        <f t="shared" si="6"/>
        <v>20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101</v>
      </c>
      <c r="C67" s="34">
        <v>168.0</v>
      </c>
      <c r="D67" s="34">
        <v>7.0</v>
      </c>
      <c r="E67" s="35">
        <f t="shared" si="2"/>
        <v>7.25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177</v>
      </c>
      <c r="O67" s="34">
        <f t="shared" si="72"/>
        <v>7</v>
      </c>
      <c r="P67" s="49" t="s">
        <v>58</v>
      </c>
      <c r="Q67" s="49" t="s">
        <v>58</v>
      </c>
      <c r="R67" s="49"/>
      <c r="S67" s="50">
        <f t="shared" si="4"/>
        <v>12</v>
      </c>
      <c r="T67" s="52">
        <f t="shared" si="5"/>
        <v>0</v>
      </c>
      <c r="U67" s="52"/>
      <c r="V67" s="50">
        <f t="shared" si="6"/>
        <v>9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165.0</v>
      </c>
      <c r="D68" s="34">
        <v>1.0</v>
      </c>
      <c r="E68" s="35">
        <f t="shared" si="2"/>
        <v>-0.3333333333</v>
      </c>
      <c r="F68" s="95">
        <v>5.0</v>
      </c>
      <c r="G68" s="96">
        <v>0.0</v>
      </c>
      <c r="H68" s="97">
        <v>13.0</v>
      </c>
      <c r="I68" s="96">
        <v>0.0</v>
      </c>
      <c r="J68" s="96">
        <v>0.0</v>
      </c>
      <c r="K68" s="96">
        <v>0.0</v>
      </c>
      <c r="L68" s="98">
        <v>13.0</v>
      </c>
      <c r="M68" s="96">
        <v>0.0</v>
      </c>
      <c r="N68" s="34">
        <f t="shared" ref="N68:O68" si="73">C68+L68</f>
        <v>178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3</v>
      </c>
      <c r="T68" s="52">
        <f t="shared" si="5"/>
        <v>1</v>
      </c>
      <c r="U68" s="52"/>
      <c r="V68" s="50">
        <f t="shared" si="6"/>
        <v>17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157.0</v>
      </c>
      <c r="D69" s="34">
        <v>1.0</v>
      </c>
      <c r="E69" s="35">
        <f t="shared" si="2"/>
        <v>2.6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166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5</v>
      </c>
      <c r="T69" s="52">
        <f t="shared" si="5"/>
        <v>0</v>
      </c>
      <c r="U69" s="52"/>
      <c r="V69" s="50">
        <f t="shared" si="6"/>
        <v>16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11/15/25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desc"",0)"),"#N/A")</f>
        <v>#N/A</v>
      </c>
      <c r="C81" s="117"/>
      <c r="D81" s="117"/>
      <c r="E81" s="117"/>
      <c r="F81" s="1"/>
    </row>
    <row r="82">
      <c r="A82" s="1"/>
      <c r="B82" s="33"/>
      <c r="C82" s="117"/>
      <c r="D82" s="117"/>
      <c r="E82" s="117"/>
      <c r="F82" s="1"/>
    </row>
    <row r="83">
      <c r="A83" s="1"/>
      <c r="B83" s="33"/>
      <c r="C83" s="117"/>
      <c r="D83" s="117"/>
      <c r="E83" s="117"/>
      <c r="F83" s="1"/>
    </row>
    <row r="84">
      <c r="A84" s="1"/>
      <c r="B84" s="33"/>
      <c r="C84" s="117"/>
      <c r="D84" s="117"/>
      <c r="E84" s="117"/>
      <c r="F84" s="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10"")"),"Adrian Tay")</f>
        <v>Adrian Tay</v>
      </c>
      <c r="C100" s="117">
        <f>IFERROR(__xludf.DUMMYFUNCTION("""COMPUTED_VALUE"""),0.0)</f>
        <v>0</v>
      </c>
      <c r="D100" s="117">
        <f t="shared" ref="D100:D109" si="75">VLOOKUP(B100,indirect($AC$2&amp;"!B$5:X$69"),23, false)</f>
        <v>1</v>
      </c>
      <c r="E100" s="117">
        <f t="shared" ref="E100:E109" si="76">VLOOKUP(B100,B$5:X$69,23, false)</f>
        <v>1</v>
      </c>
      <c r="F100" s="117" t="str">
        <f t="shared" ref="F100:F109" si="77">VLOOKUP(B100,indirect($AC$2&amp;"!B$5:U$70"),11, false)</f>
        <v/>
      </c>
      <c r="G100" s="117" t="str">
        <f t="shared" ref="G100:G109" si="78">VLOOKUP(B100,indirect($AC$2&amp;"!B$5:U$70"),6, false)</f>
        <v/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IFERROR(__xludf.DUMMYFUNCTION("""COMPUTED_VALUE"""),"Darren Wong")</f>
        <v>Darren Wong</v>
      </c>
      <c r="C101" s="117">
        <f>IFERROR(__xludf.DUMMYFUNCTION("""COMPUTED_VALUE"""),0.0)</f>
        <v>0</v>
      </c>
      <c r="D101" s="117">
        <f t="shared" si="75"/>
        <v>2</v>
      </c>
      <c r="E101" s="117">
        <f t="shared" si="76"/>
        <v>2</v>
      </c>
      <c r="F101" s="117" t="str">
        <f t="shared" si="77"/>
        <v/>
      </c>
      <c r="G101" s="117" t="str">
        <f t="shared" si="78"/>
        <v/>
      </c>
      <c r="L101" s="117" t="str">
        <f t="shared" si="79"/>
        <v>ok</v>
      </c>
    </row>
    <row r="102">
      <c r="A102" s="1"/>
      <c r="B102" s="33" t="str">
        <f>IFERROR(__xludf.DUMMYFUNCTION("""COMPUTED_VALUE"""),"Lam Bui")</f>
        <v>Lam Bui</v>
      </c>
      <c r="C102" s="117">
        <f>IFERROR(__xludf.DUMMYFUNCTION("""COMPUTED_VALUE"""),0.0)</f>
        <v>0</v>
      </c>
      <c r="D102" s="117">
        <f t="shared" si="75"/>
        <v>3</v>
      </c>
      <c r="E102" s="117">
        <f t="shared" si="76"/>
        <v>3</v>
      </c>
      <c r="F102" s="117" t="str">
        <f t="shared" si="77"/>
        <v/>
      </c>
      <c r="G102" s="117" t="str">
        <f t="shared" si="78"/>
        <v/>
      </c>
      <c r="L102" s="117" t="str">
        <f t="shared" si="79"/>
        <v>ok</v>
      </c>
    </row>
    <row r="103">
      <c r="A103" s="1"/>
      <c r="B103" s="33" t="str">
        <f>IFERROR(__xludf.DUMMYFUNCTION("""COMPUTED_VALUE"""),"Sandeep Kamalon")</f>
        <v>Sandeep Kamalon</v>
      </c>
      <c r="C103" s="117">
        <f>IFERROR(__xludf.DUMMYFUNCTION("""COMPUTED_VALUE"""),0.0)</f>
        <v>0</v>
      </c>
      <c r="D103" s="117">
        <f t="shared" si="75"/>
        <v>4</v>
      </c>
      <c r="E103" s="117">
        <f t="shared" si="76"/>
        <v>4</v>
      </c>
      <c r="F103" s="117" t="str">
        <f t="shared" si="77"/>
        <v/>
      </c>
      <c r="G103" s="117" t="str">
        <f t="shared" si="78"/>
        <v/>
      </c>
      <c r="L103" s="117" t="str">
        <f t="shared" si="79"/>
        <v>ok</v>
      </c>
    </row>
    <row r="104">
      <c r="A104" s="1"/>
      <c r="B104" s="33" t="str">
        <f>IFERROR(__xludf.DUMMYFUNCTION("""COMPUTED_VALUE"""),"Rajasekar Ramasamy")</f>
        <v>Rajasekar Ramasamy</v>
      </c>
      <c r="C104" s="117">
        <f>IFERROR(__xludf.DUMMYFUNCTION("""COMPUTED_VALUE"""),0.0)</f>
        <v>0</v>
      </c>
      <c r="D104" s="117">
        <f t="shared" si="75"/>
        <v>5</v>
      </c>
      <c r="E104" s="117">
        <f t="shared" si="76"/>
        <v>5</v>
      </c>
      <c r="F104" s="117" t="str">
        <f t="shared" si="77"/>
        <v/>
      </c>
      <c r="G104" s="117" t="str">
        <f t="shared" si="78"/>
        <v/>
      </c>
      <c r="L104" s="117" t="str">
        <f t="shared" si="79"/>
        <v>ok</v>
      </c>
    </row>
    <row r="105">
      <c r="A105" s="1"/>
      <c r="B105" s="33" t="str">
        <f>IFERROR(__xludf.DUMMYFUNCTION("""COMPUTED_VALUE"""),"Matthew Huang")</f>
        <v>Matthew Huang</v>
      </c>
      <c r="C105" s="117">
        <f>IFERROR(__xludf.DUMMYFUNCTION("""COMPUTED_VALUE"""),0.0)</f>
        <v>0</v>
      </c>
      <c r="D105" s="117">
        <f t="shared" si="75"/>
        <v>6</v>
      </c>
      <c r="E105" s="117">
        <f t="shared" si="76"/>
        <v>6</v>
      </c>
      <c r="F105" s="117" t="str">
        <f t="shared" si="77"/>
        <v/>
      </c>
      <c r="G105" s="117" t="str">
        <f t="shared" si="78"/>
        <v/>
      </c>
      <c r="L105" s="117" t="str">
        <f t="shared" si="79"/>
        <v>ok</v>
      </c>
    </row>
    <row r="106">
      <c r="A106" s="1"/>
      <c r="B106" s="33" t="str">
        <f>IFERROR(__xludf.DUMMYFUNCTION("""COMPUTED_VALUE"""),"Pavan Akkimsetty")</f>
        <v>Pavan Akkimsetty</v>
      </c>
      <c r="C106" s="117">
        <f>IFERROR(__xludf.DUMMYFUNCTION("""COMPUTED_VALUE"""),0.0)</f>
        <v>0</v>
      </c>
      <c r="D106" s="117">
        <f t="shared" si="75"/>
        <v>7</v>
      </c>
      <c r="E106" s="117">
        <f t="shared" si="76"/>
        <v>7</v>
      </c>
      <c r="F106" s="117" t="str">
        <f t="shared" si="77"/>
        <v/>
      </c>
      <c r="G106" s="117" t="str">
        <f t="shared" si="78"/>
        <v/>
      </c>
      <c r="L106" s="117" t="str">
        <f t="shared" si="79"/>
        <v>ok</v>
      </c>
    </row>
    <row r="107">
      <c r="A107" s="1"/>
      <c r="B107" s="33" t="str">
        <f>IFERROR(__xludf.DUMMYFUNCTION("""COMPUTED_VALUE"""),"Pulkit Mathur")</f>
        <v>Pulkit Mathur</v>
      </c>
      <c r="C107" s="117">
        <f>IFERROR(__xludf.DUMMYFUNCTION("""COMPUTED_VALUE"""),0.0)</f>
        <v>0</v>
      </c>
      <c r="D107" s="117">
        <f t="shared" si="75"/>
        <v>8</v>
      </c>
      <c r="E107" s="117">
        <f t="shared" si="76"/>
        <v>8</v>
      </c>
      <c r="F107" s="117" t="str">
        <f t="shared" si="77"/>
        <v/>
      </c>
      <c r="G107" s="117" t="str">
        <f t="shared" si="78"/>
        <v/>
      </c>
      <c r="L107" s="117" t="str">
        <f t="shared" si="79"/>
        <v>ok</v>
      </c>
    </row>
    <row r="108">
      <c r="A108" s="1"/>
      <c r="B108" s="33" t="str">
        <f>IFERROR(__xludf.DUMMYFUNCTION("""COMPUTED_VALUE"""),"Ethan Gu")</f>
        <v>Ethan Gu</v>
      </c>
      <c r="C108" s="117">
        <f>IFERROR(__xludf.DUMMYFUNCTION("""COMPUTED_VALUE"""),0.0)</f>
        <v>0</v>
      </c>
      <c r="D108" s="117">
        <f t="shared" si="75"/>
        <v>9</v>
      </c>
      <c r="E108" s="117">
        <f t="shared" si="76"/>
        <v>9</v>
      </c>
      <c r="F108" s="117" t="str">
        <f t="shared" si="77"/>
        <v/>
      </c>
      <c r="G108" s="117" t="str">
        <f t="shared" si="78"/>
        <v/>
      </c>
      <c r="L108" s="117" t="str">
        <f t="shared" si="79"/>
        <v>ok</v>
      </c>
    </row>
    <row r="109">
      <c r="A109" s="1"/>
      <c r="B109" s="33" t="str">
        <f>IFERROR(__xludf.DUMMYFUNCTION("""COMPUTED_VALUE"""),"David Shin")</f>
        <v>David Shin</v>
      </c>
      <c r="C109" s="117">
        <f>IFERROR(__xludf.DUMMYFUNCTION("""COMPUTED_VALUE"""),0.0)</f>
        <v>0</v>
      </c>
      <c r="D109" s="117">
        <f t="shared" si="75"/>
        <v>10</v>
      </c>
      <c r="E109" s="117">
        <f t="shared" si="76"/>
        <v>10</v>
      </c>
      <c r="F109" s="117" t="str">
        <f t="shared" si="77"/>
        <v/>
      </c>
      <c r="G109" s="117" t="str">
        <f t="shared" si="78"/>
        <v/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21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278</v>
      </c>
      <c r="D118" s="117">
        <f t="shared" si="80"/>
        <v>33</v>
      </c>
      <c r="E118" s="117">
        <f t="shared" si="80"/>
        <v>15.35714286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267</v>
      </c>
      <c r="D119" s="117">
        <f t="shared" si="81"/>
        <v>29</v>
      </c>
      <c r="E119" s="117">
        <f t="shared" si="81"/>
        <v>14.28571429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267</v>
      </c>
      <c r="D120" s="117">
        <f t="shared" si="82"/>
        <v>27</v>
      </c>
      <c r="E120" s="117">
        <f t="shared" si="82"/>
        <v>13.33333333</v>
      </c>
      <c r="F120" s="1"/>
    </row>
    <row r="121">
      <c r="A121" s="117">
        <f t="shared" ref="A121:E121" si="83">A8</f>
        <v>4</v>
      </c>
      <c r="B121" s="33" t="str">
        <f t="shared" si="83"/>
        <v>Sandeep Kamalon</v>
      </c>
      <c r="C121" s="117">
        <f t="shared" si="83"/>
        <v>257</v>
      </c>
      <c r="D121" s="117">
        <f t="shared" si="83"/>
        <v>29</v>
      </c>
      <c r="E121" s="117">
        <f t="shared" si="83"/>
        <v>12.36842105</v>
      </c>
      <c r="F121" s="1"/>
    </row>
    <row r="122">
      <c r="A122" s="117">
        <f t="shared" ref="A122:E122" si="84">A9</f>
        <v>5</v>
      </c>
      <c r="B122" s="33" t="str">
        <f t="shared" si="84"/>
        <v>Rajasekar Ramasamy</v>
      </c>
      <c r="C122" s="117">
        <f t="shared" si="84"/>
        <v>257</v>
      </c>
      <c r="D122" s="117">
        <f t="shared" si="84"/>
        <v>28</v>
      </c>
      <c r="E122" s="117">
        <f t="shared" si="84"/>
        <v>12.36842105</v>
      </c>
      <c r="F122" s="1"/>
    </row>
    <row r="123">
      <c r="A123" s="117">
        <f t="shared" ref="A123:E123" si="85">A10</f>
        <v>6</v>
      </c>
      <c r="B123" s="33" t="str">
        <f t="shared" si="85"/>
        <v>Matthew Huang</v>
      </c>
      <c r="C123" s="117">
        <f t="shared" si="85"/>
        <v>256</v>
      </c>
      <c r="D123" s="117">
        <f t="shared" si="85"/>
        <v>27</v>
      </c>
      <c r="E123" s="117">
        <f t="shared" si="85"/>
        <v>14.15384615</v>
      </c>
      <c r="F123" s="1"/>
    </row>
    <row r="124">
      <c r="A124" s="117">
        <f t="shared" ref="A124:E124" si="86">A11</f>
        <v>7</v>
      </c>
      <c r="B124" s="33" t="str">
        <f t="shared" si="86"/>
        <v>Pavan Akkimsetty</v>
      </c>
      <c r="C124" s="117">
        <f t="shared" si="86"/>
        <v>255</v>
      </c>
      <c r="D124" s="117">
        <f t="shared" si="86"/>
        <v>23</v>
      </c>
      <c r="E124" s="117">
        <f t="shared" si="86"/>
        <v>13.125</v>
      </c>
      <c r="F124" s="1"/>
    </row>
    <row r="125">
      <c r="A125" s="117">
        <f t="shared" ref="A125:E125" si="87">A12</f>
        <v>8</v>
      </c>
      <c r="B125" s="33" t="str">
        <f t="shared" si="87"/>
        <v>Pulkit Mathur</v>
      </c>
      <c r="C125" s="117">
        <f t="shared" si="87"/>
        <v>252</v>
      </c>
      <c r="D125" s="117">
        <f t="shared" si="87"/>
        <v>24</v>
      </c>
      <c r="E125" s="117">
        <f t="shared" si="87"/>
        <v>13.2</v>
      </c>
      <c r="F125" s="1"/>
    </row>
    <row r="126">
      <c r="A126" s="117">
        <f t="shared" ref="A126:E126" si="88">A13</f>
        <v>9</v>
      </c>
      <c r="B126" s="33" t="str">
        <f t="shared" si="88"/>
        <v>Ethan Gu</v>
      </c>
      <c r="C126" s="117">
        <f t="shared" si="88"/>
        <v>251</v>
      </c>
      <c r="D126" s="117">
        <f t="shared" si="88"/>
        <v>29</v>
      </c>
      <c r="E126" s="117">
        <f t="shared" si="88"/>
        <v>12.1</v>
      </c>
      <c r="F126" s="1"/>
    </row>
    <row r="127">
      <c r="A127" s="117">
        <f t="shared" ref="A127:E127" si="89">A14</f>
        <v>10</v>
      </c>
      <c r="B127" s="33" t="str">
        <f t="shared" si="89"/>
        <v>David Shin</v>
      </c>
      <c r="C127" s="117">
        <f t="shared" si="89"/>
        <v>251</v>
      </c>
      <c r="D127" s="117">
        <f t="shared" si="89"/>
        <v>23</v>
      </c>
      <c r="E127" s="117">
        <f t="shared" si="89"/>
        <v>12.26315789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ASC"")"),"Nicole Ni")</f>
        <v>Nicole Ni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  <c r="P154" s="33"/>
    </row>
    <row r="155">
      <c r="A155" s="117">
        <f t="shared" si="90"/>
        <v>0</v>
      </c>
      <c r="B155" s="33"/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11/15/25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 t="str">
        <f>IFERROR(__xludf.DUMMYFUNCTION("QUERY(indirect(AC2 &amp; ""!B5:M69""),""Select G, B, I, J, K,L, M where G &gt; 0 order by G asc"",0)"),"#N/A")</f>
        <v>#N/A</v>
      </c>
      <c r="B184" s="33"/>
      <c r="C184" s="122"/>
      <c r="D184" s="122"/>
      <c r="E184" s="122"/>
      <c r="F184" s="122"/>
      <c r="G184" s="122"/>
    </row>
    <row r="185">
      <c r="A185" s="117"/>
      <c r="B185" s="33"/>
      <c r="C185" s="122"/>
      <c r="D185" s="122"/>
      <c r="E185" s="122"/>
      <c r="F185" s="122"/>
      <c r="G185" s="122"/>
    </row>
    <row r="186">
      <c r="A186" s="117"/>
      <c r="B186" s="33"/>
      <c r="C186" s="122"/>
      <c r="D186" s="122"/>
      <c r="E186" s="122"/>
      <c r="F186" s="122"/>
      <c r="G186" s="122"/>
    </row>
    <row r="187">
      <c r="A187" s="117"/>
      <c r="B187" s="33"/>
      <c r="C187" s="122"/>
      <c r="D187" s="122"/>
      <c r="E187" s="122"/>
      <c r="F187" s="122"/>
      <c r="G187" s="122"/>
    </row>
    <row r="188">
      <c r="A188" s="123"/>
      <c r="B188" s="124"/>
      <c r="C188" s="125"/>
      <c r="D188" s="125"/>
      <c r="E188" s="125"/>
      <c r="F188" s="125"/>
      <c r="G188" s="125"/>
    </row>
    <row r="189">
      <c r="A189" s="123"/>
      <c r="B189" s="124"/>
      <c r="C189" s="125"/>
      <c r="D189" s="125"/>
      <c r="E189" s="125"/>
      <c r="F189" s="125"/>
      <c r="G189" s="125"/>
    </row>
    <row r="190">
      <c r="A190" s="123"/>
      <c r="B190" s="124"/>
      <c r="C190" s="125"/>
      <c r="D190" s="125"/>
      <c r="E190" s="125"/>
      <c r="F190" s="125"/>
      <c r="G190" s="125"/>
    </row>
    <row r="191">
      <c r="A191" s="123"/>
      <c r="B191" s="124"/>
      <c r="C191" s="125"/>
      <c r="D191" s="125"/>
      <c r="E191" s="125"/>
      <c r="F191" s="125"/>
      <c r="G191" s="125"/>
    </row>
    <row r="192">
      <c r="A192" s="117"/>
      <c r="B192" s="33"/>
      <c r="C192" s="122"/>
      <c r="D192" s="122"/>
      <c r="E192" s="122"/>
      <c r="F192" s="122"/>
      <c r="G192" s="122"/>
    </row>
    <row r="193">
      <c r="A193" s="117"/>
      <c r="B193" s="33"/>
      <c r="C193" s="122"/>
      <c r="D193" s="122"/>
      <c r="E193" s="122"/>
      <c r="F193" s="122"/>
      <c r="G193" s="122"/>
    </row>
    <row r="194">
      <c r="A194" s="117"/>
      <c r="B194" s="33"/>
      <c r="C194" s="122"/>
      <c r="D194" s="122"/>
      <c r="E194" s="122"/>
      <c r="F194" s="122"/>
      <c r="G194" s="122"/>
    </row>
    <row r="195">
      <c r="A195" s="117"/>
      <c r="B195" s="33"/>
      <c r="C195" s="122"/>
      <c r="D195" s="122"/>
      <c r="E195" s="122"/>
      <c r="F195" s="122"/>
      <c r="G195" s="122"/>
    </row>
    <row r="196">
      <c r="A196" s="123"/>
      <c r="B196" s="124"/>
      <c r="C196" s="125"/>
      <c r="D196" s="125"/>
      <c r="E196" s="125"/>
      <c r="F196" s="125"/>
      <c r="G196" s="125"/>
    </row>
    <row r="197">
      <c r="A197" s="123"/>
      <c r="B197" s="124"/>
      <c r="C197" s="125"/>
      <c r="D197" s="125"/>
      <c r="E197" s="125"/>
      <c r="F197" s="125"/>
      <c r="G197" s="125"/>
    </row>
    <row r="198">
      <c r="A198" s="123"/>
      <c r="B198" s="124"/>
      <c r="C198" s="125"/>
      <c r="D198" s="125"/>
      <c r="E198" s="125"/>
      <c r="F198" s="125"/>
      <c r="G198" s="125"/>
    </row>
    <row r="199">
      <c r="A199" s="123"/>
      <c r="B199" s="124"/>
      <c r="C199" s="125"/>
      <c r="D199" s="125"/>
      <c r="E199" s="125"/>
      <c r="F199" s="125"/>
      <c r="G199" s="125"/>
    </row>
    <row r="200">
      <c r="A200" s="117"/>
      <c r="B200" s="33"/>
      <c r="C200" s="122"/>
      <c r="D200" s="122"/>
      <c r="E200" s="122"/>
      <c r="F200" s="122"/>
      <c r="G200" s="122"/>
    </row>
    <row r="201">
      <c r="A201" s="117"/>
      <c r="B201" s="33"/>
      <c r="C201" s="122"/>
      <c r="D201" s="122"/>
      <c r="E201" s="122"/>
      <c r="F201" s="122"/>
      <c r="G201" s="122"/>
    </row>
    <row r="202">
      <c r="A202" s="117"/>
      <c r="B202" s="33"/>
      <c r="C202" s="122"/>
      <c r="D202" s="122"/>
      <c r="E202" s="122"/>
      <c r="F202" s="122"/>
      <c r="G202" s="122"/>
    </row>
    <row r="203">
      <c r="A203" s="117"/>
      <c r="B203" s="33"/>
      <c r="C203" s="122"/>
      <c r="D203" s="122"/>
      <c r="E203" s="122"/>
      <c r="F203" s="122"/>
      <c r="G203" s="122"/>
    </row>
    <row r="204">
      <c r="A204" s="123"/>
      <c r="B204" s="124"/>
      <c r="C204" s="125"/>
      <c r="D204" s="125"/>
      <c r="E204" s="125"/>
      <c r="F204" s="125"/>
      <c r="G204" s="125"/>
    </row>
    <row r="205">
      <c r="A205" s="123"/>
      <c r="B205" s="124"/>
      <c r="C205" s="125"/>
      <c r="D205" s="125"/>
      <c r="E205" s="125"/>
      <c r="F205" s="125"/>
      <c r="G205" s="125"/>
    </row>
    <row r="206">
      <c r="A206" s="123"/>
      <c r="B206" s="124"/>
      <c r="C206" s="125"/>
      <c r="D206" s="125"/>
      <c r="E206" s="125"/>
      <c r="F206" s="125"/>
      <c r="G206" s="125"/>
    </row>
    <row r="207">
      <c r="A207" s="123"/>
      <c r="B207" s="124"/>
      <c r="C207" s="125"/>
      <c r="D207" s="125"/>
      <c r="E207" s="125"/>
      <c r="F207" s="125"/>
      <c r="G207" s="125"/>
    </row>
    <row r="208">
      <c r="A208" s="117"/>
      <c r="B208" s="33"/>
      <c r="C208" s="122"/>
      <c r="D208" s="122"/>
      <c r="E208" s="122"/>
      <c r="F208" s="122"/>
      <c r="G208" s="122"/>
    </row>
    <row r="209">
      <c r="A209" s="117"/>
      <c r="B209" s="33"/>
      <c r="C209" s="122"/>
      <c r="D209" s="122"/>
      <c r="E209" s="122"/>
      <c r="F209" s="122"/>
      <c r="G209" s="122"/>
    </row>
    <row r="210">
      <c r="A210" s="117"/>
      <c r="B210" s="33"/>
      <c r="C210" s="122"/>
      <c r="D210" s="122"/>
      <c r="E210" s="122"/>
      <c r="F210" s="122"/>
      <c r="G210" s="122"/>
    </row>
    <row r="211">
      <c r="A211" s="117"/>
      <c r="B211" s="33"/>
      <c r="C211" s="122"/>
      <c r="D211" s="122"/>
      <c r="E211" s="122"/>
      <c r="F211" s="122"/>
      <c r="G211" s="122"/>
    </row>
    <row r="212">
      <c r="A212" s="123"/>
      <c r="B212" s="124"/>
      <c r="C212" s="125"/>
      <c r="D212" s="125"/>
      <c r="E212" s="125"/>
      <c r="F212" s="125"/>
      <c r="G212" s="125"/>
    </row>
    <row r="213">
      <c r="A213" s="123"/>
      <c r="B213" s="124"/>
      <c r="C213" s="125"/>
      <c r="D213" s="125"/>
      <c r="E213" s="125"/>
      <c r="F213" s="125"/>
      <c r="G213" s="125"/>
    </row>
    <row r="214">
      <c r="A214" s="123"/>
      <c r="B214" s="124"/>
      <c r="C214" s="125"/>
      <c r="D214" s="125"/>
      <c r="E214" s="125"/>
      <c r="F214" s="125"/>
      <c r="G214" s="125"/>
    </row>
    <row r="215">
      <c r="A215" s="123"/>
      <c r="B215" s="124"/>
      <c r="C215" s="125"/>
      <c r="D215" s="125"/>
      <c r="E215" s="125"/>
      <c r="F215" s="125"/>
      <c r="G215" s="125"/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45976.0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20.0</v>
      </c>
      <c r="E2" s="1"/>
      <c r="F2" s="1"/>
      <c r="R2" s="17"/>
      <c r="AC2" s="21" t="str">
        <f>text(C1-7,"mm/dd/yy")</f>
        <v>11/08/25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278.0</v>
      </c>
      <c r="D5" s="34">
        <v>33.0</v>
      </c>
      <c r="E5" s="35">
        <f t="shared" ref="E5:E69" si="2">if(S5&gt;0,(C5-(V5*9)-(T5*13))/S5,0)</f>
        <v>16.53846154</v>
      </c>
      <c r="F5" s="95"/>
      <c r="G5" s="96"/>
      <c r="H5" s="97"/>
      <c r="I5" s="96"/>
      <c r="J5" s="96"/>
      <c r="K5" s="96"/>
      <c r="L5" s="98"/>
      <c r="M5" s="96"/>
      <c r="N5" s="34">
        <f t="shared" ref="N5:O5" si="1">C5+L5</f>
        <v>278</v>
      </c>
      <c r="O5" s="34">
        <f t="shared" si="1"/>
        <v>33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13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7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267.0</v>
      </c>
      <c r="D6" s="34">
        <v>29.0</v>
      </c>
      <c r="E6" s="35">
        <f t="shared" si="2"/>
        <v>15.38461538</v>
      </c>
      <c r="F6" s="95"/>
      <c r="G6" s="96"/>
      <c r="H6" s="97"/>
      <c r="I6" s="96"/>
      <c r="J6" s="96"/>
      <c r="K6" s="96"/>
      <c r="L6" s="98"/>
      <c r="M6" s="96"/>
      <c r="N6" s="34">
        <f t="shared" ref="N6:O6" si="3">C6+L6</f>
        <v>267</v>
      </c>
      <c r="O6" s="34">
        <f t="shared" si="3"/>
        <v>29</v>
      </c>
      <c r="P6" s="49" t="s">
        <v>58</v>
      </c>
      <c r="Q6" s="49" t="s">
        <v>58</v>
      </c>
      <c r="R6" s="49"/>
      <c r="S6" s="50">
        <f t="shared" si="4"/>
        <v>13</v>
      </c>
      <c r="T6" s="52">
        <f t="shared" si="5"/>
        <v>1</v>
      </c>
      <c r="U6" s="52"/>
      <c r="V6" s="50">
        <f t="shared" si="6"/>
        <v>6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267.0</v>
      </c>
      <c r="D7" s="34">
        <v>27.0</v>
      </c>
      <c r="E7" s="35">
        <f t="shared" si="2"/>
        <v>14.11764706</v>
      </c>
      <c r="F7" s="95"/>
      <c r="G7" s="96"/>
      <c r="H7" s="97"/>
      <c r="I7" s="96"/>
      <c r="J7" s="96"/>
      <c r="K7" s="96"/>
      <c r="L7" s="98"/>
      <c r="M7" s="96"/>
      <c r="N7" s="34">
        <f t="shared" ref="N7:O7" si="11">C7+L7</f>
        <v>267</v>
      </c>
      <c r="O7" s="34">
        <f t="shared" si="11"/>
        <v>27</v>
      </c>
      <c r="P7" s="49" t="s">
        <v>58</v>
      </c>
      <c r="Q7" s="49" t="s">
        <v>58</v>
      </c>
      <c r="R7" s="49"/>
      <c r="S7" s="50">
        <f t="shared" si="4"/>
        <v>17</v>
      </c>
      <c r="T7" s="52">
        <f t="shared" si="5"/>
        <v>0</v>
      </c>
      <c r="U7" s="52"/>
      <c r="V7" s="50">
        <f t="shared" si="6"/>
        <v>3</v>
      </c>
      <c r="W7" s="52">
        <f t="shared" si="7"/>
        <v>0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90</v>
      </c>
      <c r="C8" s="34">
        <v>257.0</v>
      </c>
      <c r="D8" s="34">
        <v>29.0</v>
      </c>
      <c r="E8" s="35">
        <f t="shared" si="2"/>
        <v>13.05555556</v>
      </c>
      <c r="F8" s="95"/>
      <c r="G8" s="96"/>
      <c r="H8" s="97"/>
      <c r="I8" s="96"/>
      <c r="J8" s="96"/>
      <c r="K8" s="96"/>
      <c r="L8" s="98"/>
      <c r="M8" s="96"/>
      <c r="N8" s="34">
        <f t="shared" ref="N8:O8" si="13">C8+L8</f>
        <v>257</v>
      </c>
      <c r="O8" s="34">
        <f t="shared" si="13"/>
        <v>29</v>
      </c>
      <c r="P8" s="49" t="s">
        <v>58</v>
      </c>
      <c r="Q8" s="49" t="s">
        <v>58</v>
      </c>
      <c r="R8" s="49"/>
      <c r="S8" s="50">
        <f t="shared" si="4"/>
        <v>18</v>
      </c>
      <c r="T8" s="52">
        <f t="shared" si="5"/>
        <v>1</v>
      </c>
      <c r="U8" s="52"/>
      <c r="V8" s="50">
        <f t="shared" si="6"/>
        <v>1</v>
      </c>
      <c r="W8" s="52">
        <f t="shared" si="7"/>
        <v>1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91</v>
      </c>
      <c r="C9" s="34">
        <v>257.0</v>
      </c>
      <c r="D9" s="34">
        <v>28.0</v>
      </c>
      <c r="E9" s="35">
        <f t="shared" si="2"/>
        <v>13.05555556</v>
      </c>
      <c r="F9" s="95"/>
      <c r="G9" s="96"/>
      <c r="H9" s="97"/>
      <c r="I9" s="96"/>
      <c r="J9" s="96"/>
      <c r="K9" s="96"/>
      <c r="L9" s="98"/>
      <c r="M9" s="96"/>
      <c r="N9" s="34">
        <f t="shared" ref="N9:O9" si="14">C9+L9</f>
        <v>257</v>
      </c>
      <c r="O9" s="34">
        <f t="shared" si="14"/>
        <v>28</v>
      </c>
      <c r="P9" s="49" t="s">
        <v>58</v>
      </c>
      <c r="Q9" s="49" t="s">
        <v>58</v>
      </c>
      <c r="R9" s="49"/>
      <c r="S9" s="50">
        <f t="shared" si="4"/>
        <v>18</v>
      </c>
      <c r="T9" s="52">
        <f t="shared" si="5"/>
        <v>1</v>
      </c>
      <c r="U9" s="52"/>
      <c r="V9" s="50">
        <f t="shared" si="6"/>
        <v>1</v>
      </c>
      <c r="W9" s="52">
        <f t="shared" si="7"/>
        <v>3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134</v>
      </c>
      <c r="C10" s="34">
        <v>256.0</v>
      </c>
      <c r="D10" s="34">
        <v>27.0</v>
      </c>
      <c r="E10" s="35">
        <f t="shared" si="2"/>
        <v>14.84615385</v>
      </c>
      <c r="F10" s="95"/>
      <c r="G10" s="96"/>
      <c r="H10" s="97"/>
      <c r="I10" s="96"/>
      <c r="J10" s="96"/>
      <c r="K10" s="96"/>
      <c r="L10" s="98"/>
      <c r="M10" s="96"/>
      <c r="N10" s="34">
        <f t="shared" ref="N10:O10" si="15">C10+L10</f>
        <v>256</v>
      </c>
      <c r="O10" s="34">
        <f t="shared" si="15"/>
        <v>27</v>
      </c>
      <c r="P10" s="49" t="s">
        <v>58</v>
      </c>
      <c r="Q10" s="49" t="s">
        <v>58</v>
      </c>
      <c r="R10" s="49"/>
      <c r="S10" s="50">
        <f t="shared" si="4"/>
        <v>13</v>
      </c>
      <c r="T10" s="52">
        <f t="shared" si="5"/>
        <v>0</v>
      </c>
      <c r="U10" s="52"/>
      <c r="V10" s="50">
        <f t="shared" si="6"/>
        <v>7</v>
      </c>
      <c r="W10" s="52">
        <f t="shared" si="7"/>
        <v>-2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113</v>
      </c>
      <c r="C11" s="34">
        <v>255.0</v>
      </c>
      <c r="D11" s="34">
        <v>23.0</v>
      </c>
      <c r="E11" s="35">
        <f t="shared" si="2"/>
        <v>14</v>
      </c>
      <c r="F11" s="95"/>
      <c r="G11" s="96"/>
      <c r="H11" s="97"/>
      <c r="I11" s="96"/>
      <c r="J11" s="96"/>
      <c r="K11" s="96"/>
      <c r="L11" s="98"/>
      <c r="M11" s="96"/>
      <c r="N11" s="34">
        <f t="shared" ref="N11:O11" si="16">C11+L11</f>
        <v>255</v>
      </c>
      <c r="O11" s="34">
        <f t="shared" si="16"/>
        <v>23</v>
      </c>
      <c r="P11" s="49" t="s">
        <v>58</v>
      </c>
      <c r="Q11" s="49" t="s">
        <v>58</v>
      </c>
      <c r="R11" s="49"/>
      <c r="S11" s="50">
        <f t="shared" si="4"/>
        <v>15</v>
      </c>
      <c r="T11" s="52">
        <f t="shared" si="5"/>
        <v>0</v>
      </c>
      <c r="U11" s="52"/>
      <c r="V11" s="50">
        <f t="shared" si="6"/>
        <v>5</v>
      </c>
      <c r="W11" s="52">
        <f t="shared" si="7"/>
        <v>3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84</v>
      </c>
      <c r="C12" s="34">
        <v>252.0</v>
      </c>
      <c r="D12" s="34">
        <v>24.0</v>
      </c>
      <c r="E12" s="35">
        <f t="shared" si="2"/>
        <v>14.14285714</v>
      </c>
      <c r="F12" s="95"/>
      <c r="G12" s="96"/>
      <c r="H12" s="97"/>
      <c r="I12" s="96"/>
      <c r="J12" s="96"/>
      <c r="K12" s="96"/>
      <c r="L12" s="98"/>
      <c r="M12" s="96"/>
      <c r="N12" s="34">
        <f t="shared" ref="N12:O12" si="17">C12+L12</f>
        <v>252</v>
      </c>
      <c r="O12" s="34">
        <f t="shared" si="17"/>
        <v>24</v>
      </c>
      <c r="P12" s="49" t="s">
        <v>58</v>
      </c>
      <c r="Q12" s="49" t="s">
        <v>58</v>
      </c>
      <c r="R12" s="49"/>
      <c r="S12" s="50">
        <f t="shared" si="4"/>
        <v>14</v>
      </c>
      <c r="T12" s="52">
        <f t="shared" si="5"/>
        <v>0</v>
      </c>
      <c r="U12" s="52"/>
      <c r="V12" s="50">
        <f t="shared" si="6"/>
        <v>6</v>
      </c>
      <c r="W12" s="52">
        <f t="shared" si="7"/>
        <v>-2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98</v>
      </c>
      <c r="C13" s="34">
        <v>251.0</v>
      </c>
      <c r="D13" s="34">
        <v>29.0</v>
      </c>
      <c r="E13" s="35">
        <f t="shared" si="2"/>
        <v>12.73684211</v>
      </c>
      <c r="F13" s="95"/>
      <c r="G13" s="96"/>
      <c r="H13" s="97"/>
      <c r="I13" s="96"/>
      <c r="J13" s="96"/>
      <c r="K13" s="96"/>
      <c r="L13" s="98"/>
      <c r="M13" s="96"/>
      <c r="N13" s="34">
        <f t="shared" ref="N13:O13" si="18">C13+L13</f>
        <v>251</v>
      </c>
      <c r="O13" s="34">
        <f t="shared" si="18"/>
        <v>29</v>
      </c>
      <c r="P13" s="49" t="s">
        <v>58</v>
      </c>
      <c r="Q13" s="49" t="s">
        <v>58</v>
      </c>
      <c r="R13" s="49"/>
      <c r="S13" s="50">
        <f t="shared" si="4"/>
        <v>19</v>
      </c>
      <c r="T13" s="52">
        <f t="shared" si="5"/>
        <v>0</v>
      </c>
      <c r="U13" s="52"/>
      <c r="V13" s="50">
        <f t="shared" si="6"/>
        <v>1</v>
      </c>
      <c r="W13" s="52">
        <f t="shared" si="7"/>
        <v>2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94</v>
      </c>
      <c r="C14" s="34">
        <v>251.0</v>
      </c>
      <c r="D14" s="34">
        <v>23.0</v>
      </c>
      <c r="E14" s="35">
        <f t="shared" si="2"/>
        <v>12.94444444</v>
      </c>
      <c r="F14" s="95"/>
      <c r="G14" s="96"/>
      <c r="H14" s="97"/>
      <c r="I14" s="96"/>
      <c r="J14" s="96"/>
      <c r="K14" s="96"/>
      <c r="L14" s="98"/>
      <c r="M14" s="96"/>
      <c r="N14" s="34">
        <f t="shared" ref="N14:O14" si="19">C14+L14</f>
        <v>251</v>
      </c>
      <c r="O14" s="34">
        <f t="shared" si="19"/>
        <v>23</v>
      </c>
      <c r="P14" s="49" t="s">
        <v>58</v>
      </c>
      <c r="Q14" s="49" t="s">
        <v>58</v>
      </c>
      <c r="R14" s="49"/>
      <c r="S14" s="50">
        <f t="shared" si="4"/>
        <v>18</v>
      </c>
      <c r="T14" s="52">
        <f t="shared" si="5"/>
        <v>0</v>
      </c>
      <c r="U14" s="52"/>
      <c r="V14" s="50">
        <f t="shared" si="6"/>
        <v>2</v>
      </c>
      <c r="W14" s="52">
        <f t="shared" si="7"/>
        <v>-3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83</v>
      </c>
      <c r="C15" s="34">
        <v>250.0</v>
      </c>
      <c r="D15" s="34">
        <v>23.0</v>
      </c>
      <c r="E15" s="35">
        <f t="shared" si="2"/>
        <v>15</v>
      </c>
      <c r="F15" s="95"/>
      <c r="G15" s="96"/>
      <c r="H15" s="97"/>
      <c r="I15" s="96"/>
      <c r="J15" s="96"/>
      <c r="K15" s="96"/>
      <c r="L15" s="98"/>
      <c r="M15" s="96"/>
      <c r="N15" s="34">
        <f t="shared" ref="N15:O15" si="20">C15+L15</f>
        <v>250</v>
      </c>
      <c r="O15" s="34">
        <f t="shared" si="20"/>
        <v>23</v>
      </c>
      <c r="P15" s="49" t="s">
        <v>58</v>
      </c>
      <c r="Q15" s="49" t="s">
        <v>58</v>
      </c>
      <c r="R15" s="49"/>
      <c r="S15" s="50">
        <f t="shared" si="4"/>
        <v>11</v>
      </c>
      <c r="T15" s="52">
        <f t="shared" si="5"/>
        <v>1</v>
      </c>
      <c r="U15" s="52"/>
      <c r="V15" s="50">
        <f t="shared" si="6"/>
        <v>8</v>
      </c>
      <c r="W15" s="52">
        <f t="shared" si="7"/>
        <v>3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107</v>
      </c>
      <c r="C16" s="34">
        <v>248.0</v>
      </c>
      <c r="D16" s="34">
        <v>23.0</v>
      </c>
      <c r="E16" s="35">
        <f t="shared" si="2"/>
        <v>13.92307692</v>
      </c>
      <c r="F16" s="95"/>
      <c r="G16" s="96"/>
      <c r="H16" s="97"/>
      <c r="I16" s="96"/>
      <c r="J16" s="96"/>
      <c r="K16" s="96"/>
      <c r="L16" s="98"/>
      <c r="M16" s="96"/>
      <c r="N16" s="34">
        <f t="shared" ref="N16:O16" si="21">C16+L16</f>
        <v>248</v>
      </c>
      <c r="O16" s="34">
        <f t="shared" si="21"/>
        <v>23</v>
      </c>
      <c r="P16" s="49" t="s">
        <v>58</v>
      </c>
      <c r="Q16" s="49" t="s">
        <v>58</v>
      </c>
      <c r="R16" s="49"/>
      <c r="S16" s="50">
        <f t="shared" si="4"/>
        <v>13</v>
      </c>
      <c r="T16" s="52">
        <f t="shared" si="5"/>
        <v>1</v>
      </c>
      <c r="U16" s="52"/>
      <c r="V16" s="50">
        <f t="shared" si="6"/>
        <v>6</v>
      </c>
      <c r="W16" s="52">
        <f t="shared" si="7"/>
        <v>-3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128</v>
      </c>
      <c r="C17" s="34">
        <v>247.0</v>
      </c>
      <c r="D17" s="34">
        <v>22.0</v>
      </c>
      <c r="E17" s="35">
        <f t="shared" si="2"/>
        <v>13.1875</v>
      </c>
      <c r="F17" s="95"/>
      <c r="G17" s="96"/>
      <c r="H17" s="97"/>
      <c r="I17" s="96"/>
      <c r="J17" s="96"/>
      <c r="K17" s="96"/>
      <c r="L17" s="98"/>
      <c r="M17" s="96"/>
      <c r="N17" s="34">
        <f t="shared" ref="N17:O17" si="22">C17+L17</f>
        <v>247</v>
      </c>
      <c r="O17" s="34">
        <f t="shared" si="22"/>
        <v>22</v>
      </c>
      <c r="P17" s="49" t="s">
        <v>58</v>
      </c>
      <c r="Q17" s="49" t="s">
        <v>58</v>
      </c>
      <c r="R17" s="49"/>
      <c r="S17" s="50">
        <f t="shared" si="4"/>
        <v>16</v>
      </c>
      <c r="T17" s="52">
        <f t="shared" si="5"/>
        <v>0</v>
      </c>
      <c r="U17" s="52"/>
      <c r="V17" s="50">
        <f t="shared" si="6"/>
        <v>4</v>
      </c>
      <c r="W17" s="52">
        <f t="shared" si="7"/>
        <v>0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103</v>
      </c>
      <c r="C18" s="34">
        <v>246.0</v>
      </c>
      <c r="D18" s="34">
        <v>17.0</v>
      </c>
      <c r="E18" s="35">
        <f t="shared" si="2"/>
        <v>13.13333333</v>
      </c>
      <c r="F18" s="95"/>
      <c r="G18" s="96"/>
      <c r="H18" s="97"/>
      <c r="I18" s="96"/>
      <c r="J18" s="96"/>
      <c r="K18" s="96"/>
      <c r="L18" s="98"/>
      <c r="M18" s="96"/>
      <c r="N18" s="34">
        <f t="shared" ref="N18:O18" si="23">C18+L18</f>
        <v>246</v>
      </c>
      <c r="O18" s="34">
        <f t="shared" si="23"/>
        <v>17</v>
      </c>
      <c r="P18" s="49" t="s">
        <v>58</v>
      </c>
      <c r="Q18" s="49" t="s">
        <v>58</v>
      </c>
      <c r="R18" s="49"/>
      <c r="S18" s="50">
        <f t="shared" si="4"/>
        <v>15</v>
      </c>
      <c r="T18" s="52">
        <f t="shared" si="5"/>
        <v>1</v>
      </c>
      <c r="U18" s="52"/>
      <c r="V18" s="50">
        <f t="shared" si="6"/>
        <v>4</v>
      </c>
      <c r="W18" s="52">
        <f t="shared" si="7"/>
        <v>-2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133</v>
      </c>
      <c r="C19" s="34">
        <v>243.0</v>
      </c>
      <c r="D19" s="34">
        <v>25.0</v>
      </c>
      <c r="E19" s="35">
        <f t="shared" si="2"/>
        <v>13.2</v>
      </c>
      <c r="F19" s="95"/>
      <c r="G19" s="96"/>
      <c r="H19" s="97"/>
      <c r="I19" s="96"/>
      <c r="J19" s="96"/>
      <c r="K19" s="96"/>
      <c r="L19" s="98"/>
      <c r="M19" s="96"/>
      <c r="N19" s="34">
        <f t="shared" ref="N19:O19" si="24">C19+L19</f>
        <v>243</v>
      </c>
      <c r="O19" s="34">
        <f t="shared" si="24"/>
        <v>25</v>
      </c>
      <c r="P19" s="49" t="s">
        <v>58</v>
      </c>
      <c r="Q19" s="49" t="s">
        <v>58</v>
      </c>
      <c r="R19" s="49"/>
      <c r="S19" s="50">
        <f t="shared" si="4"/>
        <v>15</v>
      </c>
      <c r="T19" s="52">
        <f t="shared" si="5"/>
        <v>0</v>
      </c>
      <c r="U19" s="52"/>
      <c r="V19" s="50">
        <f t="shared" si="6"/>
        <v>5</v>
      </c>
      <c r="W19" s="52">
        <f t="shared" si="7"/>
        <v>2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97</v>
      </c>
      <c r="C20" s="34">
        <v>243.0</v>
      </c>
      <c r="D20" s="34">
        <v>24.0</v>
      </c>
      <c r="E20" s="35">
        <f t="shared" si="2"/>
        <v>13.5</v>
      </c>
      <c r="F20" s="95"/>
      <c r="G20" s="96"/>
      <c r="H20" s="97"/>
      <c r="I20" s="96"/>
      <c r="J20" s="96"/>
      <c r="K20" s="96"/>
      <c r="L20" s="98"/>
      <c r="M20" s="96"/>
      <c r="N20" s="34">
        <f t="shared" ref="N20:O20" si="25">C20+L20</f>
        <v>243</v>
      </c>
      <c r="O20" s="34">
        <f t="shared" si="25"/>
        <v>24</v>
      </c>
      <c r="P20" s="49" t="s">
        <v>58</v>
      </c>
      <c r="Q20" s="49" t="s">
        <v>58</v>
      </c>
      <c r="R20" s="49"/>
      <c r="S20" s="50">
        <f t="shared" si="4"/>
        <v>14</v>
      </c>
      <c r="T20" s="52">
        <f t="shared" si="5"/>
        <v>0</v>
      </c>
      <c r="U20" s="52"/>
      <c r="V20" s="50">
        <f t="shared" si="6"/>
        <v>6</v>
      </c>
      <c r="W20" s="52">
        <f t="shared" si="7"/>
        <v>3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109</v>
      </c>
      <c r="C21" s="34">
        <v>241.0</v>
      </c>
      <c r="D21" s="34">
        <v>21.0</v>
      </c>
      <c r="E21" s="35">
        <f t="shared" si="2"/>
        <v>12.8125</v>
      </c>
      <c r="F21" s="95"/>
      <c r="G21" s="96"/>
      <c r="H21" s="97"/>
      <c r="I21" s="96"/>
      <c r="J21" s="96"/>
      <c r="K21" s="96"/>
      <c r="L21" s="98"/>
      <c r="M21" s="96"/>
      <c r="N21" s="34">
        <f t="shared" ref="N21:O21" si="26">C21+L21</f>
        <v>241</v>
      </c>
      <c r="O21" s="34">
        <f t="shared" si="26"/>
        <v>21</v>
      </c>
      <c r="P21" s="49" t="s">
        <v>58</v>
      </c>
      <c r="Q21" s="49" t="s">
        <v>58</v>
      </c>
      <c r="R21" s="49"/>
      <c r="S21" s="50">
        <f t="shared" si="4"/>
        <v>16</v>
      </c>
      <c r="T21" s="52">
        <f t="shared" si="5"/>
        <v>0</v>
      </c>
      <c r="U21" s="52"/>
      <c r="V21" s="50">
        <f t="shared" si="6"/>
        <v>4</v>
      </c>
      <c r="W21" s="52">
        <f t="shared" si="7"/>
        <v>-2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125</v>
      </c>
      <c r="C22" s="34">
        <v>240.0</v>
      </c>
      <c r="D22" s="34">
        <v>20.0</v>
      </c>
      <c r="E22" s="35">
        <f t="shared" si="2"/>
        <v>13.28571429</v>
      </c>
      <c r="F22" s="95"/>
      <c r="G22" s="96"/>
      <c r="H22" s="97"/>
      <c r="I22" s="96"/>
      <c r="J22" s="96"/>
      <c r="K22" s="96"/>
      <c r="L22" s="98"/>
      <c r="M22" s="96"/>
      <c r="N22" s="34">
        <f t="shared" ref="N22:O22" si="27">C22+L22</f>
        <v>240</v>
      </c>
      <c r="O22" s="34">
        <f t="shared" si="27"/>
        <v>20</v>
      </c>
      <c r="P22" s="49" t="s">
        <v>58</v>
      </c>
      <c r="Q22" s="49" t="s">
        <v>58</v>
      </c>
      <c r="R22" s="49"/>
      <c r="S22" s="50">
        <f t="shared" si="4"/>
        <v>14</v>
      </c>
      <c r="T22" s="52">
        <f t="shared" si="5"/>
        <v>0</v>
      </c>
      <c r="U22" s="52"/>
      <c r="V22" s="50">
        <f t="shared" si="6"/>
        <v>6</v>
      </c>
      <c r="W22" s="52">
        <f t="shared" si="7"/>
        <v>5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111</v>
      </c>
      <c r="C23" s="34">
        <v>240.0</v>
      </c>
      <c r="D23" s="34">
        <v>20.0</v>
      </c>
      <c r="E23" s="35">
        <f t="shared" si="2"/>
        <v>12.73333333</v>
      </c>
      <c r="F23" s="95"/>
      <c r="G23" s="96"/>
      <c r="H23" s="97"/>
      <c r="I23" s="96"/>
      <c r="J23" s="96"/>
      <c r="K23" s="96"/>
      <c r="L23" s="98"/>
      <c r="M23" s="96"/>
      <c r="N23" s="34">
        <f t="shared" ref="N23:O23" si="28">C23+L23</f>
        <v>240</v>
      </c>
      <c r="O23" s="34">
        <f t="shared" si="28"/>
        <v>20</v>
      </c>
      <c r="P23" s="49" t="s">
        <v>58</v>
      </c>
      <c r="Q23" s="49" t="s">
        <v>58</v>
      </c>
      <c r="R23" s="49"/>
      <c r="S23" s="50">
        <f t="shared" si="4"/>
        <v>15</v>
      </c>
      <c r="T23" s="52">
        <f t="shared" si="5"/>
        <v>1</v>
      </c>
      <c r="U23" s="52"/>
      <c r="V23" s="50">
        <f t="shared" si="6"/>
        <v>4</v>
      </c>
      <c r="W23" s="52">
        <f t="shared" si="7"/>
        <v>-3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135</v>
      </c>
      <c r="C24" s="34">
        <v>239.0</v>
      </c>
      <c r="D24" s="34">
        <v>24.0</v>
      </c>
      <c r="E24" s="35">
        <f t="shared" si="2"/>
        <v>13.21428571</v>
      </c>
      <c r="F24" s="95"/>
      <c r="G24" s="96"/>
      <c r="H24" s="97"/>
      <c r="I24" s="96"/>
      <c r="J24" s="96"/>
      <c r="K24" s="96"/>
      <c r="L24" s="98"/>
      <c r="M24" s="96"/>
      <c r="N24" s="34">
        <f t="shared" ref="N24:O24" si="29">C24+L24</f>
        <v>239</v>
      </c>
      <c r="O24" s="34">
        <f t="shared" si="29"/>
        <v>24</v>
      </c>
      <c r="P24" s="49" t="s">
        <v>58</v>
      </c>
      <c r="Q24" s="49" t="s">
        <v>58</v>
      </c>
      <c r="R24" s="49"/>
      <c r="S24" s="50">
        <f t="shared" si="4"/>
        <v>14</v>
      </c>
      <c r="T24" s="52">
        <f t="shared" si="5"/>
        <v>0</v>
      </c>
      <c r="U24" s="52"/>
      <c r="V24" s="50">
        <f t="shared" si="6"/>
        <v>6</v>
      </c>
      <c r="W24" s="52">
        <f t="shared" si="7"/>
        <v>7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110</v>
      </c>
      <c r="C25" s="34">
        <v>237.0</v>
      </c>
      <c r="D25" s="34">
        <v>22.0</v>
      </c>
      <c r="E25" s="35">
        <f t="shared" si="2"/>
        <v>12.16666667</v>
      </c>
      <c r="F25" s="95"/>
      <c r="G25" s="96"/>
      <c r="H25" s="97"/>
      <c r="I25" s="96"/>
      <c r="J25" s="96"/>
      <c r="K25" s="96"/>
      <c r="L25" s="98"/>
      <c r="M25" s="96"/>
      <c r="N25" s="34">
        <f t="shared" ref="N25:O25" si="30">C25+L25</f>
        <v>237</v>
      </c>
      <c r="O25" s="34">
        <f t="shared" si="30"/>
        <v>22</v>
      </c>
      <c r="P25" s="49" t="s">
        <v>58</v>
      </c>
      <c r="Q25" s="49" t="s">
        <v>58</v>
      </c>
      <c r="R25" s="49"/>
      <c r="S25" s="50">
        <f t="shared" si="4"/>
        <v>18</v>
      </c>
      <c r="T25" s="52">
        <f t="shared" si="5"/>
        <v>0</v>
      </c>
      <c r="U25" s="52"/>
      <c r="V25" s="50">
        <f t="shared" si="6"/>
        <v>2</v>
      </c>
      <c r="W25" s="52">
        <f t="shared" si="7"/>
        <v>-3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87</v>
      </c>
      <c r="C26" s="34">
        <v>237.0</v>
      </c>
      <c r="D26" s="34">
        <v>22.0</v>
      </c>
      <c r="E26" s="35">
        <f t="shared" si="2"/>
        <v>12.11764706</v>
      </c>
      <c r="F26" s="95"/>
      <c r="G26" s="96"/>
      <c r="H26" s="97"/>
      <c r="I26" s="96"/>
      <c r="J26" s="96"/>
      <c r="K26" s="96"/>
      <c r="L26" s="98"/>
      <c r="M26" s="96"/>
      <c r="N26" s="34">
        <f t="shared" ref="N26:O26" si="31">C26+L26</f>
        <v>237</v>
      </c>
      <c r="O26" s="34">
        <f t="shared" si="31"/>
        <v>22</v>
      </c>
      <c r="P26" s="49" t="s">
        <v>58</v>
      </c>
      <c r="Q26" s="49" t="s">
        <v>58</v>
      </c>
      <c r="R26" s="49"/>
      <c r="S26" s="50">
        <f t="shared" si="4"/>
        <v>17</v>
      </c>
      <c r="T26" s="52">
        <f t="shared" si="5"/>
        <v>1</v>
      </c>
      <c r="U26" s="52"/>
      <c r="V26" s="50">
        <f t="shared" si="6"/>
        <v>2</v>
      </c>
      <c r="W26" s="52">
        <f t="shared" si="7"/>
        <v>-1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93</v>
      </c>
      <c r="C27" s="34">
        <v>237.0</v>
      </c>
      <c r="D27" s="34">
        <v>21.0</v>
      </c>
      <c r="E27" s="35">
        <f t="shared" si="2"/>
        <v>14.18181818</v>
      </c>
      <c r="F27" s="95"/>
      <c r="G27" s="96"/>
      <c r="H27" s="97"/>
      <c r="I27" s="96"/>
      <c r="J27" s="96"/>
      <c r="K27" s="96"/>
      <c r="L27" s="98"/>
      <c r="M27" s="96"/>
      <c r="N27" s="34">
        <f t="shared" ref="N27:O27" si="32">C27+L27</f>
        <v>237</v>
      </c>
      <c r="O27" s="34">
        <f t="shared" si="32"/>
        <v>21</v>
      </c>
      <c r="P27" s="49" t="s">
        <v>58</v>
      </c>
      <c r="Q27" s="49" t="s">
        <v>58</v>
      </c>
      <c r="R27" s="49"/>
      <c r="S27" s="50">
        <f t="shared" si="4"/>
        <v>11</v>
      </c>
      <c r="T27" s="52">
        <f t="shared" si="5"/>
        <v>0</v>
      </c>
      <c r="U27" s="52"/>
      <c r="V27" s="50">
        <f t="shared" si="6"/>
        <v>9</v>
      </c>
      <c r="W27" s="52">
        <f t="shared" si="7"/>
        <v>2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65</v>
      </c>
      <c r="C28" s="34">
        <v>237.0</v>
      </c>
      <c r="D28" s="34">
        <v>21.0</v>
      </c>
      <c r="E28" s="35">
        <f t="shared" si="2"/>
        <v>14.18181818</v>
      </c>
      <c r="F28" s="95"/>
      <c r="G28" s="96"/>
      <c r="H28" s="97"/>
      <c r="I28" s="96"/>
      <c r="J28" s="96"/>
      <c r="K28" s="96"/>
      <c r="L28" s="98"/>
      <c r="M28" s="96"/>
      <c r="N28" s="34">
        <f t="shared" ref="N28:O28" si="33">C28+L28</f>
        <v>237</v>
      </c>
      <c r="O28" s="34">
        <f t="shared" si="33"/>
        <v>21</v>
      </c>
      <c r="P28" s="49" t="s">
        <v>58</v>
      </c>
      <c r="Q28" s="49" t="s">
        <v>58</v>
      </c>
      <c r="R28" s="49"/>
      <c r="S28" s="50">
        <f t="shared" si="4"/>
        <v>11</v>
      </c>
      <c r="T28" s="52">
        <f t="shared" si="5"/>
        <v>0</v>
      </c>
      <c r="U28" s="52"/>
      <c r="V28" s="50">
        <f t="shared" si="6"/>
        <v>9</v>
      </c>
      <c r="W28" s="52">
        <f t="shared" si="7"/>
        <v>4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50</v>
      </c>
      <c r="C29" s="34">
        <v>236.0</v>
      </c>
      <c r="D29" s="34">
        <v>23.0</v>
      </c>
      <c r="E29" s="35">
        <f t="shared" si="2"/>
        <v>11.94736842</v>
      </c>
      <c r="F29" s="95"/>
      <c r="G29" s="96"/>
      <c r="H29" s="97"/>
      <c r="I29" s="96"/>
      <c r="J29" s="96"/>
      <c r="K29" s="96"/>
      <c r="L29" s="98"/>
      <c r="M29" s="96"/>
      <c r="N29" s="34">
        <f t="shared" ref="N29:O29" si="34">C29+L29</f>
        <v>236</v>
      </c>
      <c r="O29" s="34">
        <f t="shared" si="34"/>
        <v>23</v>
      </c>
      <c r="P29" s="49" t="s">
        <v>58</v>
      </c>
      <c r="Q29" s="49" t="s">
        <v>58</v>
      </c>
      <c r="R29" s="49"/>
      <c r="S29" s="50">
        <f t="shared" si="4"/>
        <v>19</v>
      </c>
      <c r="T29" s="52">
        <f t="shared" si="5"/>
        <v>0</v>
      </c>
      <c r="U29" s="52"/>
      <c r="V29" s="50">
        <f t="shared" si="6"/>
        <v>1</v>
      </c>
      <c r="W29" s="52">
        <f t="shared" si="7"/>
        <v>1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89</v>
      </c>
      <c r="C30" s="34">
        <v>235.0</v>
      </c>
      <c r="D30" s="34">
        <v>21.0</v>
      </c>
      <c r="E30" s="35">
        <f t="shared" si="2"/>
        <v>13.58333333</v>
      </c>
      <c r="F30" s="95"/>
      <c r="G30" s="96"/>
      <c r="H30" s="97"/>
      <c r="I30" s="96"/>
      <c r="J30" s="96"/>
      <c r="K30" s="96"/>
      <c r="L30" s="98"/>
      <c r="M30" s="96"/>
      <c r="N30" s="34">
        <f t="shared" ref="N30:O30" si="35">C30+L30</f>
        <v>235</v>
      </c>
      <c r="O30" s="34">
        <f t="shared" si="35"/>
        <v>21</v>
      </c>
      <c r="P30" s="49" t="s">
        <v>58</v>
      </c>
      <c r="Q30" s="49" t="s">
        <v>58</v>
      </c>
      <c r="R30" s="49"/>
      <c r="S30" s="50">
        <f t="shared" si="4"/>
        <v>12</v>
      </c>
      <c r="T30" s="52">
        <f t="shared" si="5"/>
        <v>0</v>
      </c>
      <c r="U30" s="52"/>
      <c r="V30" s="50">
        <f t="shared" si="6"/>
        <v>8</v>
      </c>
      <c r="W30" s="52">
        <f t="shared" si="7"/>
        <v>5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136</v>
      </c>
      <c r="C31" s="34">
        <v>233.0</v>
      </c>
      <c r="D31" s="34">
        <v>20.0</v>
      </c>
      <c r="E31" s="35">
        <f t="shared" si="2"/>
        <v>11.65</v>
      </c>
      <c r="F31" s="95"/>
      <c r="G31" s="96"/>
      <c r="H31" s="97"/>
      <c r="I31" s="96"/>
      <c r="J31" s="96"/>
      <c r="K31" s="96"/>
      <c r="L31" s="98"/>
      <c r="M31" s="96"/>
      <c r="N31" s="34">
        <f t="shared" ref="N31:O31" si="36">C31+L31</f>
        <v>233</v>
      </c>
      <c r="O31" s="34">
        <f t="shared" si="36"/>
        <v>20</v>
      </c>
      <c r="P31" s="49" t="s">
        <v>58</v>
      </c>
      <c r="Q31" s="49" t="s">
        <v>58</v>
      </c>
      <c r="R31" s="49"/>
      <c r="S31" s="50">
        <f t="shared" si="4"/>
        <v>20</v>
      </c>
      <c r="T31" s="52">
        <f t="shared" si="5"/>
        <v>0</v>
      </c>
      <c r="U31" s="52"/>
      <c r="V31" s="50">
        <f t="shared" si="6"/>
        <v>0</v>
      </c>
      <c r="W31" s="52">
        <f t="shared" si="7"/>
        <v>2</v>
      </c>
      <c r="X31" s="32">
        <f t="shared" si="12"/>
        <v>27</v>
      </c>
      <c r="Y31" s="32" t="str">
        <f t="shared" si="8"/>
        <v>Y</v>
      </c>
      <c r="Z31" s="16" t="str">
        <f t="shared" si="9"/>
        <v/>
      </c>
    </row>
    <row r="32">
      <c r="A32" s="32">
        <f t="shared" si="10"/>
        <v>28</v>
      </c>
      <c r="B32" s="33" t="s">
        <v>114</v>
      </c>
      <c r="C32" s="34">
        <v>233.0</v>
      </c>
      <c r="D32" s="34">
        <v>17.0</v>
      </c>
      <c r="E32" s="35">
        <f t="shared" si="2"/>
        <v>11.88235294</v>
      </c>
      <c r="F32" s="95"/>
      <c r="G32" s="96"/>
      <c r="H32" s="97"/>
      <c r="I32" s="96"/>
      <c r="J32" s="96"/>
      <c r="K32" s="96"/>
      <c r="L32" s="98"/>
      <c r="M32" s="96"/>
      <c r="N32" s="34">
        <f t="shared" ref="N32:O32" si="37">C32+L32</f>
        <v>233</v>
      </c>
      <c r="O32" s="34">
        <f t="shared" si="37"/>
        <v>17</v>
      </c>
      <c r="P32" s="49" t="s">
        <v>58</v>
      </c>
      <c r="Q32" s="49" t="s">
        <v>58</v>
      </c>
      <c r="R32" s="49"/>
      <c r="S32" s="50">
        <f t="shared" si="4"/>
        <v>17</v>
      </c>
      <c r="T32" s="52">
        <f t="shared" si="5"/>
        <v>1</v>
      </c>
      <c r="U32" s="52"/>
      <c r="V32" s="50">
        <f t="shared" si="6"/>
        <v>2</v>
      </c>
      <c r="W32" s="52">
        <f t="shared" si="7"/>
        <v>-4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49</v>
      </c>
      <c r="C33" s="34">
        <v>232.0</v>
      </c>
      <c r="D33" s="34">
        <v>21.0</v>
      </c>
      <c r="E33" s="35">
        <f t="shared" si="2"/>
        <v>12.05882353</v>
      </c>
      <c r="F33" s="95"/>
      <c r="G33" s="96"/>
      <c r="H33" s="97"/>
      <c r="I33" s="96"/>
      <c r="J33" s="96"/>
      <c r="K33" s="96"/>
      <c r="L33" s="98"/>
      <c r="M33" s="96"/>
      <c r="N33" s="34">
        <f t="shared" ref="N33:O33" si="38">C33+L33</f>
        <v>232</v>
      </c>
      <c r="O33" s="34">
        <f t="shared" si="38"/>
        <v>21</v>
      </c>
      <c r="P33" s="49" t="s">
        <v>58</v>
      </c>
      <c r="Q33" s="49" t="s">
        <v>58</v>
      </c>
      <c r="R33" s="49"/>
      <c r="S33" s="50">
        <f t="shared" si="4"/>
        <v>17</v>
      </c>
      <c r="T33" s="52">
        <f t="shared" si="5"/>
        <v>0</v>
      </c>
      <c r="U33" s="52"/>
      <c r="V33" s="50">
        <f t="shared" si="6"/>
        <v>3</v>
      </c>
      <c r="W33" s="52">
        <f t="shared" si="7"/>
        <v>-9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66</v>
      </c>
      <c r="C34" s="34">
        <v>232.0</v>
      </c>
      <c r="D34" s="34">
        <v>20.0</v>
      </c>
      <c r="E34" s="35">
        <f t="shared" si="2"/>
        <v>11.88888889</v>
      </c>
      <c r="F34" s="95"/>
      <c r="G34" s="96"/>
      <c r="H34" s="97"/>
      <c r="I34" s="96"/>
      <c r="J34" s="96"/>
      <c r="K34" s="96"/>
      <c r="L34" s="98"/>
      <c r="M34" s="96"/>
      <c r="N34" s="34">
        <f t="shared" ref="N34:O34" si="39">C34+L34</f>
        <v>232</v>
      </c>
      <c r="O34" s="34">
        <f t="shared" si="39"/>
        <v>20</v>
      </c>
      <c r="P34" s="49" t="s">
        <v>58</v>
      </c>
      <c r="Q34" s="49" t="s">
        <v>58</v>
      </c>
      <c r="R34" s="49"/>
      <c r="S34" s="50">
        <f t="shared" si="4"/>
        <v>18</v>
      </c>
      <c r="T34" s="52">
        <f t="shared" si="5"/>
        <v>0</v>
      </c>
      <c r="U34" s="52"/>
      <c r="V34" s="50">
        <f t="shared" si="6"/>
        <v>2</v>
      </c>
      <c r="W34" s="52">
        <f t="shared" si="7"/>
        <v>-8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96</v>
      </c>
      <c r="C35" s="34">
        <v>232.0</v>
      </c>
      <c r="D35" s="34">
        <v>18.0</v>
      </c>
      <c r="E35" s="35">
        <f t="shared" si="2"/>
        <v>11.88888889</v>
      </c>
      <c r="F35" s="95"/>
      <c r="G35" s="96"/>
      <c r="H35" s="97"/>
      <c r="I35" s="96"/>
      <c r="J35" s="96"/>
      <c r="K35" s="96"/>
      <c r="L35" s="98"/>
      <c r="M35" s="96"/>
      <c r="N35" s="34">
        <f t="shared" ref="N35:O35" si="40">C35+L35</f>
        <v>232</v>
      </c>
      <c r="O35" s="34">
        <f t="shared" si="40"/>
        <v>18</v>
      </c>
      <c r="P35" s="49" t="s">
        <v>58</v>
      </c>
      <c r="Q35" s="49" t="s">
        <v>58</v>
      </c>
      <c r="R35" s="49"/>
      <c r="S35" s="50">
        <f t="shared" si="4"/>
        <v>18</v>
      </c>
      <c r="T35" s="52">
        <f t="shared" si="5"/>
        <v>0</v>
      </c>
      <c r="U35" s="52"/>
      <c r="V35" s="50">
        <f t="shared" si="6"/>
        <v>2</v>
      </c>
      <c r="W35" s="52">
        <f t="shared" si="7"/>
        <v>-1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100</v>
      </c>
      <c r="C36" s="34">
        <v>228.0</v>
      </c>
      <c r="D36" s="34">
        <v>17.0</v>
      </c>
      <c r="E36" s="35">
        <f t="shared" si="2"/>
        <v>13.36363636</v>
      </c>
      <c r="F36" s="95"/>
      <c r="G36" s="96"/>
      <c r="H36" s="97"/>
      <c r="I36" s="96"/>
      <c r="J36" s="96"/>
      <c r="K36" s="96"/>
      <c r="L36" s="98"/>
      <c r="M36" s="96"/>
      <c r="N36" s="34">
        <f t="shared" ref="N36:O36" si="41">C36+L36</f>
        <v>228</v>
      </c>
      <c r="O36" s="34">
        <f t="shared" si="41"/>
        <v>17</v>
      </c>
      <c r="P36" s="49" t="s">
        <v>58</v>
      </c>
      <c r="Q36" s="49" t="s">
        <v>58</v>
      </c>
      <c r="R36" s="49"/>
      <c r="S36" s="50">
        <f t="shared" si="4"/>
        <v>11</v>
      </c>
      <c r="T36" s="52">
        <f t="shared" si="5"/>
        <v>0</v>
      </c>
      <c r="U36" s="52"/>
      <c r="V36" s="50">
        <f t="shared" si="6"/>
        <v>9</v>
      </c>
      <c r="W36" s="52">
        <f t="shared" si="7"/>
        <v>0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60</v>
      </c>
      <c r="C37" s="34">
        <v>223.0</v>
      </c>
      <c r="D37" s="34">
        <v>21.0</v>
      </c>
      <c r="E37" s="35">
        <f t="shared" si="2"/>
        <v>11.52941176</v>
      </c>
      <c r="F37" s="95"/>
      <c r="G37" s="96"/>
      <c r="H37" s="97"/>
      <c r="I37" s="96"/>
      <c r="J37" s="96"/>
      <c r="K37" s="96"/>
      <c r="L37" s="98"/>
      <c r="M37" s="96"/>
      <c r="N37" s="34">
        <f t="shared" ref="N37:O37" si="42">C37+L37</f>
        <v>223</v>
      </c>
      <c r="O37" s="34">
        <f t="shared" si="42"/>
        <v>21</v>
      </c>
      <c r="P37" s="49" t="s">
        <v>58</v>
      </c>
      <c r="Q37" s="49" t="s">
        <v>58</v>
      </c>
      <c r="R37" s="49"/>
      <c r="S37" s="50">
        <f t="shared" si="4"/>
        <v>17</v>
      </c>
      <c r="T37" s="52">
        <f t="shared" si="5"/>
        <v>0</v>
      </c>
      <c r="U37" s="52"/>
      <c r="V37" s="50">
        <f t="shared" si="6"/>
        <v>3</v>
      </c>
      <c r="W37" s="52">
        <f t="shared" si="7"/>
        <v>0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99</v>
      </c>
      <c r="C38" s="34">
        <v>223.0</v>
      </c>
      <c r="D38" s="34">
        <v>14.0</v>
      </c>
      <c r="E38" s="35">
        <f t="shared" si="2"/>
        <v>12.25</v>
      </c>
      <c r="F38" s="95"/>
      <c r="G38" s="96"/>
      <c r="H38" s="97"/>
      <c r="I38" s="96"/>
      <c r="J38" s="96"/>
      <c r="K38" s="96"/>
      <c r="L38" s="98"/>
      <c r="M38" s="96"/>
      <c r="N38" s="34">
        <f t="shared" ref="N38:O38" si="43">C38+L38</f>
        <v>223</v>
      </c>
      <c r="O38" s="34">
        <f t="shared" si="43"/>
        <v>14</v>
      </c>
      <c r="P38" s="49" t="s">
        <v>58</v>
      </c>
      <c r="Q38" s="49" t="s">
        <v>58</v>
      </c>
      <c r="R38" s="49"/>
      <c r="S38" s="50">
        <f t="shared" si="4"/>
        <v>12</v>
      </c>
      <c r="T38" s="52">
        <f t="shared" si="5"/>
        <v>1</v>
      </c>
      <c r="U38" s="52"/>
      <c r="V38" s="50">
        <f t="shared" si="6"/>
        <v>7</v>
      </c>
      <c r="W38" s="52">
        <f t="shared" si="7"/>
        <v>1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122</v>
      </c>
      <c r="C39" s="34">
        <v>222.0</v>
      </c>
      <c r="D39" s="34">
        <v>16.0</v>
      </c>
      <c r="E39" s="35">
        <f t="shared" si="2"/>
        <v>13.2</v>
      </c>
      <c r="F39" s="95"/>
      <c r="G39" s="96"/>
      <c r="H39" s="97"/>
      <c r="I39" s="96"/>
      <c r="J39" s="96"/>
      <c r="K39" s="96"/>
      <c r="L39" s="98"/>
      <c r="M39" s="96"/>
      <c r="N39" s="34">
        <f t="shared" ref="N39:O39" si="44">C39+L39</f>
        <v>222</v>
      </c>
      <c r="O39" s="34">
        <f t="shared" si="44"/>
        <v>16</v>
      </c>
      <c r="P39" s="49" t="s">
        <v>58</v>
      </c>
      <c r="Q39" s="49" t="s">
        <v>58</v>
      </c>
      <c r="R39" s="49"/>
      <c r="S39" s="50">
        <f t="shared" si="4"/>
        <v>10</v>
      </c>
      <c r="T39" s="52">
        <f t="shared" si="5"/>
        <v>0</v>
      </c>
      <c r="U39" s="52"/>
      <c r="V39" s="50">
        <f t="shared" si="6"/>
        <v>10</v>
      </c>
      <c r="W39" s="52">
        <f t="shared" si="7"/>
        <v>-1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129</v>
      </c>
      <c r="C40" s="34">
        <v>221.0</v>
      </c>
      <c r="D40" s="34">
        <v>21.0</v>
      </c>
      <c r="E40" s="35">
        <f t="shared" si="2"/>
        <v>11.41176471</v>
      </c>
      <c r="F40" s="95"/>
      <c r="G40" s="96"/>
      <c r="H40" s="97"/>
      <c r="I40" s="96"/>
      <c r="J40" s="96"/>
      <c r="K40" s="96"/>
      <c r="L40" s="98"/>
      <c r="M40" s="96"/>
      <c r="N40" s="34">
        <f t="shared" ref="N40:O40" si="45">C40+L40</f>
        <v>221</v>
      </c>
      <c r="O40" s="34">
        <f t="shared" si="45"/>
        <v>21</v>
      </c>
      <c r="P40" s="49" t="s">
        <v>58</v>
      </c>
      <c r="Q40" s="49" t="s">
        <v>58</v>
      </c>
      <c r="R40" s="49"/>
      <c r="S40" s="50">
        <f t="shared" si="4"/>
        <v>17</v>
      </c>
      <c r="T40" s="52">
        <f t="shared" si="5"/>
        <v>0</v>
      </c>
      <c r="U40" s="52"/>
      <c r="V40" s="50">
        <f t="shared" si="6"/>
        <v>3</v>
      </c>
      <c r="W40" s="52">
        <f t="shared" si="7"/>
        <v>1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106</v>
      </c>
      <c r="C41" s="34">
        <v>220.0</v>
      </c>
      <c r="D41" s="34">
        <v>18.0</v>
      </c>
      <c r="E41" s="35">
        <f t="shared" si="2"/>
        <v>11.76923077</v>
      </c>
      <c r="F41" s="95"/>
      <c r="G41" s="96"/>
      <c r="H41" s="97"/>
      <c r="I41" s="96"/>
      <c r="J41" s="96"/>
      <c r="K41" s="96"/>
      <c r="L41" s="98"/>
      <c r="M41" s="96"/>
      <c r="N41" s="34">
        <f t="shared" ref="N41:O41" si="46">C41+L41</f>
        <v>220</v>
      </c>
      <c r="O41" s="34">
        <f t="shared" si="46"/>
        <v>18</v>
      </c>
      <c r="P41" s="49" t="s">
        <v>58</v>
      </c>
      <c r="Q41" s="49" t="s">
        <v>58</v>
      </c>
      <c r="R41" s="49"/>
      <c r="S41" s="50">
        <f t="shared" si="4"/>
        <v>13</v>
      </c>
      <c r="T41" s="52">
        <f t="shared" si="5"/>
        <v>1</v>
      </c>
      <c r="U41" s="52"/>
      <c r="V41" s="50">
        <f t="shared" si="6"/>
        <v>6</v>
      </c>
      <c r="W41" s="52">
        <f t="shared" si="7"/>
        <v>-1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138</v>
      </c>
      <c r="C42" s="34">
        <v>217.0</v>
      </c>
      <c r="D42" s="34">
        <v>14.0</v>
      </c>
      <c r="E42" s="35">
        <f t="shared" si="2"/>
        <v>12.36363636</v>
      </c>
      <c r="F42" s="95"/>
      <c r="G42" s="96"/>
      <c r="H42" s="97"/>
      <c r="I42" s="96"/>
      <c r="J42" s="96"/>
      <c r="K42" s="96"/>
      <c r="L42" s="98"/>
      <c r="M42" s="96"/>
      <c r="N42" s="34">
        <f t="shared" ref="N42:O42" si="47">C42+L42</f>
        <v>217</v>
      </c>
      <c r="O42" s="34">
        <f t="shared" si="47"/>
        <v>14</v>
      </c>
      <c r="P42" s="49" t="s">
        <v>58</v>
      </c>
      <c r="Q42" s="49" t="s">
        <v>58</v>
      </c>
      <c r="R42" s="49"/>
      <c r="S42" s="50">
        <f t="shared" si="4"/>
        <v>11</v>
      </c>
      <c r="T42" s="52">
        <f t="shared" si="5"/>
        <v>0</v>
      </c>
      <c r="U42" s="52"/>
      <c r="V42" s="50">
        <f t="shared" si="6"/>
        <v>9</v>
      </c>
      <c r="W42" s="52">
        <f t="shared" si="7"/>
        <v>0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137</v>
      </c>
      <c r="C43" s="34">
        <v>216.0</v>
      </c>
      <c r="D43" s="34">
        <v>17.0</v>
      </c>
      <c r="E43" s="35">
        <f t="shared" si="2"/>
        <v>11.57142857</v>
      </c>
      <c r="F43" s="95"/>
      <c r="G43" s="96"/>
      <c r="H43" s="97"/>
      <c r="I43" s="96"/>
      <c r="J43" s="96"/>
      <c r="K43" s="96"/>
      <c r="L43" s="98"/>
      <c r="M43" s="96"/>
      <c r="N43" s="34">
        <f t="shared" ref="N43:O43" si="48">C43+L43</f>
        <v>216</v>
      </c>
      <c r="O43" s="34">
        <f t="shared" si="48"/>
        <v>17</v>
      </c>
      <c r="P43" s="49" t="s">
        <v>58</v>
      </c>
      <c r="Q43" s="49" t="s">
        <v>58</v>
      </c>
      <c r="R43" s="49"/>
      <c r="S43" s="50">
        <f t="shared" si="4"/>
        <v>14</v>
      </c>
      <c r="T43" s="52">
        <f t="shared" si="5"/>
        <v>0</v>
      </c>
      <c r="U43" s="52"/>
      <c r="V43" s="50">
        <f t="shared" si="6"/>
        <v>6</v>
      </c>
      <c r="W43" s="52">
        <f t="shared" si="7"/>
        <v>0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213.0</v>
      </c>
      <c r="D44" s="34">
        <v>12.0</v>
      </c>
      <c r="E44" s="35">
        <f t="shared" si="2"/>
        <v>11.63636364</v>
      </c>
      <c r="F44" s="95"/>
      <c r="G44" s="96"/>
      <c r="H44" s="97"/>
      <c r="I44" s="96"/>
      <c r="J44" s="96"/>
      <c r="K44" s="96"/>
      <c r="L44" s="98"/>
      <c r="M44" s="96"/>
      <c r="N44" s="34">
        <f t="shared" ref="N44:O44" si="49">C44+L44</f>
        <v>213</v>
      </c>
      <c r="O44" s="34">
        <f t="shared" si="49"/>
        <v>12</v>
      </c>
      <c r="P44" s="49" t="s">
        <v>58</v>
      </c>
      <c r="Q44" s="49" t="s">
        <v>58</v>
      </c>
      <c r="R44" s="49"/>
      <c r="S44" s="50">
        <f t="shared" si="4"/>
        <v>11</v>
      </c>
      <c r="T44" s="52">
        <f t="shared" si="5"/>
        <v>1</v>
      </c>
      <c r="U44" s="52"/>
      <c r="V44" s="50">
        <f t="shared" si="6"/>
        <v>8</v>
      </c>
      <c r="W44" s="52">
        <f t="shared" si="7"/>
        <v>0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75</v>
      </c>
      <c r="C45" s="34">
        <v>213.0</v>
      </c>
      <c r="D45" s="34">
        <v>11.0</v>
      </c>
      <c r="E45" s="35">
        <f t="shared" si="2"/>
        <v>13.125</v>
      </c>
      <c r="F45" s="95"/>
      <c r="G45" s="96"/>
      <c r="H45" s="97"/>
      <c r="I45" s="96"/>
      <c r="J45" s="96"/>
      <c r="K45" s="96"/>
      <c r="L45" s="98"/>
      <c r="M45" s="96"/>
      <c r="N45" s="34">
        <f t="shared" ref="N45:O45" si="50">C45+L45</f>
        <v>213</v>
      </c>
      <c r="O45" s="34">
        <f t="shared" si="50"/>
        <v>11</v>
      </c>
      <c r="P45" s="49" t="s">
        <v>58</v>
      </c>
      <c r="Q45" s="49" t="s">
        <v>58</v>
      </c>
      <c r="R45" s="49"/>
      <c r="S45" s="50">
        <f t="shared" si="4"/>
        <v>8</v>
      </c>
      <c r="T45" s="52">
        <f t="shared" si="5"/>
        <v>0</v>
      </c>
      <c r="U45" s="52"/>
      <c r="V45" s="50">
        <f t="shared" si="6"/>
        <v>12</v>
      </c>
      <c r="W45" s="52">
        <f t="shared" si="7"/>
        <v>2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132</v>
      </c>
      <c r="C46" s="34">
        <v>211.0</v>
      </c>
      <c r="D46" s="34">
        <v>12.0</v>
      </c>
      <c r="E46" s="35">
        <f t="shared" si="2"/>
        <v>12.875</v>
      </c>
      <c r="F46" s="95"/>
      <c r="G46" s="96"/>
      <c r="H46" s="97"/>
      <c r="I46" s="96"/>
      <c r="J46" s="96"/>
      <c r="K46" s="96"/>
      <c r="L46" s="98"/>
      <c r="M46" s="96"/>
      <c r="N46" s="34">
        <f t="shared" ref="N46:O46" si="51">C46+L46</f>
        <v>211</v>
      </c>
      <c r="O46" s="34">
        <f t="shared" si="51"/>
        <v>12</v>
      </c>
      <c r="P46" s="49" t="s">
        <v>58</v>
      </c>
      <c r="Q46" s="49" t="s">
        <v>58</v>
      </c>
      <c r="R46" s="49"/>
      <c r="S46" s="50">
        <f t="shared" si="4"/>
        <v>8</v>
      </c>
      <c r="T46" s="52">
        <f t="shared" si="5"/>
        <v>0</v>
      </c>
      <c r="U46" s="52"/>
      <c r="V46" s="50">
        <f t="shared" si="6"/>
        <v>12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139</v>
      </c>
      <c r="C47" s="34">
        <v>205.0</v>
      </c>
      <c r="D47" s="34">
        <v>15.0</v>
      </c>
      <c r="E47" s="35">
        <f t="shared" si="2"/>
        <v>10.92307692</v>
      </c>
      <c r="F47" s="95"/>
      <c r="G47" s="96"/>
      <c r="H47" s="97"/>
      <c r="I47" s="96"/>
      <c r="J47" s="96"/>
      <c r="K47" s="96"/>
      <c r="L47" s="98"/>
      <c r="M47" s="96"/>
      <c r="N47" s="34">
        <f t="shared" ref="N47:O47" si="52">C47+L47</f>
        <v>205</v>
      </c>
      <c r="O47" s="34">
        <f t="shared" si="52"/>
        <v>15</v>
      </c>
      <c r="P47" s="49" t="s">
        <v>58</v>
      </c>
      <c r="Q47" s="49" t="s">
        <v>58</v>
      </c>
      <c r="R47" s="49"/>
      <c r="S47" s="50">
        <f t="shared" si="4"/>
        <v>13</v>
      </c>
      <c r="T47" s="52">
        <f t="shared" si="5"/>
        <v>0</v>
      </c>
      <c r="U47" s="52"/>
      <c r="V47" s="50">
        <f t="shared" si="6"/>
        <v>7</v>
      </c>
      <c r="W47" s="52">
        <f t="shared" si="7"/>
        <v>-1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203.0</v>
      </c>
      <c r="D48" s="34">
        <v>17.0</v>
      </c>
      <c r="E48" s="35">
        <f t="shared" si="2"/>
        <v>10.4375</v>
      </c>
      <c r="F48" s="95"/>
      <c r="G48" s="96"/>
      <c r="H48" s="97"/>
      <c r="I48" s="96"/>
      <c r="J48" s="96"/>
      <c r="K48" s="96"/>
      <c r="L48" s="98"/>
      <c r="M48" s="96"/>
      <c r="N48" s="34">
        <f t="shared" ref="N48:O48" si="53">C48+L48</f>
        <v>203</v>
      </c>
      <c r="O48" s="34">
        <f t="shared" si="53"/>
        <v>17</v>
      </c>
      <c r="P48" s="49" t="s">
        <v>58</v>
      </c>
      <c r="Q48" s="49" t="s">
        <v>58</v>
      </c>
      <c r="R48" s="49"/>
      <c r="S48" s="50">
        <f t="shared" si="4"/>
        <v>16</v>
      </c>
      <c r="T48" s="52">
        <f t="shared" si="5"/>
        <v>0</v>
      </c>
      <c r="U48" s="52"/>
      <c r="V48" s="50">
        <f t="shared" si="6"/>
        <v>4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121</v>
      </c>
      <c r="C49" s="34">
        <v>202.0</v>
      </c>
      <c r="D49" s="34">
        <v>10.0</v>
      </c>
      <c r="E49" s="35">
        <f t="shared" si="2"/>
        <v>12.6</v>
      </c>
      <c r="F49" s="95"/>
      <c r="G49" s="96"/>
      <c r="H49" s="97"/>
      <c r="I49" s="96"/>
      <c r="J49" s="96"/>
      <c r="K49" s="96"/>
      <c r="L49" s="98"/>
      <c r="M49" s="96"/>
      <c r="N49" s="34">
        <f t="shared" ref="N49:O49" si="54">C49+L49</f>
        <v>202</v>
      </c>
      <c r="O49" s="34">
        <f t="shared" si="54"/>
        <v>10</v>
      </c>
      <c r="P49" s="49" t="s">
        <v>58</v>
      </c>
      <c r="Q49" s="49" t="s">
        <v>58</v>
      </c>
      <c r="R49" s="49"/>
      <c r="S49" s="50">
        <f t="shared" si="4"/>
        <v>5</v>
      </c>
      <c r="T49" s="52">
        <f t="shared" si="5"/>
        <v>1</v>
      </c>
      <c r="U49" s="52"/>
      <c r="V49" s="50">
        <f t="shared" si="6"/>
        <v>14</v>
      </c>
      <c r="W49" s="52">
        <f t="shared" si="7"/>
        <v>4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108</v>
      </c>
      <c r="C50" s="34">
        <v>199.0</v>
      </c>
      <c r="D50" s="34">
        <v>9.0</v>
      </c>
      <c r="E50" s="35">
        <f t="shared" si="2"/>
        <v>10.35714286</v>
      </c>
      <c r="F50" s="95"/>
      <c r="G50" s="96"/>
      <c r="H50" s="97"/>
      <c r="I50" s="96"/>
      <c r="J50" s="96"/>
      <c r="K50" s="96"/>
      <c r="L50" s="98"/>
      <c r="M50" s="96"/>
      <c r="N50" s="34">
        <f t="shared" ref="N50:O50" si="55">C50+L50</f>
        <v>199</v>
      </c>
      <c r="O50" s="34">
        <f t="shared" si="55"/>
        <v>9</v>
      </c>
      <c r="P50" s="49" t="s">
        <v>58</v>
      </c>
      <c r="Q50" s="49" t="s">
        <v>58</v>
      </c>
      <c r="R50" s="49"/>
      <c r="S50" s="50">
        <f t="shared" si="4"/>
        <v>14</v>
      </c>
      <c r="T50" s="52">
        <f t="shared" si="5"/>
        <v>0</v>
      </c>
      <c r="U50" s="52"/>
      <c r="V50" s="50">
        <f t="shared" si="6"/>
        <v>6</v>
      </c>
      <c r="W50" s="52">
        <f t="shared" si="7"/>
        <v>-1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47</v>
      </c>
      <c r="C51" s="34">
        <v>196.0</v>
      </c>
      <c r="D51" s="34">
        <v>8.0</v>
      </c>
      <c r="E51" s="35">
        <f t="shared" si="2"/>
        <v>13</v>
      </c>
      <c r="F51" s="95"/>
      <c r="G51" s="96"/>
      <c r="H51" s="97"/>
      <c r="I51" s="96"/>
      <c r="J51" s="96"/>
      <c r="K51" s="96"/>
      <c r="L51" s="98"/>
      <c r="M51" s="96"/>
      <c r="N51" s="34">
        <f t="shared" ref="N51:O51" si="56">C51+L51</f>
        <v>196</v>
      </c>
      <c r="O51" s="34">
        <f t="shared" si="56"/>
        <v>8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16</v>
      </c>
      <c r="W51" s="52">
        <f t="shared" si="7"/>
        <v>-1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143</v>
      </c>
      <c r="C52" s="34">
        <v>196.0</v>
      </c>
      <c r="D52" s="34">
        <v>7.0</v>
      </c>
      <c r="E52" s="35">
        <f t="shared" si="2"/>
        <v>12.2</v>
      </c>
      <c r="F52" s="95"/>
      <c r="G52" s="96"/>
      <c r="H52" s="97"/>
      <c r="I52" s="96"/>
      <c r="J52" s="96"/>
      <c r="K52" s="96"/>
      <c r="L52" s="98"/>
      <c r="M52" s="96"/>
      <c r="N52" s="34">
        <f t="shared" ref="N52:O52" si="57">C52+L52</f>
        <v>196</v>
      </c>
      <c r="O52" s="34">
        <f t="shared" si="57"/>
        <v>7</v>
      </c>
      <c r="P52" s="49" t="s">
        <v>58</v>
      </c>
      <c r="Q52" s="49" t="s">
        <v>58</v>
      </c>
      <c r="R52" s="49"/>
      <c r="S52" s="50">
        <f t="shared" si="4"/>
        <v>5</v>
      </c>
      <c r="T52" s="52">
        <f t="shared" si="5"/>
        <v>0</v>
      </c>
      <c r="U52" s="52"/>
      <c r="V52" s="50">
        <f t="shared" si="6"/>
        <v>15</v>
      </c>
      <c r="W52" s="52">
        <f t="shared" si="7"/>
        <v>-1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144</v>
      </c>
      <c r="C53" s="34">
        <v>193.0</v>
      </c>
      <c r="D53" s="34">
        <v>9.0</v>
      </c>
      <c r="E53" s="35">
        <f t="shared" si="2"/>
        <v>10.125</v>
      </c>
      <c r="F53" s="95"/>
      <c r="G53" s="96"/>
      <c r="H53" s="97"/>
      <c r="I53" s="96"/>
      <c r="J53" s="96"/>
      <c r="K53" s="96"/>
      <c r="L53" s="98"/>
      <c r="M53" s="96"/>
      <c r="N53" s="34">
        <f t="shared" ref="N53:O53" si="58">C53+L53</f>
        <v>193</v>
      </c>
      <c r="O53" s="34">
        <f t="shared" si="58"/>
        <v>9</v>
      </c>
      <c r="P53" s="49" t="s">
        <v>58</v>
      </c>
      <c r="Q53" s="49" t="s">
        <v>58</v>
      </c>
      <c r="R53" s="49"/>
      <c r="S53" s="50">
        <f t="shared" si="4"/>
        <v>8</v>
      </c>
      <c r="T53" s="52">
        <f t="shared" si="5"/>
        <v>1</v>
      </c>
      <c r="U53" s="52"/>
      <c r="V53" s="50">
        <f t="shared" si="6"/>
        <v>11</v>
      </c>
      <c r="W53" s="52">
        <f t="shared" si="7"/>
        <v>-1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105</v>
      </c>
      <c r="C54" s="34">
        <v>191.0</v>
      </c>
      <c r="D54" s="34">
        <v>8.0</v>
      </c>
      <c r="E54" s="35">
        <f t="shared" si="2"/>
        <v>11.2</v>
      </c>
      <c r="F54" s="95"/>
      <c r="G54" s="96"/>
      <c r="H54" s="97"/>
      <c r="I54" s="96"/>
      <c r="J54" s="96"/>
      <c r="K54" s="96"/>
      <c r="L54" s="98"/>
      <c r="M54" s="96"/>
      <c r="N54" s="34">
        <f t="shared" ref="N54:O54" si="59">C54+L54</f>
        <v>191</v>
      </c>
      <c r="O54" s="34">
        <f t="shared" si="59"/>
        <v>8</v>
      </c>
      <c r="P54" s="49" t="s">
        <v>58</v>
      </c>
      <c r="Q54" s="49" t="s">
        <v>58</v>
      </c>
      <c r="R54" s="49"/>
      <c r="S54" s="50">
        <f t="shared" si="4"/>
        <v>5</v>
      </c>
      <c r="T54" s="52">
        <f t="shared" si="5"/>
        <v>0</v>
      </c>
      <c r="U54" s="52"/>
      <c r="V54" s="50">
        <f t="shared" si="6"/>
        <v>15</v>
      </c>
      <c r="W54" s="52">
        <f t="shared" si="7"/>
        <v>0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140</v>
      </c>
      <c r="C55" s="34">
        <v>191.0</v>
      </c>
      <c r="D55" s="34">
        <v>7.0</v>
      </c>
      <c r="E55" s="35">
        <f t="shared" si="2"/>
        <v>11.75</v>
      </c>
      <c r="F55" s="95"/>
      <c r="G55" s="96"/>
      <c r="H55" s="97"/>
      <c r="I55" s="96"/>
      <c r="J55" s="96"/>
      <c r="K55" s="96"/>
      <c r="L55" s="98"/>
      <c r="M55" s="96"/>
      <c r="N55" s="34">
        <f t="shared" ref="N55:O55" si="60">C55+L55</f>
        <v>191</v>
      </c>
      <c r="O55" s="34">
        <f t="shared" si="60"/>
        <v>7</v>
      </c>
      <c r="P55" s="49" t="s">
        <v>58</v>
      </c>
      <c r="Q55" s="49" t="s">
        <v>58</v>
      </c>
      <c r="R55" s="49"/>
      <c r="S55" s="50">
        <f t="shared" si="4"/>
        <v>4</v>
      </c>
      <c r="T55" s="52">
        <f t="shared" si="5"/>
        <v>0</v>
      </c>
      <c r="U55" s="52"/>
      <c r="V55" s="50">
        <f t="shared" si="6"/>
        <v>16</v>
      </c>
      <c r="W55" s="52">
        <f t="shared" si="7"/>
        <v>1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95</v>
      </c>
      <c r="C56" s="34">
        <v>191.0</v>
      </c>
      <c r="D56" s="34">
        <v>7.0</v>
      </c>
      <c r="E56" s="35">
        <f t="shared" si="2"/>
        <v>10.4</v>
      </c>
      <c r="F56" s="95"/>
      <c r="G56" s="96"/>
      <c r="H56" s="97"/>
      <c r="I56" s="96"/>
      <c r="J56" s="96"/>
      <c r="K56" s="96"/>
      <c r="L56" s="98"/>
      <c r="M56" s="96"/>
      <c r="N56" s="34">
        <f t="shared" ref="N56:O56" si="61">C56+L56</f>
        <v>191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5</v>
      </c>
      <c r="T56" s="52">
        <f t="shared" si="5"/>
        <v>1</v>
      </c>
      <c r="U56" s="52"/>
      <c r="V56" s="50">
        <f t="shared" si="6"/>
        <v>14</v>
      </c>
      <c r="W56" s="52">
        <f t="shared" si="7"/>
        <v>-1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142</v>
      </c>
      <c r="C57" s="34">
        <v>188.0</v>
      </c>
      <c r="D57" s="34">
        <v>11.0</v>
      </c>
      <c r="E57" s="35">
        <f t="shared" si="2"/>
        <v>9.727272727</v>
      </c>
      <c r="F57" s="95"/>
      <c r="G57" s="96"/>
      <c r="H57" s="97"/>
      <c r="I57" s="96"/>
      <c r="J57" s="96"/>
      <c r="K57" s="96"/>
      <c r="L57" s="98"/>
      <c r="M57" s="96"/>
      <c r="N57" s="34">
        <f t="shared" ref="N57:O57" si="62">C57+L57</f>
        <v>188</v>
      </c>
      <c r="O57" s="34">
        <f t="shared" si="62"/>
        <v>11</v>
      </c>
      <c r="P57" s="49" t="s">
        <v>58</v>
      </c>
      <c r="Q57" s="49" t="s">
        <v>58</v>
      </c>
      <c r="R57" s="49"/>
      <c r="S57" s="50">
        <f t="shared" si="4"/>
        <v>11</v>
      </c>
      <c r="T57" s="52">
        <f t="shared" si="5"/>
        <v>0</v>
      </c>
      <c r="U57" s="52"/>
      <c r="V57" s="50">
        <f t="shared" si="6"/>
        <v>9</v>
      </c>
      <c r="W57" s="52">
        <f t="shared" si="7"/>
        <v>0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69</v>
      </c>
      <c r="C58" s="34">
        <v>188.0</v>
      </c>
      <c r="D58" s="34">
        <v>7.0</v>
      </c>
      <c r="E58" s="35">
        <f t="shared" si="2"/>
        <v>11</v>
      </c>
      <c r="F58" s="95"/>
      <c r="G58" s="96"/>
      <c r="H58" s="97"/>
      <c r="I58" s="96"/>
      <c r="J58" s="96"/>
      <c r="K58" s="96"/>
      <c r="L58" s="98"/>
      <c r="M58" s="96"/>
      <c r="N58" s="34">
        <f t="shared" ref="N58:O58" si="63">C58+L58</f>
        <v>188</v>
      </c>
      <c r="O58" s="34">
        <f t="shared" si="63"/>
        <v>7</v>
      </c>
      <c r="P58" s="49" t="s">
        <v>58</v>
      </c>
      <c r="Q58" s="49" t="s">
        <v>58</v>
      </c>
      <c r="R58" s="49"/>
      <c r="S58" s="50">
        <f t="shared" si="4"/>
        <v>4</v>
      </c>
      <c r="T58" s="52">
        <f t="shared" si="5"/>
        <v>0</v>
      </c>
      <c r="U58" s="52"/>
      <c r="V58" s="50">
        <f t="shared" si="6"/>
        <v>16</v>
      </c>
      <c r="W58" s="52">
        <f t="shared" si="7"/>
        <v>0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145</v>
      </c>
      <c r="C59" s="34">
        <v>186.0</v>
      </c>
      <c r="D59" s="34">
        <v>9.0</v>
      </c>
      <c r="E59" s="35">
        <f t="shared" si="2"/>
        <v>9.666666667</v>
      </c>
      <c r="F59" s="95"/>
      <c r="G59" s="96"/>
      <c r="H59" s="97"/>
      <c r="I59" s="96"/>
      <c r="J59" s="96"/>
      <c r="K59" s="96"/>
      <c r="L59" s="98"/>
      <c r="M59" s="96"/>
      <c r="N59" s="34">
        <f t="shared" ref="N59:O59" si="64">C59+L59</f>
        <v>186</v>
      </c>
      <c r="O59" s="34">
        <f t="shared" si="64"/>
        <v>9</v>
      </c>
      <c r="P59" s="49" t="s">
        <v>58</v>
      </c>
      <c r="Q59" s="49" t="s">
        <v>58</v>
      </c>
      <c r="R59" s="49"/>
      <c r="S59" s="50">
        <f t="shared" si="4"/>
        <v>9</v>
      </c>
      <c r="T59" s="52">
        <f t="shared" si="5"/>
        <v>0</v>
      </c>
      <c r="U59" s="52"/>
      <c r="V59" s="50">
        <f t="shared" si="6"/>
        <v>11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180.0</v>
      </c>
      <c r="D60" s="34">
        <v>5.0</v>
      </c>
      <c r="E60" s="35">
        <f t="shared" si="2"/>
        <v>9</v>
      </c>
      <c r="F60" s="95"/>
      <c r="G60" s="96"/>
      <c r="H60" s="97"/>
      <c r="I60" s="96"/>
      <c r="J60" s="96"/>
      <c r="K60" s="96"/>
      <c r="L60" s="98"/>
      <c r="M60" s="96"/>
      <c r="N60" s="34">
        <f t="shared" ref="N60:O60" si="65">C60+L60</f>
        <v>180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4</v>
      </c>
      <c r="T60" s="52">
        <f t="shared" si="5"/>
        <v>0</v>
      </c>
      <c r="U60" s="52"/>
      <c r="V60" s="50">
        <f t="shared" si="6"/>
        <v>16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146</v>
      </c>
      <c r="C61" s="34">
        <v>179.0</v>
      </c>
      <c r="D61" s="34">
        <v>6.0</v>
      </c>
      <c r="E61" s="35">
        <f t="shared" si="2"/>
        <v>8.166666667</v>
      </c>
      <c r="F61" s="95"/>
      <c r="G61" s="96"/>
      <c r="H61" s="97"/>
      <c r="I61" s="96"/>
      <c r="J61" s="96"/>
      <c r="K61" s="96"/>
      <c r="L61" s="98"/>
      <c r="M61" s="96"/>
      <c r="N61" s="34">
        <f t="shared" ref="N61:O61" si="66">C61+L61</f>
        <v>179</v>
      </c>
      <c r="O61" s="34">
        <f t="shared" si="66"/>
        <v>6</v>
      </c>
      <c r="P61" s="49" t="s">
        <v>58</v>
      </c>
      <c r="Q61" s="49" t="s">
        <v>58</v>
      </c>
      <c r="R61" s="49"/>
      <c r="S61" s="50">
        <f t="shared" si="4"/>
        <v>6</v>
      </c>
      <c r="T61" s="52">
        <f t="shared" si="5"/>
        <v>1</v>
      </c>
      <c r="U61" s="52"/>
      <c r="V61" s="50">
        <f t="shared" si="6"/>
        <v>13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147</v>
      </c>
      <c r="C62" s="34">
        <v>176.0</v>
      </c>
      <c r="D62" s="34">
        <v>4.0</v>
      </c>
      <c r="E62" s="35">
        <f t="shared" si="2"/>
        <v>8</v>
      </c>
      <c r="F62" s="95"/>
      <c r="G62" s="96"/>
      <c r="H62" s="97"/>
      <c r="I62" s="96"/>
      <c r="J62" s="96"/>
      <c r="K62" s="96"/>
      <c r="L62" s="98"/>
      <c r="M62" s="96"/>
      <c r="N62" s="34">
        <f t="shared" ref="N62:O62" si="67">C62+L62</f>
        <v>176</v>
      </c>
      <c r="O62" s="34">
        <f t="shared" si="67"/>
        <v>4</v>
      </c>
      <c r="P62" s="49" t="s">
        <v>58</v>
      </c>
      <c r="Q62" s="49" t="s">
        <v>58</v>
      </c>
      <c r="R62" s="49"/>
      <c r="S62" s="50">
        <f t="shared" si="4"/>
        <v>4</v>
      </c>
      <c r="T62" s="52">
        <f t="shared" si="5"/>
        <v>0</v>
      </c>
      <c r="U62" s="52"/>
      <c r="V62" s="50">
        <f t="shared" si="6"/>
        <v>16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148</v>
      </c>
      <c r="C63" s="34">
        <v>176.0</v>
      </c>
      <c r="D63" s="34">
        <v>1.0</v>
      </c>
      <c r="E63" s="35">
        <f t="shared" si="2"/>
        <v>7.666666667</v>
      </c>
      <c r="F63" s="95"/>
      <c r="G63" s="96"/>
      <c r="H63" s="97"/>
      <c r="I63" s="96"/>
      <c r="J63" s="96"/>
      <c r="K63" s="96"/>
      <c r="L63" s="98"/>
      <c r="M63" s="96"/>
      <c r="N63" s="34">
        <f t="shared" ref="N63:O63" si="68">C63+L63</f>
        <v>176</v>
      </c>
      <c r="O63" s="34">
        <f t="shared" si="68"/>
        <v>1</v>
      </c>
      <c r="P63" s="49" t="s">
        <v>58</v>
      </c>
      <c r="Q63" s="49" t="s">
        <v>58</v>
      </c>
      <c r="R63" s="49"/>
      <c r="S63" s="50">
        <f t="shared" si="4"/>
        <v>6</v>
      </c>
      <c r="T63" s="52">
        <f t="shared" si="5"/>
        <v>1</v>
      </c>
      <c r="U63" s="52"/>
      <c r="V63" s="50">
        <f t="shared" si="6"/>
        <v>13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171.0</v>
      </c>
      <c r="D64" s="34">
        <v>0.0</v>
      </c>
      <c r="E64" s="35">
        <f t="shared" si="2"/>
        <v>0</v>
      </c>
      <c r="F64" s="95"/>
      <c r="G64" s="96"/>
      <c r="H64" s="97"/>
      <c r="I64" s="96"/>
      <c r="J64" s="96"/>
      <c r="K64" s="96"/>
      <c r="L64" s="98"/>
      <c r="M64" s="96"/>
      <c r="N64" s="34">
        <f t="shared" ref="N64:O64" si="69">C64+L64</f>
        <v>171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1</v>
      </c>
      <c r="T64" s="52">
        <f t="shared" si="5"/>
        <v>0</v>
      </c>
      <c r="U64" s="52"/>
      <c r="V64" s="50">
        <f t="shared" si="6"/>
        <v>19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171.0</v>
      </c>
      <c r="D65" s="34">
        <v>0.0</v>
      </c>
      <c r="E65" s="35">
        <f t="shared" si="2"/>
        <v>0</v>
      </c>
      <c r="F65" s="95"/>
      <c r="G65" s="96"/>
      <c r="H65" s="97"/>
      <c r="I65" s="96"/>
      <c r="J65" s="96"/>
      <c r="K65" s="96"/>
      <c r="L65" s="98"/>
      <c r="M65" s="96"/>
      <c r="N65" s="34">
        <f t="shared" ref="N65:O65" si="70">C65+L65</f>
        <v>171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1</v>
      </c>
      <c r="T65" s="52">
        <f t="shared" si="5"/>
        <v>0</v>
      </c>
      <c r="U65" s="52"/>
      <c r="V65" s="50">
        <f t="shared" si="6"/>
        <v>19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171.0</v>
      </c>
      <c r="D66" s="34">
        <v>0.0</v>
      </c>
      <c r="E66" s="35">
        <f t="shared" si="2"/>
        <v>0</v>
      </c>
      <c r="F66" s="95"/>
      <c r="G66" s="96"/>
      <c r="H66" s="97"/>
      <c r="I66" s="96"/>
      <c r="J66" s="96"/>
      <c r="K66" s="96"/>
      <c r="L66" s="98"/>
      <c r="M66" s="96"/>
      <c r="N66" s="34">
        <f t="shared" ref="N66:O66" si="71">C66+L66</f>
        <v>171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1</v>
      </c>
      <c r="T66" s="52">
        <f t="shared" si="5"/>
        <v>0</v>
      </c>
      <c r="U66" s="52"/>
      <c r="V66" s="50">
        <f t="shared" si="6"/>
        <v>19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101</v>
      </c>
      <c r="C67" s="34">
        <v>168.0</v>
      </c>
      <c r="D67" s="34">
        <v>7.0</v>
      </c>
      <c r="E67" s="35">
        <f t="shared" si="2"/>
        <v>8</v>
      </c>
      <c r="F67" s="95"/>
      <c r="G67" s="96"/>
      <c r="H67" s="97"/>
      <c r="I67" s="96"/>
      <c r="J67" s="96"/>
      <c r="K67" s="96"/>
      <c r="L67" s="98"/>
      <c r="M67" s="96"/>
      <c r="N67" s="34">
        <f t="shared" ref="N67:O67" si="72">C67+L67</f>
        <v>168</v>
      </c>
      <c r="O67" s="34">
        <f t="shared" si="72"/>
        <v>7</v>
      </c>
      <c r="P67" s="49" t="s">
        <v>58</v>
      </c>
      <c r="Q67" s="49" t="s">
        <v>58</v>
      </c>
      <c r="R67" s="49"/>
      <c r="S67" s="50">
        <f t="shared" si="4"/>
        <v>12</v>
      </c>
      <c r="T67" s="52">
        <f t="shared" si="5"/>
        <v>0</v>
      </c>
      <c r="U67" s="52"/>
      <c r="V67" s="50">
        <f t="shared" si="6"/>
        <v>8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165.0</v>
      </c>
      <c r="D68" s="34">
        <v>1.0</v>
      </c>
      <c r="E68" s="35">
        <f t="shared" si="2"/>
        <v>4</v>
      </c>
      <c r="F68" s="95"/>
      <c r="G68" s="96"/>
      <c r="H68" s="97"/>
      <c r="I68" s="96"/>
      <c r="J68" s="96"/>
      <c r="K68" s="96"/>
      <c r="L68" s="98"/>
      <c r="M68" s="96"/>
      <c r="N68" s="34">
        <f t="shared" ref="N68:O68" si="73">C68+L68</f>
        <v>165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3</v>
      </c>
      <c r="T68" s="52">
        <f t="shared" si="5"/>
        <v>0</v>
      </c>
      <c r="U68" s="52"/>
      <c r="V68" s="50">
        <f t="shared" si="6"/>
        <v>17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157.0</v>
      </c>
      <c r="D69" s="34">
        <v>1.0</v>
      </c>
      <c r="E69" s="35">
        <f t="shared" si="2"/>
        <v>4.4</v>
      </c>
      <c r="F69" s="95"/>
      <c r="G69" s="96"/>
      <c r="H69" s="97"/>
      <c r="I69" s="96"/>
      <c r="J69" s="96"/>
      <c r="K69" s="96"/>
      <c r="L69" s="98"/>
      <c r="M69" s="96"/>
      <c r="N69" s="34">
        <f t="shared" ref="N69:O69" si="74">C69+L69</f>
        <v>157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5</v>
      </c>
      <c r="T69" s="52">
        <f t="shared" si="5"/>
        <v>0</v>
      </c>
      <c r="U69" s="52"/>
      <c r="V69" s="50">
        <f t="shared" si="6"/>
        <v>15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11/08/25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desc"",0)"),"Naveen Raj")</f>
        <v>Naveen Raj</v>
      </c>
      <c r="C81" s="117">
        <f>IFERROR(__xludf.DUMMYFUNCTION("""COMPUTED_VALUE"""),20.0)</f>
        <v>20</v>
      </c>
      <c r="D81" s="117">
        <f>IFERROR(__xludf.DUMMYFUNCTION("""COMPUTED_VALUE"""),3.0)</f>
        <v>3</v>
      </c>
      <c r="E81" s="117">
        <f>IFERROR(__xludf.DUMMYFUNCTION("""COMPUTED_VALUE"""),5.0)</f>
        <v>5</v>
      </c>
      <c r="F81" s="1"/>
    </row>
    <row r="82">
      <c r="A82" s="1"/>
      <c r="B82" s="33" t="str">
        <f>IFERROR(__xludf.DUMMYFUNCTION("""COMPUTED_VALUE"""),"Lam Bui")</f>
        <v>Lam Bui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IFERROR(__xludf.DUMMYFUNCTION("""COMPUTED_VALUE"""),9.0)</f>
        <v>9</v>
      </c>
      <c r="F82" s="1"/>
    </row>
    <row r="83">
      <c r="A83" s="1"/>
      <c r="B83" s="33" t="str">
        <f>IFERROR(__xludf.DUMMYFUNCTION("""COMPUTED_VALUE"""),"Eric Pan")</f>
        <v>Eric Pan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IFERROR(__xludf.DUMMYFUNCTION("""COMPUTED_VALUE"""),2.0)</f>
        <v>2</v>
      </c>
      <c r="F83" s="1"/>
    </row>
    <row r="84">
      <c r="A84" s="1"/>
      <c r="B84" s="33" t="str">
        <f>IFERROR(__xludf.DUMMYFUNCTION("""COMPUTED_VALUE"""),"Basudev Thoppai Vidyasankar")</f>
        <v>Basudev Thoppai Vidyasankar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IFERROR(__xludf.DUMMYFUNCTION("""COMPUTED_VALUE"""),6.0)</f>
        <v>6</v>
      </c>
      <c r="F84" s="1"/>
    </row>
    <row r="85">
      <c r="A85" s="1"/>
      <c r="B85" s="33" t="str">
        <f>IFERROR(__xludf.DUMMYFUNCTION("""COMPUTED_VALUE"""),"Balaji Alahari")</f>
        <v>Balaji Alahari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IFERROR(__xludf.DUMMYFUNCTION("""COMPUTED_VALUE"""),7.0)</f>
        <v>7</v>
      </c>
      <c r="F85" s="1"/>
    </row>
    <row r="86">
      <c r="A86" s="1"/>
      <c r="B86" s="33" t="str">
        <f>IFERROR(__xludf.DUMMYFUNCTION("""COMPUTED_VALUE"""),"James Phan")</f>
        <v>James Phan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IFERROR(__xludf.DUMMYFUNCTION("""COMPUTED_VALUE"""),8.0)</f>
        <v>8</v>
      </c>
      <c r="F86" s="1"/>
    </row>
    <row r="87">
      <c r="A87" s="1"/>
      <c r="B87" s="33" t="str">
        <f>IFERROR(__xludf.DUMMYFUNCTION("""COMPUTED_VALUE"""),"Suleman Alidina")</f>
        <v>Suleman Alidina</v>
      </c>
      <c r="C87" s="117">
        <f>IFERROR(__xludf.DUMMYFUNCTION("""COMPUTED_VALUE"""),18.0)</f>
        <v>18</v>
      </c>
      <c r="D87" s="117">
        <f>IFERROR(__xludf.DUMMYFUNCTION("""COMPUTED_VALUE"""),1.0)</f>
        <v>1</v>
      </c>
      <c r="E87" s="117">
        <f>IFERROR(__xludf.DUMMYFUNCTION("""COMPUTED_VALUE"""),5.0)</f>
        <v>5</v>
      </c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10"")"),"Naveen Raj")</f>
        <v>Naveen Raj</v>
      </c>
      <c r="C100" s="117">
        <f>IFERROR(__xludf.DUMMYFUNCTION("""COMPUTED_VALUE"""),7.0)</f>
        <v>7</v>
      </c>
      <c r="D100" s="117">
        <f t="shared" ref="D100:D109" si="75">VLOOKUP(B100,indirect($AC$2&amp;"!B$5:X$69"),23, false)</f>
        <v>27</v>
      </c>
      <c r="E100" s="117">
        <f t="shared" ref="E100:E109" si="76">VLOOKUP(B100,B$5:X$69,23, false)</f>
        <v>20</v>
      </c>
      <c r="F100" s="117">
        <f t="shared" ref="F100:F109" si="77">VLOOKUP(B100,indirect($AC$2&amp;"!B$5:U$70"),11, false)</f>
        <v>20</v>
      </c>
      <c r="G100" s="117">
        <f t="shared" ref="G100:G109" si="78">VLOOKUP(B100,indirect($AC$2&amp;"!B$5:U$70"),6, false)</f>
        <v>5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IFERROR(__xludf.DUMMYFUNCTION("""COMPUTED_VALUE"""),"Oscar Bonilla")</f>
        <v>Oscar Bonilla</v>
      </c>
      <c r="C101" s="117">
        <f>IFERROR(__xludf.DUMMYFUNCTION("""COMPUTED_VALUE"""),5.0)</f>
        <v>5</v>
      </c>
      <c r="D101" s="117">
        <f t="shared" si="75"/>
        <v>23</v>
      </c>
      <c r="E101" s="117">
        <f t="shared" si="76"/>
        <v>18</v>
      </c>
      <c r="F101" s="117">
        <f t="shared" si="77"/>
        <v>17</v>
      </c>
      <c r="G101" s="117">
        <f t="shared" si="78"/>
        <v>4</v>
      </c>
      <c r="L101" s="117" t="str">
        <f t="shared" si="79"/>
        <v>ok</v>
      </c>
    </row>
    <row r="102">
      <c r="A102" s="1"/>
      <c r="B102" s="33" t="str">
        <f>IFERROR(__xludf.DUMMYFUNCTION("""COMPUTED_VALUE"""),"Basudev Thoppai Vidyasankar")</f>
        <v>Basudev Thoppai Vidyasankar</v>
      </c>
      <c r="C102" s="117">
        <f>IFERROR(__xludf.DUMMYFUNCTION("""COMPUTED_VALUE"""),5.0)</f>
        <v>5</v>
      </c>
      <c r="D102" s="117">
        <f t="shared" si="75"/>
        <v>31</v>
      </c>
      <c r="E102" s="117">
        <f t="shared" si="76"/>
        <v>26</v>
      </c>
      <c r="F102" s="117">
        <f t="shared" si="77"/>
        <v>18</v>
      </c>
      <c r="G102" s="117">
        <f t="shared" si="78"/>
        <v>6</v>
      </c>
      <c r="L102" s="117" t="str">
        <f t="shared" si="79"/>
        <v>ok</v>
      </c>
    </row>
    <row r="103">
      <c r="A103" s="1"/>
      <c r="B103" s="33" t="str">
        <f>IFERROR(__xludf.DUMMYFUNCTION("""COMPUTED_VALUE"""),"Suleman Alidina")</f>
        <v>Suleman Alidina</v>
      </c>
      <c r="C103" s="117">
        <f>IFERROR(__xludf.DUMMYFUNCTION("""COMPUTED_VALUE"""),4.0)</f>
        <v>4</v>
      </c>
      <c r="D103" s="117">
        <f t="shared" si="75"/>
        <v>28</v>
      </c>
      <c r="E103" s="117">
        <f t="shared" si="76"/>
        <v>24</v>
      </c>
      <c r="F103" s="117">
        <f t="shared" si="77"/>
        <v>18</v>
      </c>
      <c r="G103" s="117">
        <f t="shared" si="78"/>
        <v>5</v>
      </c>
      <c r="L103" s="117" t="str">
        <f t="shared" si="79"/>
        <v>ok</v>
      </c>
    </row>
    <row r="104">
      <c r="A104" s="1"/>
      <c r="B104" s="33" t="str">
        <f>IFERROR(__xludf.DUMMYFUNCTION("""COMPUTED_VALUE"""),"James Phan")</f>
        <v>James Phan</v>
      </c>
      <c r="C104" s="117">
        <f>IFERROR(__xludf.DUMMYFUNCTION("""COMPUTED_VALUE"""),4.0)</f>
        <v>4</v>
      </c>
      <c r="D104" s="117">
        <f t="shared" si="75"/>
        <v>49</v>
      </c>
      <c r="E104" s="117">
        <f t="shared" si="76"/>
        <v>45</v>
      </c>
      <c r="F104" s="117">
        <f t="shared" si="77"/>
        <v>18</v>
      </c>
      <c r="G104" s="117">
        <f t="shared" si="78"/>
        <v>8</v>
      </c>
      <c r="L104" s="117" t="str">
        <f t="shared" si="79"/>
        <v>ok</v>
      </c>
    </row>
    <row r="105">
      <c r="A105" s="1"/>
      <c r="B105" s="33" t="str">
        <f>IFERROR(__xludf.DUMMYFUNCTION("""COMPUTED_VALUE"""),"Rajasekar Ramasamy")</f>
        <v>Rajasekar Ramasamy</v>
      </c>
      <c r="C105" s="117">
        <f>IFERROR(__xludf.DUMMYFUNCTION("""COMPUTED_VALUE"""),3.0)</f>
        <v>3</v>
      </c>
      <c r="D105" s="117">
        <f t="shared" si="75"/>
        <v>8</v>
      </c>
      <c r="E105" s="117">
        <f t="shared" si="76"/>
        <v>5</v>
      </c>
      <c r="F105" s="117">
        <f t="shared" si="77"/>
        <v>16</v>
      </c>
      <c r="G105" s="117">
        <f t="shared" si="78"/>
        <v>1</v>
      </c>
      <c r="L105" s="117" t="str">
        <f t="shared" si="79"/>
        <v>ok</v>
      </c>
    </row>
    <row r="106">
      <c r="A106" s="1"/>
      <c r="B106" s="33" t="str">
        <f>IFERROR(__xludf.DUMMYFUNCTION("""COMPUTED_VALUE"""),"Pavan Akkimsetty")</f>
        <v>Pavan Akkimsetty</v>
      </c>
      <c r="C106" s="117">
        <f>IFERROR(__xludf.DUMMYFUNCTION("""COMPUTED_VALUE"""),3.0)</f>
        <v>3</v>
      </c>
      <c r="D106" s="117">
        <f t="shared" si="75"/>
        <v>10</v>
      </c>
      <c r="E106" s="117">
        <f t="shared" si="76"/>
        <v>7</v>
      </c>
      <c r="F106" s="117">
        <f t="shared" si="77"/>
        <v>16</v>
      </c>
      <c r="G106" s="117">
        <f t="shared" si="78"/>
        <v>1</v>
      </c>
      <c r="L106" s="117" t="str">
        <f t="shared" si="79"/>
        <v>ok</v>
      </c>
    </row>
    <row r="107">
      <c r="A107" s="1"/>
      <c r="B107" s="33" t="str">
        <f>IFERROR(__xludf.DUMMYFUNCTION("""COMPUTED_VALUE"""),"Eric Pan")</f>
        <v>Eric Pan</v>
      </c>
      <c r="C107" s="117">
        <f>IFERROR(__xludf.DUMMYFUNCTION("""COMPUTED_VALUE"""),3.0)</f>
        <v>3</v>
      </c>
      <c r="D107" s="117">
        <f t="shared" si="75"/>
        <v>14</v>
      </c>
      <c r="E107" s="117">
        <f t="shared" si="76"/>
        <v>11</v>
      </c>
      <c r="F107" s="117">
        <f t="shared" si="77"/>
        <v>18</v>
      </c>
      <c r="G107" s="117">
        <f t="shared" si="78"/>
        <v>2</v>
      </c>
      <c r="L107" s="117" t="str">
        <f t="shared" si="79"/>
        <v>ok</v>
      </c>
    </row>
    <row r="108">
      <c r="A108" s="1"/>
      <c r="B108" s="33" t="str">
        <f>IFERROR(__xludf.DUMMYFUNCTION("""COMPUTED_VALUE"""),"Ted Shen")</f>
        <v>Ted Shen</v>
      </c>
      <c r="C108" s="117">
        <f>IFERROR(__xludf.DUMMYFUNCTION("""COMPUTED_VALUE"""),3.0)</f>
        <v>3</v>
      </c>
      <c r="D108" s="117">
        <f t="shared" si="75"/>
        <v>19</v>
      </c>
      <c r="E108" s="117">
        <f t="shared" si="76"/>
        <v>16</v>
      </c>
      <c r="F108" s="117">
        <f t="shared" si="77"/>
        <v>17</v>
      </c>
      <c r="G108" s="117">
        <f t="shared" si="78"/>
        <v>3</v>
      </c>
      <c r="L108" s="117" t="str">
        <f t="shared" si="79"/>
        <v>ok</v>
      </c>
    </row>
    <row r="109">
      <c r="A109" s="1"/>
      <c r="B109" s="33" t="str">
        <f>IFERROR(__xludf.DUMMYFUNCTION("""COMPUTED_VALUE"""),"Ethan Gu")</f>
        <v>Ethan Gu</v>
      </c>
      <c r="C109" s="117">
        <f>IFERROR(__xludf.DUMMYFUNCTION("""COMPUTED_VALUE"""),2.0)</f>
        <v>2</v>
      </c>
      <c r="D109" s="117">
        <f t="shared" si="75"/>
        <v>11</v>
      </c>
      <c r="E109" s="117">
        <f t="shared" si="76"/>
        <v>9</v>
      </c>
      <c r="F109" s="117">
        <f t="shared" si="77"/>
        <v>15</v>
      </c>
      <c r="G109" s="117">
        <f t="shared" si="78"/>
        <v>1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20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278</v>
      </c>
      <c r="D118" s="117">
        <f t="shared" si="80"/>
        <v>33</v>
      </c>
      <c r="E118" s="117">
        <f t="shared" si="80"/>
        <v>16.53846154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267</v>
      </c>
      <c r="D119" s="117">
        <f t="shared" si="81"/>
        <v>29</v>
      </c>
      <c r="E119" s="117">
        <f t="shared" si="81"/>
        <v>15.38461538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267</v>
      </c>
      <c r="D120" s="117">
        <f t="shared" si="82"/>
        <v>27</v>
      </c>
      <c r="E120" s="117">
        <f t="shared" si="82"/>
        <v>14.11764706</v>
      </c>
      <c r="F120" s="1"/>
    </row>
    <row r="121">
      <c r="A121" s="117">
        <f t="shared" ref="A121:E121" si="83">A8</f>
        <v>4</v>
      </c>
      <c r="B121" s="33" t="str">
        <f t="shared" si="83"/>
        <v>Sandeep Kamalon</v>
      </c>
      <c r="C121" s="117">
        <f t="shared" si="83"/>
        <v>257</v>
      </c>
      <c r="D121" s="117">
        <f t="shared" si="83"/>
        <v>29</v>
      </c>
      <c r="E121" s="117">
        <f t="shared" si="83"/>
        <v>13.05555556</v>
      </c>
      <c r="F121" s="1"/>
    </row>
    <row r="122">
      <c r="A122" s="117">
        <f t="shared" ref="A122:E122" si="84">A9</f>
        <v>5</v>
      </c>
      <c r="B122" s="33" t="str">
        <f t="shared" si="84"/>
        <v>Rajasekar Ramasamy</v>
      </c>
      <c r="C122" s="117">
        <f t="shared" si="84"/>
        <v>257</v>
      </c>
      <c r="D122" s="117">
        <f t="shared" si="84"/>
        <v>28</v>
      </c>
      <c r="E122" s="117">
        <f t="shared" si="84"/>
        <v>13.05555556</v>
      </c>
      <c r="F122" s="1"/>
    </row>
    <row r="123">
      <c r="A123" s="117">
        <f t="shared" ref="A123:E123" si="85">A10</f>
        <v>6</v>
      </c>
      <c r="B123" s="33" t="str">
        <f t="shared" si="85"/>
        <v>Matthew Huang</v>
      </c>
      <c r="C123" s="117">
        <f t="shared" si="85"/>
        <v>256</v>
      </c>
      <c r="D123" s="117">
        <f t="shared" si="85"/>
        <v>27</v>
      </c>
      <c r="E123" s="117">
        <f t="shared" si="85"/>
        <v>14.84615385</v>
      </c>
      <c r="F123" s="1"/>
    </row>
    <row r="124">
      <c r="A124" s="117">
        <f t="shared" ref="A124:E124" si="86">A11</f>
        <v>7</v>
      </c>
      <c r="B124" s="33" t="str">
        <f t="shared" si="86"/>
        <v>Pavan Akkimsetty</v>
      </c>
      <c r="C124" s="117">
        <f t="shared" si="86"/>
        <v>255</v>
      </c>
      <c r="D124" s="117">
        <f t="shared" si="86"/>
        <v>23</v>
      </c>
      <c r="E124" s="117">
        <f t="shared" si="86"/>
        <v>14</v>
      </c>
      <c r="F124" s="1"/>
    </row>
    <row r="125">
      <c r="A125" s="117">
        <f t="shared" ref="A125:E125" si="87">A12</f>
        <v>8</v>
      </c>
      <c r="B125" s="33" t="str">
        <f t="shared" si="87"/>
        <v>Pulkit Mathur</v>
      </c>
      <c r="C125" s="117">
        <f t="shared" si="87"/>
        <v>252</v>
      </c>
      <c r="D125" s="117">
        <f t="shared" si="87"/>
        <v>24</v>
      </c>
      <c r="E125" s="117">
        <f t="shared" si="87"/>
        <v>14.14285714</v>
      </c>
      <c r="F125" s="1"/>
    </row>
    <row r="126">
      <c r="A126" s="117">
        <f t="shared" ref="A126:E126" si="88">A13</f>
        <v>9</v>
      </c>
      <c r="B126" s="33" t="str">
        <f t="shared" si="88"/>
        <v>Ethan Gu</v>
      </c>
      <c r="C126" s="117">
        <f t="shared" si="88"/>
        <v>251</v>
      </c>
      <c r="D126" s="117">
        <f t="shared" si="88"/>
        <v>29</v>
      </c>
      <c r="E126" s="117">
        <f t="shared" si="88"/>
        <v>12.73684211</v>
      </c>
      <c r="F126" s="1"/>
    </row>
    <row r="127">
      <c r="A127" s="117">
        <f t="shared" ref="A127:E127" si="89">A14</f>
        <v>10</v>
      </c>
      <c r="B127" s="33" t="str">
        <f t="shared" si="89"/>
        <v>David Shin</v>
      </c>
      <c r="C127" s="117">
        <f t="shared" si="89"/>
        <v>251</v>
      </c>
      <c r="D127" s="117">
        <f t="shared" si="89"/>
        <v>23</v>
      </c>
      <c r="E127" s="117">
        <f t="shared" si="89"/>
        <v>12.94444444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ASC"")"),"Nicole Ni")</f>
        <v>Nicole Ni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  <c r="P154" s="33"/>
    </row>
    <row r="155">
      <c r="A155" s="117">
        <f t="shared" si="90"/>
        <v>0</v>
      </c>
      <c r="B155" s="33"/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11/08/25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IFERROR(__xludf.DUMMYFUNCTION("""COMPUTED_VALUE"""),"Rajasekar Ramasamy")</f>
        <v>Rajasekar Ramasamy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IFERROR(__xludf.DUMMYFUNCTION("""COMPUTED_VALUE"""),4.0)</f>
        <v>4</v>
      </c>
      <c r="F184" s="122">
        <f>IFERROR(__xludf.DUMMYFUNCTION("""COMPUTED_VALUE"""),16.0)</f>
        <v>16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IFERROR(__xludf.DUMMYFUNCTION("""COMPUTED_VALUE"""),"Pavan Akkimsetty")</f>
        <v>Pavan Akkimsetty</v>
      </c>
      <c r="C185" s="122">
        <f>IFERROR(__xludf.DUMMYFUNCTION("""COMPUTED_VALUE"""),4.0)</f>
        <v>4</v>
      </c>
      <c r="D185" s="122">
        <f>IFERROR(__xludf.DUMMYFUNCTION("""COMPUTED_VALUE"""),6.0)</f>
        <v>6</v>
      </c>
      <c r="E185" s="122">
        <f>IFERROR(__xludf.DUMMYFUNCTION("""COMPUTED_VALUE"""),6.0)</f>
        <v>6</v>
      </c>
      <c r="F185" s="122">
        <f>IFERROR(__xludf.DUMMYFUNCTION("""COMPUTED_VALUE"""),16.0)</f>
        <v>16</v>
      </c>
      <c r="G185" s="122">
        <f>IFERROR(__xludf.DUMMYFUNCTION("""COMPUTED_VALUE"""),2.0)</f>
        <v>2</v>
      </c>
    </row>
    <row r="186">
      <c r="A186" s="117">
        <f>IFERROR(__xludf.DUMMYFUNCTION("""COMPUTED_VALUE"""),1.0)</f>
        <v>1</v>
      </c>
      <c r="B186" s="33" t="str">
        <f>IFERROR(__xludf.DUMMYFUNCTION("""COMPUTED_VALUE"""),"Ethan Gu")</f>
        <v>Ethan Gu</v>
      </c>
      <c r="C186" s="122">
        <f>IFERROR(__xludf.DUMMYFUNCTION("""COMPUTED_VALUE"""),6.0)</f>
        <v>6</v>
      </c>
      <c r="D186" s="122">
        <f>IFERROR(__xludf.DUMMYFUNCTION("""COMPUTED_VALUE"""),3.0)</f>
        <v>3</v>
      </c>
      <c r="E186" s="122">
        <f>IFERROR(__xludf.DUMMYFUNCTION("""COMPUTED_VALUE"""),6.0)</f>
        <v>6</v>
      </c>
      <c r="F186" s="122">
        <f>IFERROR(__xludf.DUMMYFUNCTION("""COMPUTED_VALUE"""),15.0)</f>
        <v>15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IFERROR(__xludf.DUMMYFUNCTION("""COMPUTED_VALUE"""),"Joe Luzzi")</f>
        <v>Joe Luzzi</v>
      </c>
      <c r="C187" s="122">
        <f>IFERROR(__xludf.DUMMYFUNCTION("""COMPUTED_VALUE"""),4.0)</f>
        <v>4</v>
      </c>
      <c r="D187" s="122">
        <f>IFERROR(__xludf.DUMMYFUNCTION("""COMPUTED_VALUE"""),3.0)</f>
        <v>3</v>
      </c>
      <c r="E187" s="122">
        <f>IFERROR(__xludf.DUMMYFUNCTION("""COMPUTED_VALUE"""),4.0)</f>
        <v>4</v>
      </c>
      <c r="F187" s="122">
        <f>IFERROR(__xludf.DUMMYFUNCTION("""COMPUTED_VALUE"""),11.0)</f>
        <v>11</v>
      </c>
      <c r="G187" s="122">
        <f>IFERROR(__xludf.DUMMYFUNCTION("""COMPUTED_VALUE"""),0.0)</f>
        <v>0</v>
      </c>
    </row>
    <row r="188">
      <c r="A188" s="123">
        <f>IFERROR(__xludf.DUMMYFUNCTION("""COMPUTED_VALUE"""),2.0)</f>
        <v>2</v>
      </c>
      <c r="B188" s="124" t="str">
        <f>IFERROR(__xludf.DUMMYFUNCTION("""COMPUTED_VALUE"""),"Jonathan Phan")</f>
        <v>Jonathan Phan</v>
      </c>
      <c r="C188" s="125">
        <f>IFERROR(__xludf.DUMMYFUNCTION("""COMPUTED_VALUE"""),6.0)</f>
        <v>6</v>
      </c>
      <c r="D188" s="125">
        <f>IFERROR(__xludf.DUMMYFUNCTION("""COMPUTED_VALUE"""),4.0)</f>
        <v>4</v>
      </c>
      <c r="E188" s="125">
        <f>IFERROR(__xludf.DUMMYFUNCTION("""COMPUTED_VALUE"""),3.0)</f>
        <v>3</v>
      </c>
      <c r="F188" s="125">
        <f>IFERROR(__xludf.DUMMYFUNCTION("""COMPUTED_VALUE"""),13.0)</f>
        <v>13</v>
      </c>
      <c r="G188" s="125">
        <f>IFERROR(__xludf.DUMMYFUNCTION("""COMPUTED_VALUE"""),1.0)</f>
        <v>1</v>
      </c>
    </row>
    <row r="189">
      <c r="A189" s="123">
        <f>IFERROR(__xludf.DUMMYFUNCTION("""COMPUTED_VALUE"""),2.0)</f>
        <v>2</v>
      </c>
      <c r="B189" s="124" t="str">
        <f>IFERROR(__xludf.DUMMYFUNCTION("""COMPUTED_VALUE"""),"Eric Pan")</f>
        <v>Eric Pan</v>
      </c>
      <c r="C189" s="125">
        <f>IFERROR(__xludf.DUMMYFUNCTION("""COMPUTED_VALUE"""),6.0)</f>
        <v>6</v>
      </c>
      <c r="D189" s="125">
        <f>IFERROR(__xludf.DUMMYFUNCTION("""COMPUTED_VALUE"""),6.0)</f>
        <v>6</v>
      </c>
      <c r="E189" s="125">
        <f>IFERROR(__xludf.DUMMYFUNCTION("""COMPUTED_VALUE"""),6.0)</f>
        <v>6</v>
      </c>
      <c r="F189" s="125">
        <f>IFERROR(__xludf.DUMMYFUNCTION("""COMPUTED_VALUE"""),18.0)</f>
        <v>18</v>
      </c>
      <c r="G189" s="125">
        <f>IFERROR(__xludf.DUMMYFUNCTION("""COMPUTED_VALUE"""),3.0)</f>
        <v>3</v>
      </c>
    </row>
    <row r="190">
      <c r="A190" s="123">
        <f>IFERROR(__xludf.DUMMYFUNCTION("""COMPUTED_VALUE"""),2.0)</f>
        <v>2</v>
      </c>
      <c r="B190" s="124" t="str">
        <f>IFERROR(__xludf.DUMMYFUNCTION("""COMPUTED_VALUE"""),"Erik Hoeckmann")</f>
        <v>Erik Hoeckmann</v>
      </c>
      <c r="C190" s="125">
        <f>IFERROR(__xludf.DUMMYFUNCTION("""COMPUTED_VALUE"""),1.0)</f>
        <v>1</v>
      </c>
      <c r="D190" s="125">
        <f>IFERROR(__xludf.DUMMYFUNCTION("""COMPUTED_VALUE"""),4.0)</f>
        <v>4</v>
      </c>
      <c r="E190" s="125">
        <f>IFERROR(__xludf.DUMMYFUNCTION("""COMPUTED_VALUE"""),6.0)</f>
        <v>6</v>
      </c>
      <c r="F190" s="125">
        <f>IFERROR(__xludf.DUMMYFUNCTION("""COMPUTED_VALUE"""),11.0)</f>
        <v>11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IFERROR(__xludf.DUMMYFUNCTION("""COMPUTED_VALUE"""),"Herman Au")</f>
        <v>Herman Au</v>
      </c>
      <c r="C191" s="125">
        <f>IFERROR(__xludf.DUMMYFUNCTION("""COMPUTED_VALUE"""),1.0)</f>
        <v>1</v>
      </c>
      <c r="D191" s="125">
        <f>IFERROR(__xludf.DUMMYFUNCTION("""COMPUTED_VALUE"""),6.0)</f>
        <v>6</v>
      </c>
      <c r="E191" s="125">
        <f>IFERROR(__xludf.DUMMYFUNCTION("""COMPUTED_VALUE"""),3.0)</f>
        <v>3</v>
      </c>
      <c r="F191" s="125">
        <f>IFERROR(__xludf.DUMMYFUNCTION("""COMPUTED_VALUE"""),10.0)</f>
        <v>10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IFERROR(__xludf.DUMMYFUNCTION("""COMPUTED_VALUE"""),"Tina Hanson")</f>
        <v>Tina Hanson</v>
      </c>
      <c r="C192" s="122">
        <f>IFERROR(__xludf.DUMMYFUNCTION("""COMPUTED_VALUE"""),7.0)</f>
        <v>7</v>
      </c>
      <c r="D192" s="122">
        <f>IFERROR(__xludf.DUMMYFUNCTION("""COMPUTED_VALUE"""),2.0)</f>
        <v>2</v>
      </c>
      <c r="E192" s="122">
        <f>IFERROR(__xludf.DUMMYFUNCTION("""COMPUTED_VALUE"""),6.0)</f>
        <v>6</v>
      </c>
      <c r="F192" s="122">
        <f>IFERROR(__xludf.DUMMYFUNCTION("""COMPUTED_VALUE"""),15.0)</f>
        <v>15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IFERROR(__xludf.DUMMYFUNCTION("""COMPUTED_VALUE"""),"Ted Shen")</f>
        <v>Ted Shen</v>
      </c>
      <c r="C193" s="122">
        <f>IFERROR(__xludf.DUMMYFUNCTION("""COMPUTED_VALUE"""),5.0)</f>
        <v>5</v>
      </c>
      <c r="D193" s="122">
        <f>IFERROR(__xludf.DUMMYFUNCTION("""COMPUTED_VALUE"""),6.0)</f>
        <v>6</v>
      </c>
      <c r="E193" s="122">
        <f>IFERROR(__xludf.DUMMYFUNCTION("""COMPUTED_VALUE"""),6.0)</f>
        <v>6</v>
      </c>
      <c r="F193" s="122">
        <f>IFERROR(__xludf.DUMMYFUNCTION("""COMPUTED_VALUE"""),17.0)</f>
        <v>17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IFERROR(__xludf.DUMMYFUNCTION("""COMPUTED_VALUE"""),"Jimmy Awolesi")</f>
        <v>Jimmy Awolesi</v>
      </c>
      <c r="C194" s="122">
        <f>IFERROR(__xludf.DUMMYFUNCTION("""COMPUTED_VALUE"""),5.0)</f>
        <v>5</v>
      </c>
      <c r="D194" s="122">
        <f>IFERROR(__xludf.DUMMYFUNCTION("""COMPUTED_VALUE"""),2.0)</f>
        <v>2</v>
      </c>
      <c r="E194" s="122">
        <f>IFERROR(__xludf.DUMMYFUNCTION("""COMPUTED_VALUE"""),1.0)</f>
        <v>1</v>
      </c>
      <c r="F194" s="122">
        <f>IFERROR(__xludf.DUMMYFUNCTION("""COMPUTED_VALUE"""),8.0)</f>
        <v>8</v>
      </c>
      <c r="G194" s="122">
        <f>IFERROR(__xludf.DUMMYFUNCTION("""COMPUTED_VALUE"""),0.0)</f>
        <v>0</v>
      </c>
    </row>
    <row r="195">
      <c r="A195" s="117">
        <f>IFERROR(__xludf.DUMMYFUNCTION("""COMPUTED_VALUE"""),3.0)</f>
        <v>3</v>
      </c>
      <c r="B195" s="33" t="str">
        <f>IFERROR(__xludf.DUMMYFUNCTION("""COMPUTED_VALUE"""),"Scott Li")</f>
        <v>Scott Li</v>
      </c>
      <c r="C195" s="122">
        <f>IFERROR(__xludf.DUMMYFUNCTION("""COMPUTED_VALUE"""),7.0)</f>
        <v>7</v>
      </c>
      <c r="D195" s="122">
        <f>IFERROR(__xludf.DUMMYFUNCTION("""COMPUTED_VALUE"""),6.0)</f>
        <v>6</v>
      </c>
      <c r="E195" s="122">
        <f>IFERROR(__xludf.DUMMYFUNCTION("""COMPUTED_VALUE"""),1.0)</f>
        <v>1</v>
      </c>
      <c r="F195" s="122">
        <f>IFERROR(__xludf.DUMMYFUNCTION("""COMPUTED_VALUE"""),14.0)</f>
        <v>14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IFERROR(__xludf.DUMMYFUNCTION("""COMPUTED_VALUE"""),"Oscar Bonilla")</f>
        <v>Oscar Bonilla</v>
      </c>
      <c r="C196" s="125">
        <f>IFERROR(__xludf.DUMMYFUNCTION("""COMPUTED_VALUE"""),6.0)</f>
        <v>6</v>
      </c>
      <c r="D196" s="125">
        <f>IFERROR(__xludf.DUMMYFUNCTION("""COMPUTED_VALUE"""),6.0)</f>
        <v>6</v>
      </c>
      <c r="E196" s="125">
        <f>IFERROR(__xludf.DUMMYFUNCTION("""COMPUTED_VALUE"""),5.0)</f>
        <v>5</v>
      </c>
      <c r="F196" s="125">
        <f>IFERROR(__xludf.DUMMYFUNCTION("""COMPUTED_VALUE"""),17.0)</f>
        <v>17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IFERROR(__xludf.DUMMYFUNCTION("""COMPUTED_VALUE"""),"Hongyuan Wen")</f>
        <v>Hongyuan Wen</v>
      </c>
      <c r="C197" s="125">
        <f>IFERROR(__xludf.DUMMYFUNCTION("""COMPUTED_VALUE"""),3.0)</f>
        <v>3</v>
      </c>
      <c r="D197" s="125">
        <f>IFERROR(__xludf.DUMMYFUNCTION("""COMPUTED_VALUE"""),2.0)</f>
        <v>2</v>
      </c>
      <c r="E197" s="125">
        <f>IFERROR(__xludf.DUMMYFUNCTION("""COMPUTED_VALUE"""),5.0)</f>
        <v>5</v>
      </c>
      <c r="F197" s="125">
        <f>IFERROR(__xludf.DUMMYFUNCTION("""COMPUTED_VALUE"""),10.0)</f>
        <v>10</v>
      </c>
      <c r="G197" s="125">
        <f>IFERROR(__xludf.DUMMYFUNCTION("""COMPUTED_VALUE"""),0.0)</f>
        <v>0</v>
      </c>
    </row>
    <row r="198">
      <c r="A198" s="123">
        <f>IFERROR(__xludf.DUMMYFUNCTION("""COMPUTED_VALUE"""),4.0)</f>
        <v>4</v>
      </c>
      <c r="B198" s="124" t="str">
        <f>IFERROR(__xludf.DUMMYFUNCTION("""COMPUTED_VALUE"""),"Cid Macaraeg")</f>
        <v>Cid Macaraeg</v>
      </c>
      <c r="C198" s="125">
        <f>IFERROR(__xludf.DUMMYFUNCTION("""COMPUTED_VALUE"""),6.0)</f>
        <v>6</v>
      </c>
      <c r="D198" s="125">
        <f>IFERROR(__xludf.DUMMYFUNCTION("""COMPUTED_VALUE"""),2.0)</f>
        <v>2</v>
      </c>
      <c r="E198" s="125">
        <f>IFERROR(__xludf.DUMMYFUNCTION("""COMPUTED_VALUE"""),7.0)</f>
        <v>7</v>
      </c>
      <c r="F198" s="125">
        <f>IFERROR(__xludf.DUMMYFUNCTION("""COMPUTED_VALUE"""),15.0)</f>
        <v>15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IFERROR(__xludf.DUMMYFUNCTION("""COMPUTED_VALUE"""),"Chinna Ponnaganti")</f>
        <v>Chinna Ponnaganti</v>
      </c>
      <c r="C199" s="125">
        <f>IFERROR(__xludf.DUMMYFUNCTION("""COMPUTED_VALUE"""),3.0)</f>
        <v>3</v>
      </c>
      <c r="D199" s="125">
        <f>IFERROR(__xludf.DUMMYFUNCTION("""COMPUTED_VALUE"""),6.0)</f>
        <v>6</v>
      </c>
      <c r="E199" s="125">
        <f>IFERROR(__xludf.DUMMYFUNCTION("""COMPUTED_VALUE"""),7.0)</f>
        <v>7</v>
      </c>
      <c r="F199" s="125">
        <f>IFERROR(__xludf.DUMMYFUNCTION("""COMPUTED_VALUE"""),16.0)</f>
        <v>16</v>
      </c>
      <c r="G199" s="125">
        <f>IFERROR(__xludf.DUMMYFUNCTION("""COMPUTED_VALUE"""),2.0)</f>
        <v>2</v>
      </c>
    </row>
    <row r="200">
      <c r="A200" s="117">
        <f>IFERROR(__xludf.DUMMYFUNCTION("""COMPUTED_VALUE"""),5.0)</f>
        <v>5</v>
      </c>
      <c r="B200" s="33" t="str">
        <f>IFERROR(__xludf.DUMMYFUNCTION("""COMPUTED_VALUE"""),"Naveen Raj")</f>
        <v>Naveen Raj</v>
      </c>
      <c r="C200" s="122">
        <f>IFERROR(__xludf.DUMMYFUNCTION("""COMPUTED_VALUE"""),6.0)</f>
        <v>6</v>
      </c>
      <c r="D200" s="122">
        <f>IFERROR(__xludf.DUMMYFUNCTION("""COMPUTED_VALUE"""),7.0)</f>
        <v>7</v>
      </c>
      <c r="E200" s="122">
        <f>IFERROR(__xludf.DUMMYFUNCTION("""COMPUTED_VALUE"""),7.0)</f>
        <v>7</v>
      </c>
      <c r="F200" s="122">
        <f>IFERROR(__xludf.DUMMYFUNCTION("""COMPUTED_VALUE"""),20.0)</f>
        <v>20</v>
      </c>
      <c r="G200" s="122">
        <f>IFERROR(__xludf.DUMMYFUNCTION("""COMPUTED_VALUE"""),3.0)</f>
        <v>3</v>
      </c>
    </row>
    <row r="201">
      <c r="A201" s="117">
        <f>IFERROR(__xludf.DUMMYFUNCTION("""COMPUTED_VALUE"""),5.0)</f>
        <v>5</v>
      </c>
      <c r="B201" s="33" t="str">
        <f>IFERROR(__xludf.DUMMYFUNCTION("""COMPUTED_VALUE"""),"Suleman Alidina")</f>
        <v>Suleman Alidina</v>
      </c>
      <c r="C201" s="122">
        <f>IFERROR(__xludf.DUMMYFUNCTION("""COMPUTED_VALUE"""),6.0)</f>
        <v>6</v>
      </c>
      <c r="D201" s="122">
        <f>IFERROR(__xludf.DUMMYFUNCTION("""COMPUTED_VALUE"""),6.0)</f>
        <v>6</v>
      </c>
      <c r="E201" s="122">
        <f>IFERROR(__xludf.DUMMYFUNCTION("""COMPUTED_VALUE"""),6.0)</f>
        <v>6</v>
      </c>
      <c r="F201" s="122">
        <f>IFERROR(__xludf.DUMMYFUNCTION("""COMPUTED_VALUE"""),18.0)</f>
        <v>18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IFERROR(__xludf.DUMMYFUNCTION("""COMPUTED_VALUE"""),"Nicole Ni")</f>
        <v>Nicole Ni</v>
      </c>
      <c r="C202" s="122">
        <f>IFERROR(__xludf.DUMMYFUNCTION("""COMPUTED_VALUE"""),1.0)</f>
        <v>1</v>
      </c>
      <c r="D202" s="122">
        <f>IFERROR(__xludf.DUMMYFUNCTION("""COMPUTED_VALUE"""),6.0)</f>
        <v>6</v>
      </c>
      <c r="E202" s="122">
        <f>IFERROR(__xludf.DUMMYFUNCTION("""COMPUTED_VALUE"""),7.0)</f>
        <v>7</v>
      </c>
      <c r="F202" s="122">
        <f>IFERROR(__xludf.DUMMYFUNCTION("""COMPUTED_VALUE"""),14.0)</f>
        <v>14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IFERROR(__xludf.DUMMYFUNCTION("""COMPUTED_VALUE"""),"Coco Yan")</f>
        <v>Coco Yan</v>
      </c>
      <c r="C203" s="122">
        <f>IFERROR(__xludf.DUMMYFUNCTION("""COMPUTED_VALUE"""),1.0)</f>
        <v>1</v>
      </c>
      <c r="D203" s="122">
        <f>IFERROR(__xludf.DUMMYFUNCTION("""COMPUTED_VALUE"""),7.0)</f>
        <v>7</v>
      </c>
      <c r="E203" s="122">
        <f>IFERROR(__xludf.DUMMYFUNCTION("""COMPUTED_VALUE"""),6.0)</f>
        <v>6</v>
      </c>
      <c r="F203" s="122">
        <f>IFERROR(__xludf.DUMMYFUNCTION("""COMPUTED_VALUE"""),14.0)</f>
        <v>14</v>
      </c>
      <c r="G203" s="122">
        <f>IFERROR(__xludf.DUMMYFUNCTION("""COMPUTED_VALUE"""),1.0)</f>
        <v>1</v>
      </c>
    </row>
    <row r="204">
      <c r="A204" s="123">
        <f>IFERROR(__xludf.DUMMYFUNCTION("""COMPUTED_VALUE"""),6.0)</f>
        <v>6</v>
      </c>
      <c r="B204" s="124" t="str">
        <f>IFERROR(__xludf.DUMMYFUNCTION("""COMPUTED_VALUE"""),"Basudev Thoppai Vidyasankar")</f>
        <v>Basudev Thoppai Vidyasankar</v>
      </c>
      <c r="C204" s="125">
        <f>IFERROR(__xludf.DUMMYFUNCTION("""COMPUTED_VALUE"""),6.0)</f>
        <v>6</v>
      </c>
      <c r="D204" s="125">
        <f>IFERROR(__xludf.DUMMYFUNCTION("""COMPUTED_VALUE"""),6.0)</f>
        <v>6</v>
      </c>
      <c r="E204" s="125">
        <f>IFERROR(__xludf.DUMMYFUNCTION("""COMPUTED_VALUE"""),6.0)</f>
        <v>6</v>
      </c>
      <c r="F204" s="125">
        <f>IFERROR(__xludf.DUMMYFUNCTION("""COMPUTED_VALUE"""),18.0)</f>
        <v>18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IFERROR(__xludf.DUMMYFUNCTION("""COMPUTED_VALUE"""),"Mauricio Palacios")</f>
        <v>Mauricio Palacios</v>
      </c>
      <c r="C205" s="125">
        <f>IFERROR(__xludf.DUMMYFUNCTION("""COMPUTED_VALUE"""),3.0)</f>
        <v>3</v>
      </c>
      <c r="D205" s="125">
        <f>IFERROR(__xludf.DUMMYFUNCTION("""COMPUTED_VALUE"""),4.0)</f>
        <v>4</v>
      </c>
      <c r="E205" s="125">
        <f>IFERROR(__xludf.DUMMYFUNCTION("""COMPUTED_VALUE"""),6.0)</f>
        <v>6</v>
      </c>
      <c r="F205" s="125">
        <f>IFERROR(__xludf.DUMMYFUNCTION("""COMPUTED_VALUE"""),13.0)</f>
        <v>13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IFERROR(__xludf.DUMMYFUNCTION("""COMPUTED_VALUE"""),"Jim Miao")</f>
        <v>Jim Miao</v>
      </c>
      <c r="C206" s="125">
        <f>IFERROR(__xludf.DUMMYFUNCTION("""COMPUTED_VALUE"""),3.0)</f>
        <v>3</v>
      </c>
      <c r="D206" s="125">
        <f>IFERROR(__xludf.DUMMYFUNCTION("""COMPUTED_VALUE"""),6.0)</f>
        <v>6</v>
      </c>
      <c r="E206" s="125">
        <f>IFERROR(__xludf.DUMMYFUNCTION("""COMPUTED_VALUE"""),1.0)</f>
        <v>1</v>
      </c>
      <c r="F206" s="125">
        <f>IFERROR(__xludf.DUMMYFUNCTION("""COMPUTED_VALUE"""),10.0)</f>
        <v>10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IFERROR(__xludf.DUMMYFUNCTION("""COMPUTED_VALUE"""),"Elayaraja Thangaraj")</f>
        <v>Elayaraja Thangaraj</v>
      </c>
      <c r="C207" s="125">
        <f>IFERROR(__xludf.DUMMYFUNCTION("""COMPUTED_VALUE"""),6.0)</f>
        <v>6</v>
      </c>
      <c r="D207" s="125">
        <f>IFERROR(__xludf.DUMMYFUNCTION("""COMPUTED_VALUE"""),4.0)</f>
        <v>4</v>
      </c>
      <c r="E207" s="125">
        <f>IFERROR(__xludf.DUMMYFUNCTION("""COMPUTED_VALUE"""),1.0)</f>
        <v>1</v>
      </c>
      <c r="F207" s="125">
        <f>IFERROR(__xludf.DUMMYFUNCTION("""COMPUTED_VALUE"""),11.0)</f>
        <v>11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IFERROR(__xludf.DUMMYFUNCTION("""COMPUTED_VALUE"""),"Kumar Palakeel")</f>
        <v>Kumar Palakeel</v>
      </c>
      <c r="C208" s="122">
        <f>IFERROR(__xludf.DUMMYFUNCTION("""COMPUTED_VALUE"""),3.0)</f>
        <v>3</v>
      </c>
      <c r="D208" s="122">
        <f>IFERROR(__xludf.DUMMYFUNCTION("""COMPUTED_VALUE"""),4.0)</f>
        <v>4</v>
      </c>
      <c r="E208" s="122">
        <f>IFERROR(__xludf.DUMMYFUNCTION("""COMPUTED_VALUE"""),6.0)</f>
        <v>6</v>
      </c>
      <c r="F208" s="122">
        <f>IFERROR(__xludf.DUMMYFUNCTION("""COMPUTED_VALUE"""),13.0)</f>
        <v>13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IFERROR(__xludf.DUMMYFUNCTION("""COMPUTED_VALUE"""),"Rajesh Dorairaj")</f>
        <v>Rajesh Dorairaj</v>
      </c>
      <c r="C209" s="122">
        <f>IFERROR(__xludf.DUMMYFUNCTION("""COMPUTED_VALUE"""),3.0)</f>
        <v>3</v>
      </c>
      <c r="D209" s="122">
        <f>IFERROR(__xludf.DUMMYFUNCTION("""COMPUTED_VALUE"""),6.0)</f>
        <v>6</v>
      </c>
      <c r="E209" s="122">
        <f>IFERROR(__xludf.DUMMYFUNCTION("""COMPUTED_VALUE"""),0.0)</f>
        <v>0</v>
      </c>
      <c r="F209" s="122">
        <f>IFERROR(__xludf.DUMMYFUNCTION("""COMPUTED_VALUE"""),9.0)</f>
        <v>9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IFERROR(__xludf.DUMMYFUNCTION("""COMPUTED_VALUE"""),"Sandy Weyant")</f>
        <v>Sandy Weyant</v>
      </c>
      <c r="C210" s="122">
        <f>IFERROR(__xludf.DUMMYFUNCTION("""COMPUTED_VALUE"""),6.0)</f>
        <v>6</v>
      </c>
      <c r="D210" s="122">
        <f>IFERROR(__xludf.DUMMYFUNCTION("""COMPUTED_VALUE"""),4.0)</f>
        <v>4</v>
      </c>
      <c r="E210" s="122">
        <f>IFERROR(__xludf.DUMMYFUNCTION("""COMPUTED_VALUE"""),0.0)</f>
        <v>0</v>
      </c>
      <c r="F210" s="122">
        <f>IFERROR(__xludf.DUMMYFUNCTION("""COMPUTED_VALUE"""),10.0)</f>
        <v>10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IFERROR(__xludf.DUMMYFUNCTION("""COMPUTED_VALUE"""),"Balaji Alahari")</f>
        <v>Balaji Alahari</v>
      </c>
      <c r="C211" s="122">
        <f>IFERROR(__xludf.DUMMYFUNCTION("""COMPUTED_VALUE"""),6.0)</f>
        <v>6</v>
      </c>
      <c r="D211" s="122">
        <f>IFERROR(__xludf.DUMMYFUNCTION("""COMPUTED_VALUE"""),6.0)</f>
        <v>6</v>
      </c>
      <c r="E211" s="122">
        <f>IFERROR(__xludf.DUMMYFUNCTION("""COMPUTED_VALUE"""),6.0)</f>
        <v>6</v>
      </c>
      <c r="F211" s="122">
        <f>IFERROR(__xludf.DUMMYFUNCTION("""COMPUTED_VALUE"""),18.0)</f>
        <v>18</v>
      </c>
      <c r="G211" s="122">
        <f>IFERROR(__xludf.DUMMYFUNCTION("""COMPUTED_VALUE"""),3.0)</f>
        <v>3</v>
      </c>
    </row>
    <row r="212">
      <c r="A212" s="123">
        <f>IFERROR(__xludf.DUMMYFUNCTION("""COMPUTED_VALUE"""),8.0)</f>
        <v>8</v>
      </c>
      <c r="B212" s="124" t="str">
        <f>IFERROR(__xludf.DUMMYFUNCTION("""COMPUTED_VALUE"""),"Vinaya Kajla")</f>
        <v>Vinaya Kajla</v>
      </c>
      <c r="C212" s="125">
        <f>IFERROR(__xludf.DUMMYFUNCTION("""COMPUTED_VALUE"""),3.0)</f>
        <v>3</v>
      </c>
      <c r="D212" s="125">
        <f>IFERROR(__xludf.DUMMYFUNCTION("""COMPUTED_VALUE"""),6.0)</f>
        <v>6</v>
      </c>
      <c r="E212" s="125">
        <f>IFERROR(__xludf.DUMMYFUNCTION("""COMPUTED_VALUE"""),0.0)</f>
        <v>0</v>
      </c>
      <c r="F212" s="125">
        <f>IFERROR(__xludf.DUMMYFUNCTION("""COMPUTED_VALUE"""),9.0)</f>
        <v>9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IFERROR(__xludf.DUMMYFUNCTION("""COMPUTED_VALUE"""),"Eric Tan")</f>
        <v>Eric Tan</v>
      </c>
      <c r="C213" s="125">
        <f>IFERROR(__xludf.DUMMYFUNCTION("""COMPUTED_VALUE"""),6.0)</f>
        <v>6</v>
      </c>
      <c r="D213" s="125">
        <f>IFERROR(__xludf.DUMMYFUNCTION("""COMPUTED_VALUE"""),2.0)</f>
        <v>2</v>
      </c>
      <c r="E213" s="125">
        <f>IFERROR(__xludf.DUMMYFUNCTION("""COMPUTED_VALUE"""),0.0)</f>
        <v>0</v>
      </c>
      <c r="F213" s="125">
        <f>IFERROR(__xludf.DUMMYFUNCTION("""COMPUTED_VALUE"""),8.0)</f>
        <v>8</v>
      </c>
      <c r="G213" s="125">
        <f>IFERROR(__xludf.DUMMYFUNCTION("""COMPUTED_VALUE"""),1.0)</f>
        <v>1</v>
      </c>
    </row>
    <row r="214">
      <c r="A214" s="123">
        <f>IFERROR(__xludf.DUMMYFUNCTION("""COMPUTED_VALUE"""),8.0)</f>
        <v>8</v>
      </c>
      <c r="B214" s="124" t="str">
        <f>IFERROR(__xludf.DUMMYFUNCTION("""COMPUTED_VALUE"""),"James Phan")</f>
        <v>James Phan</v>
      </c>
      <c r="C214" s="125">
        <f>IFERROR(__xludf.DUMMYFUNCTION("""COMPUTED_VALUE"""),6.0)</f>
        <v>6</v>
      </c>
      <c r="D214" s="125">
        <f>IFERROR(__xludf.DUMMYFUNCTION("""COMPUTED_VALUE"""),6.0)</f>
        <v>6</v>
      </c>
      <c r="E214" s="125">
        <f>IFERROR(__xludf.DUMMYFUNCTION("""COMPUTED_VALUE"""),6.0)</f>
        <v>6</v>
      </c>
      <c r="F214" s="125">
        <f>IFERROR(__xludf.DUMMYFUNCTION("""COMPUTED_VALUE"""),18.0)</f>
        <v>18</v>
      </c>
      <c r="G214" s="125">
        <f>IFERROR(__xludf.DUMMYFUNCTION("""COMPUTED_VALUE"""),3.0)</f>
        <v>3</v>
      </c>
    </row>
    <row r="215">
      <c r="A215" s="123">
        <f>IFERROR(__xludf.DUMMYFUNCTION("""COMPUTED_VALUE"""),8.0)</f>
        <v>8</v>
      </c>
      <c r="B215" s="124" t="str">
        <f>IFERROR(__xludf.DUMMYFUNCTION("""COMPUTED_VALUE"""),"Vishnu Amarnath")</f>
        <v>Vishnu Amarnath</v>
      </c>
      <c r="C215" s="125">
        <f>IFERROR(__xludf.DUMMYFUNCTION("""COMPUTED_VALUE"""),3.0)</f>
        <v>3</v>
      </c>
      <c r="D215" s="125">
        <f>IFERROR(__xludf.DUMMYFUNCTION("""COMPUTED_VALUE"""),2.0)</f>
        <v>2</v>
      </c>
      <c r="E215" s="125">
        <f>IFERROR(__xludf.DUMMYFUNCTION("""COMPUTED_VALUE"""),6.0)</f>
        <v>6</v>
      </c>
      <c r="F215" s="125">
        <f>IFERROR(__xludf.DUMMYFUNCTION("""COMPUTED_VALUE"""),11.0)</f>
        <v>11</v>
      </c>
      <c r="G215" s="125">
        <f>IFERROR(__xludf.DUMMYFUNCTION("""COMPUTED_VALUE"""),1.0)</f>
        <v>1</v>
      </c>
    </row>
    <row r="216">
      <c r="A216" s="117">
        <f>IFERROR(__xludf.DUMMYFUNCTION("""COMPUTED_VALUE"""),9.0)</f>
        <v>9</v>
      </c>
      <c r="B216" s="33" t="str">
        <f>IFERROR(__xludf.DUMMYFUNCTION("""COMPUTED_VALUE"""),"Lam Bui")</f>
        <v>Lam Bui</v>
      </c>
      <c r="C216" s="122">
        <f>IFERROR(__xludf.DUMMYFUNCTION("""COMPUTED_VALUE"""),6.0)</f>
        <v>6</v>
      </c>
      <c r="D216" s="122">
        <f>IFERROR(__xludf.DUMMYFUNCTION("""COMPUTED_VALUE"""),6.0)</f>
        <v>6</v>
      </c>
      <c r="E216" s="122">
        <f>IFERROR(__xludf.DUMMYFUNCTION("""COMPUTED_VALUE"""),6.0)</f>
        <v>6</v>
      </c>
      <c r="F216" s="122">
        <f>IFERROR(__xludf.DUMMYFUNCTION("""COMPUTED_VALUE"""),18.0)</f>
        <v>18</v>
      </c>
      <c r="G216" s="122">
        <f>IFERROR(__xludf.DUMMYFUNCTION("""COMPUTED_VALUE"""),3.0)</f>
        <v>3</v>
      </c>
    </row>
    <row r="217">
      <c r="A217" s="117">
        <f>IFERROR(__xludf.DUMMYFUNCTION("""COMPUTED_VALUE"""),9.0)</f>
        <v>9</v>
      </c>
      <c r="B217" s="33" t="str">
        <f>IFERROR(__xludf.DUMMYFUNCTION("""COMPUTED_VALUE"""),"Matthew Huang")</f>
        <v>Matthew Huang</v>
      </c>
      <c r="C217" s="122">
        <f>IFERROR(__xludf.DUMMYFUNCTION("""COMPUTED_VALUE"""),3.0)</f>
        <v>3</v>
      </c>
      <c r="D217" s="122">
        <f>IFERROR(__xludf.DUMMYFUNCTION("""COMPUTED_VALUE"""),6.0)</f>
        <v>6</v>
      </c>
      <c r="E217" s="122">
        <f>IFERROR(__xludf.DUMMYFUNCTION("""COMPUTED_VALUE"""),0.0)</f>
        <v>0</v>
      </c>
      <c r="F217" s="122">
        <f>IFERROR(__xludf.DUMMYFUNCTION("""COMPUTED_VALUE"""),9.0)</f>
        <v>9</v>
      </c>
      <c r="G217" s="122">
        <f>IFERROR(__xludf.DUMMYFUNCTION("""COMPUTED_VALUE"""),1.0)</f>
        <v>1</v>
      </c>
    </row>
    <row r="218">
      <c r="A218" s="117">
        <f>IFERROR(__xludf.DUMMYFUNCTION("""COMPUTED_VALUE"""),9.0)</f>
        <v>9</v>
      </c>
      <c r="B218" s="33" t="str">
        <f>IFERROR(__xludf.DUMMYFUNCTION("""COMPUTED_VALUE"""),"Sandeep Kamalon")</f>
        <v>Sandeep Kamalon</v>
      </c>
      <c r="C218" s="122">
        <f>IFERROR(__xludf.DUMMYFUNCTION("""COMPUTED_VALUE"""),3.0)</f>
        <v>3</v>
      </c>
      <c r="D218" s="122">
        <f>IFERROR(__xludf.DUMMYFUNCTION("""COMPUTED_VALUE"""),3.0)</f>
        <v>3</v>
      </c>
      <c r="E218" s="122">
        <f>IFERROR(__xludf.DUMMYFUNCTION("""COMPUTED_VALUE"""),6.0)</f>
        <v>6</v>
      </c>
      <c r="F218" s="122">
        <f>IFERROR(__xludf.DUMMYFUNCTION("""COMPUTED_VALUE"""),12.0)</f>
        <v>12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IFERROR(__xludf.DUMMYFUNCTION("""COMPUTED_VALUE"""),"David Shin")</f>
        <v>David Shin</v>
      </c>
      <c r="C219" s="122">
        <f>IFERROR(__xludf.DUMMYFUNCTION("""COMPUTED_VALUE"""),6.0)</f>
        <v>6</v>
      </c>
      <c r="D219" s="122">
        <f>IFERROR(__xludf.DUMMYFUNCTION("""COMPUTED_VALUE"""),3.0)</f>
        <v>3</v>
      </c>
      <c r="E219" s="122">
        <f>IFERROR(__xludf.DUMMYFUNCTION("""COMPUTED_VALUE"""),0.0)</f>
        <v>0</v>
      </c>
      <c r="F219" s="122">
        <f>IFERROR(__xludf.DUMMYFUNCTION("""COMPUTED_VALUE"""),9.0)</f>
        <v>9</v>
      </c>
      <c r="G219" s="122">
        <f>IFERROR(__xludf.DUMMYFUNCTION("""COMPUTED_VALUE"""),1.0)</f>
        <v>1</v>
      </c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45969.0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19.0</v>
      </c>
      <c r="E2" s="1"/>
      <c r="F2" s="1"/>
      <c r="R2" s="17"/>
      <c r="AC2" s="21" t="str">
        <f>text(C1-7,"mm/dd/yy")</f>
        <v>11/01/25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269.0</v>
      </c>
      <c r="D5" s="34">
        <v>33.0</v>
      </c>
      <c r="E5" s="35">
        <f t="shared" ref="E5:E69" si="2">if(S5&gt;0,(C5-(V5*9)-(T5*13))/S5,0)</f>
        <v>17.16666667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278</v>
      </c>
      <c r="O5" s="34">
        <f t="shared" si="1"/>
        <v>33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12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7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254.0</v>
      </c>
      <c r="D6" s="34">
        <v>29.0</v>
      </c>
      <c r="E6" s="35">
        <f t="shared" si="2"/>
        <v>15.58333333</v>
      </c>
      <c r="F6" s="95">
        <v>5.0</v>
      </c>
      <c r="G6" s="96">
        <v>0.0</v>
      </c>
      <c r="H6" s="97">
        <v>13.0</v>
      </c>
      <c r="I6" s="96">
        <v>0.0</v>
      </c>
      <c r="J6" s="96">
        <v>0.0</v>
      </c>
      <c r="K6" s="96">
        <v>0.0</v>
      </c>
      <c r="L6" s="98">
        <v>13.0</v>
      </c>
      <c r="M6" s="96">
        <v>0.0</v>
      </c>
      <c r="N6" s="34">
        <f t="shared" ref="N6:O6" si="3">C6+L6</f>
        <v>267</v>
      </c>
      <c r="O6" s="34">
        <f t="shared" si="3"/>
        <v>29</v>
      </c>
      <c r="P6" s="49" t="s">
        <v>58</v>
      </c>
      <c r="Q6" s="49" t="s">
        <v>58</v>
      </c>
      <c r="R6" s="49"/>
      <c r="S6" s="50">
        <f t="shared" si="4"/>
        <v>12</v>
      </c>
      <c r="T6" s="52">
        <f t="shared" si="5"/>
        <v>1</v>
      </c>
      <c r="U6" s="52"/>
      <c r="V6" s="50">
        <f t="shared" si="6"/>
        <v>6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249.0</v>
      </c>
      <c r="D7" s="34">
        <v>24.0</v>
      </c>
      <c r="E7" s="35">
        <f t="shared" si="2"/>
        <v>13.875</v>
      </c>
      <c r="F7" s="95">
        <v>2.0</v>
      </c>
      <c r="G7" s="96">
        <v>9.0</v>
      </c>
      <c r="H7" s="97">
        <v>0.0</v>
      </c>
      <c r="I7" s="96">
        <v>6.0</v>
      </c>
      <c r="J7" s="96">
        <v>6.0</v>
      </c>
      <c r="K7" s="96">
        <v>6.0</v>
      </c>
      <c r="L7" s="98">
        <v>18.0</v>
      </c>
      <c r="M7" s="96">
        <v>3.0</v>
      </c>
      <c r="N7" s="34">
        <f t="shared" ref="N7:O7" si="11">C7+L7</f>
        <v>267</v>
      </c>
      <c r="O7" s="34">
        <f t="shared" si="11"/>
        <v>27</v>
      </c>
      <c r="P7" s="49" t="s">
        <v>58</v>
      </c>
      <c r="Q7" s="49" t="s">
        <v>58</v>
      </c>
      <c r="R7" s="49"/>
      <c r="S7" s="50">
        <f t="shared" si="4"/>
        <v>16</v>
      </c>
      <c r="T7" s="52">
        <f t="shared" si="5"/>
        <v>0</v>
      </c>
      <c r="U7" s="52"/>
      <c r="V7" s="50">
        <f t="shared" si="6"/>
        <v>3</v>
      </c>
      <c r="W7" s="52">
        <f t="shared" si="7"/>
        <v>1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134</v>
      </c>
      <c r="C8" s="34">
        <v>247.0</v>
      </c>
      <c r="D8" s="34">
        <v>26.0</v>
      </c>
      <c r="E8" s="35">
        <f t="shared" si="2"/>
        <v>15.33333333</v>
      </c>
      <c r="F8" s="95">
        <v>1.0</v>
      </c>
      <c r="G8" s="96">
        <v>9.0</v>
      </c>
      <c r="H8" s="97">
        <v>0.0</v>
      </c>
      <c r="I8" s="96">
        <v>3.0</v>
      </c>
      <c r="J8" s="96">
        <v>6.0</v>
      </c>
      <c r="K8" s="96">
        <v>0.0</v>
      </c>
      <c r="L8" s="98">
        <v>9.0</v>
      </c>
      <c r="M8" s="96">
        <v>1.0</v>
      </c>
      <c r="N8" s="34">
        <f t="shared" ref="N8:O8" si="13">C8+L8</f>
        <v>256</v>
      </c>
      <c r="O8" s="34">
        <f t="shared" si="13"/>
        <v>27</v>
      </c>
      <c r="P8" s="49" t="s">
        <v>58</v>
      </c>
      <c r="Q8" s="49" t="s">
        <v>58</v>
      </c>
      <c r="R8" s="49"/>
      <c r="S8" s="50">
        <f t="shared" si="4"/>
        <v>12</v>
      </c>
      <c r="T8" s="52">
        <f t="shared" si="5"/>
        <v>0</v>
      </c>
      <c r="U8" s="52"/>
      <c r="V8" s="50">
        <f t="shared" si="6"/>
        <v>7</v>
      </c>
      <c r="W8" s="52">
        <f t="shared" si="7"/>
        <v>4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90</v>
      </c>
      <c r="C9" s="34">
        <v>245.0</v>
      </c>
      <c r="D9" s="34">
        <v>28.0</v>
      </c>
      <c r="E9" s="35">
        <f t="shared" si="2"/>
        <v>13.11764706</v>
      </c>
      <c r="F9" s="95">
        <v>1.0</v>
      </c>
      <c r="G9" s="96">
        <v>9.0</v>
      </c>
      <c r="H9" s="97">
        <v>0.0</v>
      </c>
      <c r="I9" s="96">
        <v>3.0</v>
      </c>
      <c r="J9" s="96">
        <v>3.0</v>
      </c>
      <c r="K9" s="96">
        <v>6.0</v>
      </c>
      <c r="L9" s="98">
        <v>12.0</v>
      </c>
      <c r="M9" s="96">
        <v>1.0</v>
      </c>
      <c r="N9" s="34">
        <f t="shared" ref="N9:O9" si="14">C9+L9</f>
        <v>257</v>
      </c>
      <c r="O9" s="34">
        <f t="shared" si="14"/>
        <v>29</v>
      </c>
      <c r="P9" s="49" t="s">
        <v>58</v>
      </c>
      <c r="Q9" s="49" t="s">
        <v>58</v>
      </c>
      <c r="R9" s="49"/>
      <c r="S9" s="50">
        <f t="shared" si="4"/>
        <v>17</v>
      </c>
      <c r="T9" s="52">
        <f t="shared" si="5"/>
        <v>1</v>
      </c>
      <c r="U9" s="52"/>
      <c r="V9" s="50">
        <f t="shared" si="6"/>
        <v>1</v>
      </c>
      <c r="W9" s="52">
        <f t="shared" si="7"/>
        <v>2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84</v>
      </c>
      <c r="C10" s="34">
        <v>243.0</v>
      </c>
      <c r="D10" s="34">
        <v>24.0</v>
      </c>
      <c r="E10" s="35">
        <f t="shared" si="2"/>
        <v>14.53846154</v>
      </c>
      <c r="F10" s="95">
        <v>3.0</v>
      </c>
      <c r="G10" s="96">
        <v>0.0</v>
      </c>
      <c r="H10" s="97">
        <v>9.0</v>
      </c>
      <c r="I10" s="96">
        <v>0.0</v>
      </c>
      <c r="J10" s="96">
        <v>0.0</v>
      </c>
      <c r="K10" s="96">
        <v>0.0</v>
      </c>
      <c r="L10" s="98">
        <v>9.0</v>
      </c>
      <c r="M10" s="96">
        <v>0.0</v>
      </c>
      <c r="N10" s="34">
        <f t="shared" ref="N10:O10" si="15">C10+L10</f>
        <v>252</v>
      </c>
      <c r="O10" s="34">
        <f t="shared" si="15"/>
        <v>24</v>
      </c>
      <c r="P10" s="49" t="s">
        <v>58</v>
      </c>
      <c r="Q10" s="49" t="s">
        <v>58</v>
      </c>
      <c r="R10" s="49"/>
      <c r="S10" s="50">
        <f t="shared" si="4"/>
        <v>13</v>
      </c>
      <c r="T10" s="52">
        <f t="shared" si="5"/>
        <v>0</v>
      </c>
      <c r="U10" s="52"/>
      <c r="V10" s="50">
        <f t="shared" si="6"/>
        <v>6</v>
      </c>
      <c r="W10" s="52">
        <f t="shared" si="7"/>
        <v>-3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94</v>
      </c>
      <c r="C11" s="34">
        <v>242.0</v>
      </c>
      <c r="D11" s="34">
        <v>22.0</v>
      </c>
      <c r="E11" s="35">
        <f t="shared" si="2"/>
        <v>13.17647059</v>
      </c>
      <c r="F11" s="95">
        <v>1.0</v>
      </c>
      <c r="G11" s="96">
        <v>9.0</v>
      </c>
      <c r="H11" s="97">
        <v>0.0</v>
      </c>
      <c r="I11" s="96">
        <v>6.0</v>
      </c>
      <c r="J11" s="96">
        <v>3.0</v>
      </c>
      <c r="K11" s="96">
        <v>0.0</v>
      </c>
      <c r="L11" s="98">
        <v>9.0</v>
      </c>
      <c r="M11" s="96">
        <v>1.0</v>
      </c>
      <c r="N11" s="34">
        <f t="shared" ref="N11:O11" si="16">C11+L11</f>
        <v>251</v>
      </c>
      <c r="O11" s="34">
        <f t="shared" si="16"/>
        <v>23</v>
      </c>
      <c r="P11" s="49" t="s">
        <v>58</v>
      </c>
      <c r="Q11" s="49" t="s">
        <v>58</v>
      </c>
      <c r="R11" s="49"/>
      <c r="S11" s="50">
        <f t="shared" si="4"/>
        <v>17</v>
      </c>
      <c r="T11" s="52">
        <f t="shared" si="5"/>
        <v>0</v>
      </c>
      <c r="U11" s="52"/>
      <c r="V11" s="50">
        <f t="shared" si="6"/>
        <v>2</v>
      </c>
      <c r="W11" s="52">
        <f t="shared" si="7"/>
        <v>-2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91</v>
      </c>
      <c r="C12" s="34">
        <v>241.0</v>
      </c>
      <c r="D12" s="34">
        <v>26.0</v>
      </c>
      <c r="E12" s="35">
        <f t="shared" si="2"/>
        <v>12.88235294</v>
      </c>
      <c r="F12" s="95">
        <v>1.0</v>
      </c>
      <c r="G12" s="96">
        <v>1.0</v>
      </c>
      <c r="H12" s="97">
        <v>0.0</v>
      </c>
      <c r="I12" s="96">
        <v>6.0</v>
      </c>
      <c r="J12" s="96">
        <v>6.0</v>
      </c>
      <c r="K12" s="96">
        <v>4.0</v>
      </c>
      <c r="L12" s="98">
        <v>16.0</v>
      </c>
      <c r="M12" s="96">
        <v>2.0</v>
      </c>
      <c r="N12" s="34">
        <f t="shared" ref="N12:O12" si="17">C12+L12</f>
        <v>257</v>
      </c>
      <c r="O12" s="34">
        <f t="shared" si="17"/>
        <v>28</v>
      </c>
      <c r="P12" s="49" t="s">
        <v>58</v>
      </c>
      <c r="Q12" s="49" t="s">
        <v>58</v>
      </c>
      <c r="R12" s="49"/>
      <c r="S12" s="50">
        <f t="shared" si="4"/>
        <v>17</v>
      </c>
      <c r="T12" s="52">
        <f t="shared" si="5"/>
        <v>1</v>
      </c>
      <c r="U12" s="52"/>
      <c r="V12" s="50">
        <f t="shared" si="6"/>
        <v>1</v>
      </c>
      <c r="W12" s="52">
        <f t="shared" si="7"/>
        <v>-2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107</v>
      </c>
      <c r="C13" s="34">
        <v>239.0</v>
      </c>
      <c r="D13" s="34">
        <v>23.0</v>
      </c>
      <c r="E13" s="35">
        <f t="shared" si="2"/>
        <v>14.33333333</v>
      </c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8">C13+L13</f>
        <v>248</v>
      </c>
      <c r="O13" s="34">
        <f t="shared" si="18"/>
        <v>23</v>
      </c>
      <c r="P13" s="49" t="s">
        <v>58</v>
      </c>
      <c r="Q13" s="49" t="s">
        <v>58</v>
      </c>
      <c r="R13" s="49"/>
      <c r="S13" s="50">
        <f t="shared" si="4"/>
        <v>12</v>
      </c>
      <c r="T13" s="52">
        <f t="shared" si="5"/>
        <v>1</v>
      </c>
      <c r="U13" s="52"/>
      <c r="V13" s="50">
        <f t="shared" si="6"/>
        <v>6</v>
      </c>
      <c r="W13" s="52">
        <f t="shared" si="7"/>
        <v>0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113</v>
      </c>
      <c r="C14" s="34">
        <v>239.0</v>
      </c>
      <c r="D14" s="34">
        <v>21.0</v>
      </c>
      <c r="E14" s="35">
        <f t="shared" si="2"/>
        <v>13.85714286</v>
      </c>
      <c r="F14" s="95">
        <v>1.0</v>
      </c>
      <c r="G14" s="96">
        <v>1.0</v>
      </c>
      <c r="H14" s="97">
        <v>0.0</v>
      </c>
      <c r="I14" s="96">
        <v>4.0</v>
      </c>
      <c r="J14" s="96">
        <v>6.0</v>
      </c>
      <c r="K14" s="96">
        <v>6.0</v>
      </c>
      <c r="L14" s="98">
        <v>16.0</v>
      </c>
      <c r="M14" s="96">
        <v>2.0</v>
      </c>
      <c r="N14" s="34">
        <f t="shared" ref="N14:O14" si="19">C14+L14</f>
        <v>255</v>
      </c>
      <c r="O14" s="34">
        <f t="shared" si="19"/>
        <v>23</v>
      </c>
      <c r="P14" s="49" t="s">
        <v>58</v>
      </c>
      <c r="Q14" s="49" t="s">
        <v>58</v>
      </c>
      <c r="R14" s="49"/>
      <c r="S14" s="50">
        <f t="shared" si="4"/>
        <v>14</v>
      </c>
      <c r="T14" s="52">
        <f t="shared" si="5"/>
        <v>0</v>
      </c>
      <c r="U14" s="52"/>
      <c r="V14" s="50">
        <f t="shared" si="6"/>
        <v>5</v>
      </c>
      <c r="W14" s="52">
        <f t="shared" si="7"/>
        <v>2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98</v>
      </c>
      <c r="C15" s="34">
        <v>236.0</v>
      </c>
      <c r="D15" s="34">
        <v>27.0</v>
      </c>
      <c r="E15" s="35">
        <f t="shared" si="2"/>
        <v>12.61111111</v>
      </c>
      <c r="F15" s="95">
        <v>1.0</v>
      </c>
      <c r="G15" s="96">
        <v>1.0</v>
      </c>
      <c r="H15" s="97">
        <v>0.0</v>
      </c>
      <c r="I15" s="96">
        <v>6.0</v>
      </c>
      <c r="J15" s="96">
        <v>3.0</v>
      </c>
      <c r="K15" s="96">
        <v>6.0</v>
      </c>
      <c r="L15" s="98">
        <v>15.0</v>
      </c>
      <c r="M15" s="96">
        <v>2.0</v>
      </c>
      <c r="N15" s="34">
        <f t="shared" ref="N15:O15" si="20">C15+L15</f>
        <v>251</v>
      </c>
      <c r="O15" s="34">
        <f t="shared" si="20"/>
        <v>29</v>
      </c>
      <c r="P15" s="49" t="s">
        <v>58</v>
      </c>
      <c r="Q15" s="49" t="s">
        <v>58</v>
      </c>
      <c r="R15" s="49"/>
      <c r="S15" s="50">
        <f t="shared" si="4"/>
        <v>18</v>
      </c>
      <c r="T15" s="52">
        <f t="shared" si="5"/>
        <v>0</v>
      </c>
      <c r="U15" s="52"/>
      <c r="V15" s="50">
        <f t="shared" si="6"/>
        <v>1</v>
      </c>
      <c r="W15" s="52">
        <f t="shared" si="7"/>
        <v>2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103</v>
      </c>
      <c r="C16" s="34">
        <v>235.0</v>
      </c>
      <c r="D16" s="34">
        <v>17.0</v>
      </c>
      <c r="E16" s="35">
        <f t="shared" si="2"/>
        <v>13.28571429</v>
      </c>
      <c r="F16" s="95">
        <v>2.0</v>
      </c>
      <c r="G16" s="96">
        <v>1.0</v>
      </c>
      <c r="H16" s="97">
        <v>0.0</v>
      </c>
      <c r="I16" s="96">
        <v>4.0</v>
      </c>
      <c r="J16" s="96">
        <v>3.0</v>
      </c>
      <c r="K16" s="96">
        <v>4.0</v>
      </c>
      <c r="L16" s="98">
        <v>11.0</v>
      </c>
      <c r="M16" s="96">
        <v>0.0</v>
      </c>
      <c r="N16" s="34">
        <f t="shared" ref="N16:O16" si="21">C16+L16</f>
        <v>246</v>
      </c>
      <c r="O16" s="34">
        <f t="shared" si="21"/>
        <v>17</v>
      </c>
      <c r="P16" s="49" t="s">
        <v>58</v>
      </c>
      <c r="Q16" s="49" t="s">
        <v>58</v>
      </c>
      <c r="R16" s="49"/>
      <c r="S16" s="50">
        <f t="shared" si="4"/>
        <v>14</v>
      </c>
      <c r="T16" s="52">
        <f t="shared" si="5"/>
        <v>1</v>
      </c>
      <c r="U16" s="52"/>
      <c r="V16" s="50">
        <f t="shared" si="6"/>
        <v>4</v>
      </c>
      <c r="W16" s="52">
        <f t="shared" si="7"/>
        <v>-2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128</v>
      </c>
      <c r="C17" s="34">
        <v>234.0</v>
      </c>
      <c r="D17" s="34">
        <v>21.0</v>
      </c>
      <c r="E17" s="35">
        <f t="shared" si="2"/>
        <v>13.2</v>
      </c>
      <c r="F17" s="95">
        <v>1.0</v>
      </c>
      <c r="G17" s="96">
        <v>2.0</v>
      </c>
      <c r="H17" s="97">
        <v>0.0</v>
      </c>
      <c r="I17" s="96">
        <v>6.0</v>
      </c>
      <c r="J17" s="96">
        <v>4.0</v>
      </c>
      <c r="K17" s="96">
        <v>3.0</v>
      </c>
      <c r="L17" s="98">
        <v>13.0</v>
      </c>
      <c r="M17" s="96">
        <v>1.0</v>
      </c>
      <c r="N17" s="34">
        <f t="shared" ref="N17:O17" si="22">C17+L17</f>
        <v>247</v>
      </c>
      <c r="O17" s="34">
        <f t="shared" si="22"/>
        <v>22</v>
      </c>
      <c r="P17" s="49" t="s">
        <v>58</v>
      </c>
      <c r="Q17" s="49" t="s">
        <v>58</v>
      </c>
      <c r="R17" s="49"/>
      <c r="S17" s="50">
        <f t="shared" si="4"/>
        <v>15</v>
      </c>
      <c r="T17" s="52">
        <f t="shared" si="5"/>
        <v>0</v>
      </c>
      <c r="U17" s="52"/>
      <c r="V17" s="50">
        <f t="shared" si="6"/>
        <v>4</v>
      </c>
      <c r="W17" s="52">
        <f t="shared" si="7"/>
        <v>-2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83</v>
      </c>
      <c r="C18" s="34">
        <v>232.0</v>
      </c>
      <c r="D18" s="34">
        <v>20.0</v>
      </c>
      <c r="E18" s="35">
        <f t="shared" si="2"/>
        <v>14.7</v>
      </c>
      <c r="F18" s="95">
        <v>1.0</v>
      </c>
      <c r="G18" s="96">
        <v>2.0</v>
      </c>
      <c r="H18" s="97">
        <v>0.0</v>
      </c>
      <c r="I18" s="96">
        <v>6.0</v>
      </c>
      <c r="J18" s="96">
        <v>6.0</v>
      </c>
      <c r="K18" s="96">
        <v>6.0</v>
      </c>
      <c r="L18" s="98">
        <v>18.0</v>
      </c>
      <c r="M18" s="96">
        <v>3.0</v>
      </c>
      <c r="N18" s="34">
        <f t="shared" ref="N18:O18" si="23">C18+L18</f>
        <v>250</v>
      </c>
      <c r="O18" s="34">
        <f t="shared" si="23"/>
        <v>23</v>
      </c>
      <c r="P18" s="49" t="s">
        <v>58</v>
      </c>
      <c r="Q18" s="49" t="s">
        <v>58</v>
      </c>
      <c r="R18" s="49"/>
      <c r="S18" s="50">
        <f t="shared" si="4"/>
        <v>10</v>
      </c>
      <c r="T18" s="52">
        <f t="shared" si="5"/>
        <v>1</v>
      </c>
      <c r="U18" s="52"/>
      <c r="V18" s="50">
        <f t="shared" si="6"/>
        <v>8</v>
      </c>
      <c r="W18" s="52">
        <f t="shared" si="7"/>
        <v>6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109</v>
      </c>
      <c r="C19" s="34">
        <v>230.0</v>
      </c>
      <c r="D19" s="34">
        <v>20.0</v>
      </c>
      <c r="E19" s="35">
        <f t="shared" si="2"/>
        <v>12.93333333</v>
      </c>
      <c r="F19" s="95">
        <v>1.0</v>
      </c>
      <c r="G19" s="96">
        <v>2.0</v>
      </c>
      <c r="H19" s="97">
        <v>0.0</v>
      </c>
      <c r="I19" s="96">
        <v>1.0</v>
      </c>
      <c r="J19" s="96">
        <v>4.0</v>
      </c>
      <c r="K19" s="96">
        <v>6.0</v>
      </c>
      <c r="L19" s="98">
        <v>11.0</v>
      </c>
      <c r="M19" s="96">
        <v>1.0</v>
      </c>
      <c r="N19" s="34">
        <f t="shared" ref="N19:O19" si="24">C19+L19</f>
        <v>241</v>
      </c>
      <c r="O19" s="34">
        <f t="shared" si="24"/>
        <v>21</v>
      </c>
      <c r="P19" s="49" t="s">
        <v>58</v>
      </c>
      <c r="Q19" s="49" t="s">
        <v>58</v>
      </c>
      <c r="R19" s="49"/>
      <c r="S19" s="50">
        <f t="shared" si="4"/>
        <v>15</v>
      </c>
      <c r="T19" s="52">
        <f t="shared" si="5"/>
        <v>0</v>
      </c>
      <c r="U19" s="52"/>
      <c r="V19" s="50">
        <f t="shared" si="6"/>
        <v>4</v>
      </c>
      <c r="W19" s="52">
        <f t="shared" si="7"/>
        <v>-1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111</v>
      </c>
      <c r="C20" s="34">
        <v>230.0</v>
      </c>
      <c r="D20" s="34">
        <v>19.0</v>
      </c>
      <c r="E20" s="35">
        <f t="shared" si="2"/>
        <v>12.92857143</v>
      </c>
      <c r="F20" s="95">
        <v>2.0</v>
      </c>
      <c r="G20" s="96">
        <v>2.0</v>
      </c>
      <c r="H20" s="97">
        <v>0.0</v>
      </c>
      <c r="I20" s="96">
        <v>1.0</v>
      </c>
      <c r="J20" s="96">
        <v>6.0</v>
      </c>
      <c r="K20" s="96">
        <v>3.0</v>
      </c>
      <c r="L20" s="98">
        <v>10.0</v>
      </c>
      <c r="M20" s="96">
        <v>1.0</v>
      </c>
      <c r="N20" s="34">
        <f t="shared" ref="N20:O20" si="25">C20+L20</f>
        <v>240</v>
      </c>
      <c r="O20" s="34">
        <f t="shared" si="25"/>
        <v>20</v>
      </c>
      <c r="P20" s="49" t="s">
        <v>58</v>
      </c>
      <c r="Q20" s="49" t="s">
        <v>58</v>
      </c>
      <c r="R20" s="49"/>
      <c r="S20" s="50">
        <f t="shared" si="4"/>
        <v>14</v>
      </c>
      <c r="T20" s="52">
        <f t="shared" si="5"/>
        <v>1</v>
      </c>
      <c r="U20" s="52"/>
      <c r="V20" s="50">
        <f t="shared" si="6"/>
        <v>4</v>
      </c>
      <c r="W20" s="52">
        <f t="shared" si="7"/>
        <v>6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133</v>
      </c>
      <c r="C21" s="34">
        <v>228.0</v>
      </c>
      <c r="D21" s="34">
        <v>23.0</v>
      </c>
      <c r="E21" s="35">
        <f t="shared" si="2"/>
        <v>13.07142857</v>
      </c>
      <c r="F21" s="95">
        <v>1.0</v>
      </c>
      <c r="G21" s="96">
        <v>3.0</v>
      </c>
      <c r="H21" s="97">
        <v>0.0</v>
      </c>
      <c r="I21" s="96">
        <v>7.0</v>
      </c>
      <c r="J21" s="96">
        <v>2.0</v>
      </c>
      <c r="K21" s="96">
        <v>6.0</v>
      </c>
      <c r="L21" s="98">
        <v>15.0</v>
      </c>
      <c r="M21" s="96">
        <v>2.0</v>
      </c>
      <c r="N21" s="34">
        <f t="shared" ref="N21:O21" si="26">C21+L21</f>
        <v>243</v>
      </c>
      <c r="O21" s="34">
        <f t="shared" si="26"/>
        <v>25</v>
      </c>
      <c r="P21" s="49" t="s">
        <v>58</v>
      </c>
      <c r="Q21" s="49" t="s">
        <v>58</v>
      </c>
      <c r="R21" s="49"/>
      <c r="S21" s="50">
        <f t="shared" si="4"/>
        <v>14</v>
      </c>
      <c r="T21" s="52">
        <f t="shared" si="5"/>
        <v>0</v>
      </c>
      <c r="U21" s="52"/>
      <c r="V21" s="50">
        <f t="shared" si="6"/>
        <v>5</v>
      </c>
      <c r="W21" s="52">
        <f t="shared" si="7"/>
        <v>-1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110</v>
      </c>
      <c r="C22" s="34">
        <v>228.0</v>
      </c>
      <c r="D22" s="34">
        <v>22.0</v>
      </c>
      <c r="E22" s="35">
        <f t="shared" si="2"/>
        <v>12.35294118</v>
      </c>
      <c r="F22" s="95">
        <v>3.0</v>
      </c>
      <c r="G22" s="96">
        <v>0.0</v>
      </c>
      <c r="H22" s="97">
        <v>9.0</v>
      </c>
      <c r="I22" s="96">
        <v>0.0</v>
      </c>
      <c r="J22" s="96">
        <v>0.0</v>
      </c>
      <c r="K22" s="96">
        <v>0.0</v>
      </c>
      <c r="L22" s="98">
        <v>9.0</v>
      </c>
      <c r="M22" s="96">
        <v>0.0</v>
      </c>
      <c r="N22" s="34">
        <f t="shared" ref="N22:O22" si="27">C22+L22</f>
        <v>237</v>
      </c>
      <c r="O22" s="34">
        <f t="shared" si="27"/>
        <v>22</v>
      </c>
      <c r="P22" s="49" t="s">
        <v>58</v>
      </c>
      <c r="Q22" s="49" t="s">
        <v>58</v>
      </c>
      <c r="R22" s="49"/>
      <c r="S22" s="50">
        <f t="shared" si="4"/>
        <v>17</v>
      </c>
      <c r="T22" s="52">
        <f t="shared" si="5"/>
        <v>0</v>
      </c>
      <c r="U22" s="52"/>
      <c r="V22" s="50">
        <f t="shared" si="6"/>
        <v>2</v>
      </c>
      <c r="W22" s="52">
        <f t="shared" si="7"/>
        <v>-3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97</v>
      </c>
      <c r="C23" s="34">
        <v>226.0</v>
      </c>
      <c r="D23" s="34">
        <v>22.0</v>
      </c>
      <c r="E23" s="35">
        <f t="shared" si="2"/>
        <v>13.23076923</v>
      </c>
      <c r="F23" s="95">
        <v>1.0</v>
      </c>
      <c r="G23" s="96">
        <v>3.0</v>
      </c>
      <c r="H23" s="97">
        <v>0.0</v>
      </c>
      <c r="I23" s="96">
        <v>5.0</v>
      </c>
      <c r="J23" s="96">
        <v>6.0</v>
      </c>
      <c r="K23" s="96">
        <v>6.0</v>
      </c>
      <c r="L23" s="98">
        <v>17.0</v>
      </c>
      <c r="M23" s="96">
        <v>2.0</v>
      </c>
      <c r="N23" s="34">
        <f t="shared" ref="N23:O23" si="28">C23+L23</f>
        <v>243</v>
      </c>
      <c r="O23" s="34">
        <f t="shared" si="28"/>
        <v>24</v>
      </c>
      <c r="P23" s="49" t="s">
        <v>58</v>
      </c>
      <c r="Q23" s="49" t="s">
        <v>58</v>
      </c>
      <c r="R23" s="49"/>
      <c r="S23" s="50">
        <f t="shared" si="4"/>
        <v>13</v>
      </c>
      <c r="T23" s="52">
        <f t="shared" si="5"/>
        <v>0</v>
      </c>
      <c r="U23" s="52"/>
      <c r="V23" s="50">
        <f t="shared" si="6"/>
        <v>6</v>
      </c>
      <c r="W23" s="52">
        <f t="shared" si="7"/>
        <v>8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49</v>
      </c>
      <c r="C24" s="34">
        <v>224.0</v>
      </c>
      <c r="D24" s="34">
        <v>21.0</v>
      </c>
      <c r="E24" s="35">
        <f t="shared" si="2"/>
        <v>12.3125</v>
      </c>
      <c r="F24" s="95">
        <v>1.0</v>
      </c>
      <c r="G24" s="96">
        <v>3.0</v>
      </c>
      <c r="H24" s="97">
        <v>0.0</v>
      </c>
      <c r="I24" s="96">
        <v>5.0</v>
      </c>
      <c r="J24" s="96">
        <v>2.0</v>
      </c>
      <c r="K24" s="96">
        <v>1.0</v>
      </c>
      <c r="L24" s="98">
        <v>8.0</v>
      </c>
      <c r="M24" s="96">
        <v>0.0</v>
      </c>
      <c r="N24" s="34">
        <f t="shared" ref="N24:O24" si="29">C24+L24</f>
        <v>232</v>
      </c>
      <c r="O24" s="34">
        <f t="shared" si="29"/>
        <v>21</v>
      </c>
      <c r="P24" s="49" t="s">
        <v>58</v>
      </c>
      <c r="Q24" s="49" t="s">
        <v>58</v>
      </c>
      <c r="R24" s="49"/>
      <c r="S24" s="50">
        <f t="shared" si="4"/>
        <v>16</v>
      </c>
      <c r="T24" s="52">
        <f t="shared" si="5"/>
        <v>0</v>
      </c>
      <c r="U24" s="52"/>
      <c r="V24" s="50">
        <f t="shared" si="6"/>
        <v>3</v>
      </c>
      <c r="W24" s="52">
        <f t="shared" si="7"/>
        <v>9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87</v>
      </c>
      <c r="C25" s="34">
        <v>223.0</v>
      </c>
      <c r="D25" s="34">
        <v>20.0</v>
      </c>
      <c r="E25" s="35">
        <f t="shared" si="2"/>
        <v>12</v>
      </c>
      <c r="F25" s="95">
        <v>1.0</v>
      </c>
      <c r="G25" s="96">
        <v>3.0</v>
      </c>
      <c r="H25" s="97">
        <v>0.0</v>
      </c>
      <c r="I25" s="96">
        <v>7.0</v>
      </c>
      <c r="J25" s="96">
        <v>6.0</v>
      </c>
      <c r="K25" s="96">
        <v>1.0</v>
      </c>
      <c r="L25" s="98">
        <v>14.0</v>
      </c>
      <c r="M25" s="96">
        <v>2.0</v>
      </c>
      <c r="N25" s="34">
        <f t="shared" ref="N25:O25" si="30">C25+L25</f>
        <v>237</v>
      </c>
      <c r="O25" s="34">
        <f t="shared" si="30"/>
        <v>22</v>
      </c>
      <c r="P25" s="49" t="s">
        <v>58</v>
      </c>
      <c r="Q25" s="49" t="s">
        <v>58</v>
      </c>
      <c r="R25" s="49"/>
      <c r="S25" s="50">
        <f t="shared" si="4"/>
        <v>16</v>
      </c>
      <c r="T25" s="52">
        <f t="shared" si="5"/>
        <v>1</v>
      </c>
      <c r="U25" s="52"/>
      <c r="V25" s="50">
        <f t="shared" si="6"/>
        <v>2</v>
      </c>
      <c r="W25" s="52">
        <f t="shared" si="7"/>
        <v>-2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66</v>
      </c>
      <c r="C26" s="34">
        <v>223.0</v>
      </c>
      <c r="D26" s="34">
        <v>20.0</v>
      </c>
      <c r="E26" s="35">
        <f t="shared" si="2"/>
        <v>12.05882353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31">C26+L26</f>
        <v>232</v>
      </c>
      <c r="O26" s="34">
        <f t="shared" si="31"/>
        <v>20</v>
      </c>
      <c r="P26" s="49" t="s">
        <v>58</v>
      </c>
      <c r="Q26" s="49" t="s">
        <v>58</v>
      </c>
      <c r="R26" s="49"/>
      <c r="S26" s="50">
        <f t="shared" si="4"/>
        <v>17</v>
      </c>
      <c r="T26" s="52">
        <f t="shared" si="5"/>
        <v>0</v>
      </c>
      <c r="U26" s="52"/>
      <c r="V26" s="50">
        <f t="shared" si="6"/>
        <v>2</v>
      </c>
      <c r="W26" s="52">
        <f t="shared" si="7"/>
        <v>-4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125</v>
      </c>
      <c r="C27" s="34">
        <v>223.0</v>
      </c>
      <c r="D27" s="34">
        <v>18.0</v>
      </c>
      <c r="E27" s="35">
        <f t="shared" si="2"/>
        <v>13</v>
      </c>
      <c r="F27" s="95">
        <v>1.0</v>
      </c>
      <c r="G27" s="96">
        <v>4.0</v>
      </c>
      <c r="H27" s="97">
        <v>0.0</v>
      </c>
      <c r="I27" s="96">
        <v>6.0</v>
      </c>
      <c r="J27" s="96">
        <v>6.0</v>
      </c>
      <c r="K27" s="96">
        <v>5.0</v>
      </c>
      <c r="L27" s="98">
        <v>17.0</v>
      </c>
      <c r="M27" s="96">
        <v>2.0</v>
      </c>
      <c r="N27" s="34">
        <f t="shared" ref="N27:O27" si="32">C27+L27</f>
        <v>240</v>
      </c>
      <c r="O27" s="34">
        <f t="shared" si="32"/>
        <v>20</v>
      </c>
      <c r="P27" s="49" t="s">
        <v>58</v>
      </c>
      <c r="Q27" s="49" t="s">
        <v>58</v>
      </c>
      <c r="R27" s="49"/>
      <c r="S27" s="50">
        <f t="shared" si="4"/>
        <v>13</v>
      </c>
      <c r="T27" s="52">
        <f t="shared" si="5"/>
        <v>0</v>
      </c>
      <c r="U27" s="52"/>
      <c r="V27" s="50">
        <f t="shared" si="6"/>
        <v>6</v>
      </c>
      <c r="W27" s="52">
        <f t="shared" si="7"/>
        <v>-2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114</v>
      </c>
      <c r="C28" s="34">
        <v>223.0</v>
      </c>
      <c r="D28" s="34">
        <v>17.0</v>
      </c>
      <c r="E28" s="35">
        <f t="shared" si="2"/>
        <v>12</v>
      </c>
      <c r="F28" s="95">
        <v>1.0</v>
      </c>
      <c r="G28" s="96">
        <v>4.0</v>
      </c>
      <c r="H28" s="97">
        <v>0.0</v>
      </c>
      <c r="I28" s="96">
        <v>3.0</v>
      </c>
      <c r="J28" s="96">
        <v>2.0</v>
      </c>
      <c r="K28" s="96">
        <v>5.0</v>
      </c>
      <c r="L28" s="98">
        <v>10.0</v>
      </c>
      <c r="M28" s="96">
        <v>0.0</v>
      </c>
      <c r="N28" s="34">
        <f t="shared" ref="N28:O28" si="33">C28+L28</f>
        <v>233</v>
      </c>
      <c r="O28" s="34">
        <f t="shared" si="33"/>
        <v>17</v>
      </c>
      <c r="P28" s="49" t="s">
        <v>58</v>
      </c>
      <c r="Q28" s="49" t="s">
        <v>58</v>
      </c>
      <c r="R28" s="49"/>
      <c r="S28" s="50">
        <f t="shared" si="4"/>
        <v>16</v>
      </c>
      <c r="T28" s="52">
        <f t="shared" si="5"/>
        <v>1</v>
      </c>
      <c r="U28" s="52"/>
      <c r="V28" s="50">
        <f t="shared" si="6"/>
        <v>2</v>
      </c>
      <c r="W28" s="52">
        <f t="shared" si="7"/>
        <v>-7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93</v>
      </c>
      <c r="C29" s="34">
        <v>222.0</v>
      </c>
      <c r="D29" s="34">
        <v>19.0</v>
      </c>
      <c r="E29" s="35">
        <f t="shared" si="2"/>
        <v>14.1</v>
      </c>
      <c r="F29" s="95">
        <v>1.0</v>
      </c>
      <c r="G29" s="96">
        <v>4.0</v>
      </c>
      <c r="H29" s="97">
        <v>0.0</v>
      </c>
      <c r="I29" s="96">
        <v>6.0</v>
      </c>
      <c r="J29" s="96">
        <v>2.0</v>
      </c>
      <c r="K29" s="96">
        <v>7.0</v>
      </c>
      <c r="L29" s="98">
        <v>15.0</v>
      </c>
      <c r="M29" s="96">
        <v>2.0</v>
      </c>
      <c r="N29" s="34">
        <f t="shared" ref="N29:O29" si="34">C29+L29</f>
        <v>237</v>
      </c>
      <c r="O29" s="34">
        <f t="shared" si="34"/>
        <v>21</v>
      </c>
      <c r="P29" s="49" t="s">
        <v>58</v>
      </c>
      <c r="Q29" s="49" t="s">
        <v>58</v>
      </c>
      <c r="R29" s="49"/>
      <c r="S29" s="50">
        <f t="shared" si="4"/>
        <v>10</v>
      </c>
      <c r="T29" s="52">
        <f t="shared" si="5"/>
        <v>0</v>
      </c>
      <c r="U29" s="52"/>
      <c r="V29" s="50">
        <f t="shared" si="6"/>
        <v>9</v>
      </c>
      <c r="W29" s="52">
        <f t="shared" si="7"/>
        <v>-1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50</v>
      </c>
      <c r="C30" s="34">
        <v>220.0</v>
      </c>
      <c r="D30" s="34">
        <v>21.0</v>
      </c>
      <c r="E30" s="35">
        <f t="shared" si="2"/>
        <v>11.72222222</v>
      </c>
      <c r="F30" s="95">
        <v>1.0</v>
      </c>
      <c r="G30" s="96">
        <v>4.0</v>
      </c>
      <c r="H30" s="97">
        <v>0.0</v>
      </c>
      <c r="I30" s="96">
        <v>3.0</v>
      </c>
      <c r="J30" s="96">
        <v>6.0</v>
      </c>
      <c r="K30" s="96">
        <v>7.0</v>
      </c>
      <c r="L30" s="98">
        <v>16.0</v>
      </c>
      <c r="M30" s="96">
        <v>2.0</v>
      </c>
      <c r="N30" s="34">
        <f t="shared" ref="N30:O30" si="35">C30+L30</f>
        <v>236</v>
      </c>
      <c r="O30" s="34">
        <f t="shared" si="35"/>
        <v>23</v>
      </c>
      <c r="P30" s="49" t="s">
        <v>58</v>
      </c>
      <c r="Q30" s="49" t="s">
        <v>58</v>
      </c>
      <c r="R30" s="49"/>
      <c r="S30" s="50">
        <f t="shared" si="4"/>
        <v>18</v>
      </c>
      <c r="T30" s="52">
        <f t="shared" si="5"/>
        <v>0</v>
      </c>
      <c r="U30" s="52"/>
      <c r="V30" s="50">
        <f t="shared" si="6"/>
        <v>1</v>
      </c>
      <c r="W30" s="52">
        <f t="shared" si="7"/>
        <v>-3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135</v>
      </c>
      <c r="C31" s="34">
        <v>219.0</v>
      </c>
      <c r="D31" s="34">
        <v>21.0</v>
      </c>
      <c r="E31" s="35">
        <f t="shared" si="2"/>
        <v>12.69230769</v>
      </c>
      <c r="F31" s="95">
        <v>1.0</v>
      </c>
      <c r="G31" s="96">
        <v>5.0</v>
      </c>
      <c r="H31" s="97">
        <v>0.0</v>
      </c>
      <c r="I31" s="96">
        <v>6.0</v>
      </c>
      <c r="J31" s="96">
        <v>7.0</v>
      </c>
      <c r="K31" s="96">
        <v>7.0</v>
      </c>
      <c r="L31" s="98">
        <v>20.0</v>
      </c>
      <c r="M31" s="96">
        <v>3.0</v>
      </c>
      <c r="N31" s="34">
        <f t="shared" ref="N31:O31" si="36">C31+L31</f>
        <v>239</v>
      </c>
      <c r="O31" s="34">
        <f t="shared" si="36"/>
        <v>24</v>
      </c>
      <c r="P31" s="49" t="s">
        <v>58</v>
      </c>
      <c r="Q31" s="49" t="s">
        <v>58</v>
      </c>
      <c r="R31" s="49"/>
      <c r="S31" s="50">
        <f t="shared" si="4"/>
        <v>13</v>
      </c>
      <c r="T31" s="52">
        <f t="shared" si="5"/>
        <v>0</v>
      </c>
      <c r="U31" s="52"/>
      <c r="V31" s="50">
        <f t="shared" si="6"/>
        <v>6</v>
      </c>
      <c r="W31" s="52">
        <f t="shared" si="7"/>
        <v>7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65</v>
      </c>
      <c r="C32" s="34">
        <v>219.0</v>
      </c>
      <c r="D32" s="34">
        <v>20.0</v>
      </c>
      <c r="E32" s="35">
        <f t="shared" si="2"/>
        <v>13.8</v>
      </c>
      <c r="F32" s="95">
        <v>1.0</v>
      </c>
      <c r="G32" s="96">
        <v>5.0</v>
      </c>
      <c r="H32" s="97">
        <v>0.0</v>
      </c>
      <c r="I32" s="96">
        <v>6.0</v>
      </c>
      <c r="J32" s="96">
        <v>6.0</v>
      </c>
      <c r="K32" s="96">
        <v>6.0</v>
      </c>
      <c r="L32" s="98">
        <v>18.0</v>
      </c>
      <c r="M32" s="96">
        <v>1.0</v>
      </c>
      <c r="N32" s="34">
        <f t="shared" ref="N32:O32" si="37">C32+L32</f>
        <v>237</v>
      </c>
      <c r="O32" s="34">
        <f t="shared" si="37"/>
        <v>21</v>
      </c>
      <c r="P32" s="49" t="s">
        <v>58</v>
      </c>
      <c r="Q32" s="49" t="s">
        <v>58</v>
      </c>
      <c r="R32" s="49"/>
      <c r="S32" s="50">
        <f t="shared" si="4"/>
        <v>10</v>
      </c>
      <c r="T32" s="52">
        <f t="shared" si="5"/>
        <v>0</v>
      </c>
      <c r="U32" s="52"/>
      <c r="V32" s="50">
        <f t="shared" si="6"/>
        <v>9</v>
      </c>
      <c r="W32" s="52">
        <f t="shared" si="7"/>
        <v>3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136</v>
      </c>
      <c r="C33" s="34">
        <v>219.0</v>
      </c>
      <c r="D33" s="34">
        <v>19.0</v>
      </c>
      <c r="E33" s="35">
        <f t="shared" si="2"/>
        <v>11.52631579</v>
      </c>
      <c r="F33" s="95">
        <v>1.0</v>
      </c>
      <c r="G33" s="96">
        <v>5.0</v>
      </c>
      <c r="H33" s="97">
        <v>0.0</v>
      </c>
      <c r="I33" s="96">
        <v>1.0</v>
      </c>
      <c r="J33" s="96">
        <v>6.0</v>
      </c>
      <c r="K33" s="96">
        <v>7.0</v>
      </c>
      <c r="L33" s="98">
        <v>14.0</v>
      </c>
      <c r="M33" s="96">
        <v>1.0</v>
      </c>
      <c r="N33" s="34">
        <f t="shared" ref="N33:O33" si="38">C33+L33</f>
        <v>233</v>
      </c>
      <c r="O33" s="34">
        <f t="shared" si="38"/>
        <v>20</v>
      </c>
      <c r="P33" s="49" t="s">
        <v>58</v>
      </c>
      <c r="Q33" s="49" t="s">
        <v>58</v>
      </c>
      <c r="R33" s="49"/>
      <c r="S33" s="50">
        <f t="shared" si="4"/>
        <v>19</v>
      </c>
      <c r="T33" s="52">
        <f t="shared" si="5"/>
        <v>0</v>
      </c>
      <c r="U33" s="52"/>
      <c r="V33" s="50">
        <f t="shared" si="6"/>
        <v>0</v>
      </c>
      <c r="W33" s="52">
        <f t="shared" si="7"/>
        <v>-4</v>
      </c>
      <c r="X33" s="32">
        <f t="shared" si="12"/>
        <v>29</v>
      </c>
      <c r="Y33" s="32" t="str">
        <f t="shared" si="8"/>
        <v>Y</v>
      </c>
      <c r="Z33" s="16" t="str">
        <f t="shared" si="9"/>
        <v/>
      </c>
    </row>
    <row r="34">
      <c r="A34" s="32">
        <f t="shared" si="10"/>
        <v>30</v>
      </c>
      <c r="B34" s="33" t="s">
        <v>96</v>
      </c>
      <c r="C34" s="34">
        <v>218.0</v>
      </c>
      <c r="D34" s="34">
        <v>17.0</v>
      </c>
      <c r="E34" s="35">
        <f t="shared" si="2"/>
        <v>11.76470588</v>
      </c>
      <c r="F34" s="95">
        <v>1.0</v>
      </c>
      <c r="G34" s="96">
        <v>5.0</v>
      </c>
      <c r="H34" s="97">
        <v>0.0</v>
      </c>
      <c r="I34" s="96">
        <v>1.0</v>
      </c>
      <c r="J34" s="96">
        <v>7.0</v>
      </c>
      <c r="K34" s="96">
        <v>6.0</v>
      </c>
      <c r="L34" s="98">
        <v>14.0</v>
      </c>
      <c r="M34" s="96">
        <v>1.0</v>
      </c>
      <c r="N34" s="34">
        <f t="shared" ref="N34:O34" si="39">C34+L34</f>
        <v>232</v>
      </c>
      <c r="O34" s="34">
        <f t="shared" si="39"/>
        <v>18</v>
      </c>
      <c r="P34" s="49" t="s">
        <v>58</v>
      </c>
      <c r="Q34" s="49" t="s">
        <v>58</v>
      </c>
      <c r="R34" s="49"/>
      <c r="S34" s="50">
        <f t="shared" si="4"/>
        <v>17</v>
      </c>
      <c r="T34" s="52">
        <f t="shared" si="5"/>
        <v>0</v>
      </c>
      <c r="U34" s="52"/>
      <c r="V34" s="50">
        <f t="shared" si="6"/>
        <v>2</v>
      </c>
      <c r="W34" s="52">
        <f t="shared" si="7"/>
        <v>0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89</v>
      </c>
      <c r="C35" s="34">
        <v>217.0</v>
      </c>
      <c r="D35" s="34">
        <v>18.0</v>
      </c>
      <c r="E35" s="35">
        <f t="shared" si="2"/>
        <v>13.18181818</v>
      </c>
      <c r="F35" s="95">
        <v>1.0</v>
      </c>
      <c r="G35" s="96">
        <v>6.0</v>
      </c>
      <c r="H35" s="97">
        <v>0.0</v>
      </c>
      <c r="I35" s="96">
        <v>6.0</v>
      </c>
      <c r="J35" s="96">
        <v>6.0</v>
      </c>
      <c r="K35" s="96">
        <v>6.0</v>
      </c>
      <c r="L35" s="98">
        <v>18.0</v>
      </c>
      <c r="M35" s="96">
        <v>3.0</v>
      </c>
      <c r="N35" s="34">
        <f t="shared" ref="N35:O35" si="40">C35+L35</f>
        <v>235</v>
      </c>
      <c r="O35" s="34">
        <f t="shared" si="40"/>
        <v>21</v>
      </c>
      <c r="P35" s="49" t="s">
        <v>58</v>
      </c>
      <c r="Q35" s="49" t="s">
        <v>58</v>
      </c>
      <c r="R35" s="49"/>
      <c r="S35" s="50">
        <f t="shared" si="4"/>
        <v>11</v>
      </c>
      <c r="T35" s="52">
        <f t="shared" si="5"/>
        <v>0</v>
      </c>
      <c r="U35" s="52"/>
      <c r="V35" s="50">
        <f t="shared" si="6"/>
        <v>8</v>
      </c>
      <c r="W35" s="52">
        <f t="shared" si="7"/>
        <v>-5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100</v>
      </c>
      <c r="C36" s="34">
        <v>215.0</v>
      </c>
      <c r="D36" s="34">
        <v>16.0</v>
      </c>
      <c r="E36" s="35">
        <f t="shared" si="2"/>
        <v>13.4</v>
      </c>
      <c r="F36" s="95">
        <v>1.0</v>
      </c>
      <c r="G36" s="96">
        <v>6.0</v>
      </c>
      <c r="H36" s="97">
        <v>0.0</v>
      </c>
      <c r="I36" s="96">
        <v>3.0</v>
      </c>
      <c r="J36" s="96">
        <v>4.0</v>
      </c>
      <c r="K36" s="96">
        <v>6.0</v>
      </c>
      <c r="L36" s="98">
        <v>13.0</v>
      </c>
      <c r="M36" s="96">
        <v>1.0</v>
      </c>
      <c r="N36" s="34">
        <f t="shared" ref="N36:O36" si="41">C36+L36</f>
        <v>228</v>
      </c>
      <c r="O36" s="34">
        <f t="shared" si="41"/>
        <v>17</v>
      </c>
      <c r="P36" s="49" t="s">
        <v>58</v>
      </c>
      <c r="Q36" s="49" t="s">
        <v>58</v>
      </c>
      <c r="R36" s="49"/>
      <c r="S36" s="50">
        <f t="shared" si="4"/>
        <v>10</v>
      </c>
      <c r="T36" s="52">
        <f t="shared" si="5"/>
        <v>0</v>
      </c>
      <c r="U36" s="52"/>
      <c r="V36" s="50">
        <f t="shared" si="6"/>
        <v>9</v>
      </c>
      <c r="W36" s="52">
        <f t="shared" si="7"/>
        <v>-4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60</v>
      </c>
      <c r="C37" s="34">
        <v>214.0</v>
      </c>
      <c r="D37" s="34">
        <v>21.0</v>
      </c>
      <c r="E37" s="35">
        <f t="shared" si="2"/>
        <v>11.6875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2">C37+L37</f>
        <v>223</v>
      </c>
      <c r="O37" s="34">
        <f t="shared" si="42"/>
        <v>21</v>
      </c>
      <c r="P37" s="49" t="s">
        <v>58</v>
      </c>
      <c r="Q37" s="49" t="s">
        <v>58</v>
      </c>
      <c r="R37" s="49"/>
      <c r="S37" s="50">
        <f t="shared" si="4"/>
        <v>16</v>
      </c>
      <c r="T37" s="52">
        <f t="shared" si="5"/>
        <v>0</v>
      </c>
      <c r="U37" s="52"/>
      <c r="V37" s="50">
        <f t="shared" si="6"/>
        <v>3</v>
      </c>
      <c r="W37" s="52">
        <f t="shared" si="7"/>
        <v>2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122</v>
      </c>
      <c r="C38" s="34">
        <v>212.0</v>
      </c>
      <c r="D38" s="34">
        <v>15.0</v>
      </c>
      <c r="E38" s="35">
        <f t="shared" si="2"/>
        <v>13.55555556</v>
      </c>
      <c r="F38" s="95">
        <v>1.0</v>
      </c>
      <c r="G38" s="96">
        <v>6.0</v>
      </c>
      <c r="H38" s="97">
        <v>0.0</v>
      </c>
      <c r="I38" s="96">
        <v>3.0</v>
      </c>
      <c r="J38" s="96">
        <v>6.0</v>
      </c>
      <c r="K38" s="96">
        <v>1.0</v>
      </c>
      <c r="L38" s="98">
        <v>10.0</v>
      </c>
      <c r="M38" s="96">
        <v>1.0</v>
      </c>
      <c r="N38" s="34">
        <f t="shared" ref="N38:O38" si="43">C38+L38</f>
        <v>222</v>
      </c>
      <c r="O38" s="34">
        <f t="shared" si="43"/>
        <v>16</v>
      </c>
      <c r="P38" s="49" t="s">
        <v>58</v>
      </c>
      <c r="Q38" s="49" t="s">
        <v>58</v>
      </c>
      <c r="R38" s="49"/>
      <c r="S38" s="50">
        <f t="shared" si="4"/>
        <v>9</v>
      </c>
      <c r="T38" s="52">
        <f t="shared" si="5"/>
        <v>0</v>
      </c>
      <c r="U38" s="52"/>
      <c r="V38" s="50">
        <f t="shared" si="6"/>
        <v>10</v>
      </c>
      <c r="W38" s="52">
        <f t="shared" si="7"/>
        <v>-2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99</v>
      </c>
      <c r="C39" s="34">
        <v>212.0</v>
      </c>
      <c r="D39" s="34">
        <v>13.0</v>
      </c>
      <c r="E39" s="35">
        <f t="shared" si="2"/>
        <v>12.36363636</v>
      </c>
      <c r="F39" s="95">
        <v>2.0</v>
      </c>
      <c r="G39" s="96">
        <v>6.0</v>
      </c>
      <c r="H39" s="97">
        <v>0.0</v>
      </c>
      <c r="I39" s="96">
        <v>6.0</v>
      </c>
      <c r="J39" s="96">
        <v>4.0</v>
      </c>
      <c r="K39" s="96">
        <v>1.0</v>
      </c>
      <c r="L39" s="98">
        <v>11.0</v>
      </c>
      <c r="M39" s="96">
        <v>1.0</v>
      </c>
      <c r="N39" s="34">
        <f t="shared" ref="N39:O39" si="44">C39+L39</f>
        <v>223</v>
      </c>
      <c r="O39" s="34">
        <f t="shared" si="44"/>
        <v>14</v>
      </c>
      <c r="P39" s="49" t="s">
        <v>58</v>
      </c>
      <c r="Q39" s="49" t="s">
        <v>58</v>
      </c>
      <c r="R39" s="49"/>
      <c r="S39" s="50">
        <f t="shared" si="4"/>
        <v>11</v>
      </c>
      <c r="T39" s="52">
        <f t="shared" si="5"/>
        <v>1</v>
      </c>
      <c r="U39" s="52"/>
      <c r="V39" s="50">
        <f t="shared" si="6"/>
        <v>7</v>
      </c>
      <c r="W39" s="52">
        <f t="shared" si="7"/>
        <v>1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106</v>
      </c>
      <c r="C40" s="34">
        <v>211.0</v>
      </c>
      <c r="D40" s="34">
        <v>18.0</v>
      </c>
      <c r="E40" s="35">
        <f t="shared" si="2"/>
        <v>12</v>
      </c>
      <c r="F40" s="95">
        <v>3.0</v>
      </c>
      <c r="G40" s="96">
        <v>0.0</v>
      </c>
      <c r="H40" s="97">
        <v>9.0</v>
      </c>
      <c r="I40" s="96">
        <v>0.0</v>
      </c>
      <c r="J40" s="96">
        <v>0.0</v>
      </c>
      <c r="K40" s="96">
        <v>0.0</v>
      </c>
      <c r="L40" s="98">
        <v>9.0</v>
      </c>
      <c r="M40" s="96">
        <v>0.0</v>
      </c>
      <c r="N40" s="34">
        <f t="shared" ref="N40:O40" si="45">C40+L40</f>
        <v>220</v>
      </c>
      <c r="O40" s="34">
        <f t="shared" si="45"/>
        <v>18</v>
      </c>
      <c r="P40" s="49" t="s">
        <v>58</v>
      </c>
      <c r="Q40" s="49" t="s">
        <v>58</v>
      </c>
      <c r="R40" s="49"/>
      <c r="S40" s="50">
        <f t="shared" si="4"/>
        <v>12</v>
      </c>
      <c r="T40" s="52">
        <f t="shared" si="5"/>
        <v>1</v>
      </c>
      <c r="U40" s="52"/>
      <c r="V40" s="50">
        <f t="shared" si="6"/>
        <v>6</v>
      </c>
      <c r="W40" s="52">
        <f t="shared" si="7"/>
        <v>-3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129</v>
      </c>
      <c r="C41" s="34">
        <v>208.0</v>
      </c>
      <c r="D41" s="34">
        <v>20.0</v>
      </c>
      <c r="E41" s="35">
        <f t="shared" si="2"/>
        <v>11.3125</v>
      </c>
      <c r="F41" s="95">
        <v>1.0</v>
      </c>
      <c r="G41" s="96">
        <v>7.0</v>
      </c>
      <c r="H41" s="97">
        <v>0.0</v>
      </c>
      <c r="I41" s="96">
        <v>3.0</v>
      </c>
      <c r="J41" s="96">
        <v>4.0</v>
      </c>
      <c r="K41" s="96">
        <v>6.0</v>
      </c>
      <c r="L41" s="98">
        <v>13.0</v>
      </c>
      <c r="M41" s="96">
        <v>1.0</v>
      </c>
      <c r="N41" s="34">
        <f t="shared" ref="N41:O41" si="46">C41+L41</f>
        <v>221</v>
      </c>
      <c r="O41" s="34">
        <f t="shared" si="46"/>
        <v>21</v>
      </c>
      <c r="P41" s="49" t="s">
        <v>58</v>
      </c>
      <c r="Q41" s="49" t="s">
        <v>58</v>
      </c>
      <c r="R41" s="49"/>
      <c r="S41" s="50">
        <f t="shared" si="4"/>
        <v>16</v>
      </c>
      <c r="T41" s="52">
        <f t="shared" si="5"/>
        <v>0</v>
      </c>
      <c r="U41" s="52"/>
      <c r="V41" s="50">
        <f t="shared" si="6"/>
        <v>3</v>
      </c>
      <c r="W41" s="52">
        <f t="shared" si="7"/>
        <v>1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138</v>
      </c>
      <c r="C42" s="34">
        <v>208.0</v>
      </c>
      <c r="D42" s="34">
        <v>14.0</v>
      </c>
      <c r="E42" s="35">
        <f t="shared" si="2"/>
        <v>12.7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7">C42+L42</f>
        <v>217</v>
      </c>
      <c r="O42" s="34">
        <f t="shared" si="47"/>
        <v>14</v>
      </c>
      <c r="P42" s="49" t="s">
        <v>58</v>
      </c>
      <c r="Q42" s="49" t="s">
        <v>58</v>
      </c>
      <c r="R42" s="49"/>
      <c r="S42" s="50">
        <f t="shared" si="4"/>
        <v>10</v>
      </c>
      <c r="T42" s="52">
        <f t="shared" si="5"/>
        <v>0</v>
      </c>
      <c r="U42" s="52"/>
      <c r="V42" s="50">
        <f t="shared" si="6"/>
        <v>9</v>
      </c>
      <c r="W42" s="52">
        <f t="shared" si="7"/>
        <v>-1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137</v>
      </c>
      <c r="C43" s="34">
        <v>207.0</v>
      </c>
      <c r="D43" s="34">
        <v>16.0</v>
      </c>
      <c r="E43" s="35">
        <f t="shared" si="2"/>
        <v>11.76923077</v>
      </c>
      <c r="F43" s="95">
        <v>1.0</v>
      </c>
      <c r="G43" s="96">
        <v>7.0</v>
      </c>
      <c r="H43" s="97">
        <v>0.0</v>
      </c>
      <c r="I43" s="96">
        <v>3.0</v>
      </c>
      <c r="J43" s="96">
        <v>6.0</v>
      </c>
      <c r="K43" s="96">
        <v>0.0</v>
      </c>
      <c r="L43" s="98">
        <v>9.0</v>
      </c>
      <c r="M43" s="96">
        <v>1.0</v>
      </c>
      <c r="N43" s="34">
        <f t="shared" ref="N43:O43" si="48">C43+L43</f>
        <v>216</v>
      </c>
      <c r="O43" s="34">
        <f t="shared" si="48"/>
        <v>17</v>
      </c>
      <c r="P43" s="49" t="s">
        <v>58</v>
      </c>
      <c r="Q43" s="49" t="s">
        <v>58</v>
      </c>
      <c r="R43" s="49"/>
      <c r="S43" s="50">
        <f t="shared" si="4"/>
        <v>13</v>
      </c>
      <c r="T43" s="52">
        <f t="shared" si="5"/>
        <v>0</v>
      </c>
      <c r="U43" s="52"/>
      <c r="V43" s="50">
        <f t="shared" si="6"/>
        <v>6</v>
      </c>
      <c r="W43" s="52">
        <f t="shared" si="7"/>
        <v>2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204.0</v>
      </c>
      <c r="D44" s="34">
        <v>12.0</v>
      </c>
      <c r="E44" s="35">
        <f t="shared" si="2"/>
        <v>11.9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213</v>
      </c>
      <c r="O44" s="34">
        <f t="shared" si="49"/>
        <v>12</v>
      </c>
      <c r="P44" s="49" t="s">
        <v>58</v>
      </c>
      <c r="Q44" s="49" t="s">
        <v>58</v>
      </c>
      <c r="R44" s="49"/>
      <c r="S44" s="50">
        <f t="shared" si="4"/>
        <v>10</v>
      </c>
      <c r="T44" s="52">
        <f t="shared" si="5"/>
        <v>1</v>
      </c>
      <c r="U44" s="52"/>
      <c r="V44" s="50">
        <f t="shared" si="6"/>
        <v>8</v>
      </c>
      <c r="W44" s="52">
        <f t="shared" si="7"/>
        <v>0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132</v>
      </c>
      <c r="C45" s="34">
        <v>202.0</v>
      </c>
      <c r="D45" s="34">
        <v>12.0</v>
      </c>
      <c r="E45" s="35">
        <f t="shared" si="2"/>
        <v>13.42857143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211</v>
      </c>
      <c r="O45" s="34">
        <f t="shared" si="50"/>
        <v>12</v>
      </c>
      <c r="P45" s="49" t="s">
        <v>58</v>
      </c>
      <c r="Q45" s="49" t="s">
        <v>58</v>
      </c>
      <c r="R45" s="49"/>
      <c r="S45" s="50">
        <f t="shared" si="4"/>
        <v>7</v>
      </c>
      <c r="T45" s="52">
        <f t="shared" si="5"/>
        <v>0</v>
      </c>
      <c r="U45" s="52"/>
      <c r="V45" s="50">
        <f t="shared" si="6"/>
        <v>12</v>
      </c>
      <c r="W45" s="52">
        <f t="shared" si="7"/>
        <v>-2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139</v>
      </c>
      <c r="C46" s="34">
        <v>195.0</v>
      </c>
      <c r="D46" s="34">
        <v>14.0</v>
      </c>
      <c r="E46" s="35">
        <f t="shared" si="2"/>
        <v>11</v>
      </c>
      <c r="F46" s="95">
        <v>1.0</v>
      </c>
      <c r="G46" s="96">
        <v>7.0</v>
      </c>
      <c r="H46" s="97">
        <v>0.0</v>
      </c>
      <c r="I46" s="96">
        <v>6.0</v>
      </c>
      <c r="J46" s="96">
        <v>4.0</v>
      </c>
      <c r="K46" s="96">
        <v>0.0</v>
      </c>
      <c r="L46" s="98">
        <v>10.0</v>
      </c>
      <c r="M46" s="96">
        <v>1.0</v>
      </c>
      <c r="N46" s="34">
        <f t="shared" ref="N46:O46" si="51">C46+L46</f>
        <v>205</v>
      </c>
      <c r="O46" s="34">
        <f t="shared" si="51"/>
        <v>15</v>
      </c>
      <c r="P46" s="49" t="s">
        <v>58</v>
      </c>
      <c r="Q46" s="49" t="s">
        <v>58</v>
      </c>
      <c r="R46" s="49"/>
      <c r="S46" s="50">
        <f t="shared" si="4"/>
        <v>12</v>
      </c>
      <c r="T46" s="52">
        <f t="shared" si="5"/>
        <v>0</v>
      </c>
      <c r="U46" s="52"/>
      <c r="V46" s="50">
        <f t="shared" si="6"/>
        <v>7</v>
      </c>
      <c r="W46" s="52">
        <f t="shared" si="7"/>
        <v>0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75</v>
      </c>
      <c r="C47" s="34">
        <v>195.0</v>
      </c>
      <c r="D47" s="34">
        <v>8.0</v>
      </c>
      <c r="E47" s="35">
        <f t="shared" si="2"/>
        <v>12.42857143</v>
      </c>
      <c r="F47" s="95">
        <v>1.0</v>
      </c>
      <c r="G47" s="96">
        <v>7.0</v>
      </c>
      <c r="H47" s="97">
        <v>0.0</v>
      </c>
      <c r="I47" s="96">
        <v>6.0</v>
      </c>
      <c r="J47" s="96">
        <v>6.0</v>
      </c>
      <c r="K47" s="96">
        <v>6.0</v>
      </c>
      <c r="L47" s="98">
        <v>18.0</v>
      </c>
      <c r="M47" s="96">
        <v>3.0</v>
      </c>
      <c r="N47" s="34">
        <f t="shared" ref="N47:O47" si="52">C47+L47</f>
        <v>213</v>
      </c>
      <c r="O47" s="34">
        <f t="shared" si="52"/>
        <v>11</v>
      </c>
      <c r="P47" s="49" t="s">
        <v>58</v>
      </c>
      <c r="Q47" s="49" t="s">
        <v>58</v>
      </c>
      <c r="R47" s="49"/>
      <c r="S47" s="50">
        <f t="shared" si="4"/>
        <v>7</v>
      </c>
      <c r="T47" s="52">
        <f t="shared" si="5"/>
        <v>0</v>
      </c>
      <c r="U47" s="52"/>
      <c r="V47" s="50">
        <f t="shared" si="6"/>
        <v>12</v>
      </c>
      <c r="W47" s="52">
        <f t="shared" si="7"/>
        <v>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194.0</v>
      </c>
      <c r="D48" s="34">
        <v>16.0</v>
      </c>
      <c r="E48" s="35">
        <f t="shared" si="2"/>
        <v>10.53333333</v>
      </c>
      <c r="F48" s="95">
        <v>1.0</v>
      </c>
      <c r="G48" s="96">
        <v>8.0</v>
      </c>
      <c r="H48" s="97">
        <v>0.0</v>
      </c>
      <c r="I48" s="96">
        <v>3.0</v>
      </c>
      <c r="J48" s="96">
        <v>6.0</v>
      </c>
      <c r="K48" s="96">
        <v>0.0</v>
      </c>
      <c r="L48" s="98">
        <v>9.0</v>
      </c>
      <c r="M48" s="96">
        <v>1.0</v>
      </c>
      <c r="N48" s="34">
        <f t="shared" ref="N48:O48" si="53">C48+L48</f>
        <v>203</v>
      </c>
      <c r="O48" s="34">
        <f t="shared" si="53"/>
        <v>17</v>
      </c>
      <c r="P48" s="49" t="s">
        <v>58</v>
      </c>
      <c r="Q48" s="49" t="s">
        <v>58</v>
      </c>
      <c r="R48" s="49"/>
      <c r="S48" s="50">
        <f t="shared" si="4"/>
        <v>15</v>
      </c>
      <c r="T48" s="52">
        <f t="shared" si="5"/>
        <v>0</v>
      </c>
      <c r="U48" s="52"/>
      <c r="V48" s="50">
        <f t="shared" si="6"/>
        <v>4</v>
      </c>
      <c r="W48" s="52">
        <f t="shared" si="7"/>
        <v>-1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108</v>
      </c>
      <c r="C49" s="34">
        <v>191.0</v>
      </c>
      <c r="D49" s="34">
        <v>8.0</v>
      </c>
      <c r="E49" s="35">
        <f t="shared" si="2"/>
        <v>10.53846154</v>
      </c>
      <c r="F49" s="95">
        <v>1.0</v>
      </c>
      <c r="G49" s="96">
        <v>8.0</v>
      </c>
      <c r="H49" s="97">
        <v>0.0</v>
      </c>
      <c r="I49" s="96">
        <v>6.0</v>
      </c>
      <c r="J49" s="96">
        <v>2.0</v>
      </c>
      <c r="K49" s="96">
        <v>0.0</v>
      </c>
      <c r="L49" s="98">
        <v>8.0</v>
      </c>
      <c r="M49" s="96">
        <v>1.0</v>
      </c>
      <c r="N49" s="34">
        <f t="shared" ref="N49:O49" si="54">C49+L49</f>
        <v>199</v>
      </c>
      <c r="O49" s="34">
        <f t="shared" si="54"/>
        <v>9</v>
      </c>
      <c r="P49" s="49" t="s">
        <v>58</v>
      </c>
      <c r="Q49" s="49" t="s">
        <v>58</v>
      </c>
      <c r="R49" s="49"/>
      <c r="S49" s="50">
        <f t="shared" si="4"/>
        <v>13</v>
      </c>
      <c r="T49" s="52">
        <f t="shared" si="5"/>
        <v>0</v>
      </c>
      <c r="U49" s="52"/>
      <c r="V49" s="50">
        <f t="shared" si="6"/>
        <v>6</v>
      </c>
      <c r="W49" s="52">
        <f t="shared" si="7"/>
        <v>0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47</v>
      </c>
      <c r="C50" s="34">
        <v>187.0</v>
      </c>
      <c r="D50" s="34">
        <v>8.0</v>
      </c>
      <c r="E50" s="35">
        <f t="shared" si="2"/>
        <v>14.33333333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196</v>
      </c>
      <c r="O50" s="34">
        <f t="shared" si="55"/>
        <v>8</v>
      </c>
      <c r="P50" s="49" t="s">
        <v>58</v>
      </c>
      <c r="Q50" s="49" t="s">
        <v>58</v>
      </c>
      <c r="R50" s="49"/>
      <c r="S50" s="50">
        <f t="shared" si="4"/>
        <v>3</v>
      </c>
      <c r="T50" s="52">
        <f t="shared" si="5"/>
        <v>0</v>
      </c>
      <c r="U50" s="52"/>
      <c r="V50" s="50">
        <f t="shared" si="6"/>
        <v>16</v>
      </c>
      <c r="W50" s="52">
        <f t="shared" si="7"/>
        <v>0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143</v>
      </c>
      <c r="C51" s="34">
        <v>187.0</v>
      </c>
      <c r="D51" s="34">
        <v>7.0</v>
      </c>
      <c r="E51" s="35">
        <f t="shared" si="2"/>
        <v>13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196</v>
      </c>
      <c r="O51" s="34">
        <f t="shared" si="56"/>
        <v>7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15</v>
      </c>
      <c r="W51" s="52">
        <f t="shared" si="7"/>
        <v>0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144</v>
      </c>
      <c r="C52" s="34">
        <v>184.0</v>
      </c>
      <c r="D52" s="34">
        <v>9.0</v>
      </c>
      <c r="E52" s="35">
        <f t="shared" si="2"/>
        <v>10.28571429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193</v>
      </c>
      <c r="O52" s="34">
        <f t="shared" si="57"/>
        <v>9</v>
      </c>
      <c r="P52" s="49" t="s">
        <v>58</v>
      </c>
      <c r="Q52" s="49" t="s">
        <v>58</v>
      </c>
      <c r="R52" s="49"/>
      <c r="S52" s="50">
        <f t="shared" si="4"/>
        <v>7</v>
      </c>
      <c r="T52" s="52">
        <f t="shared" si="5"/>
        <v>1</v>
      </c>
      <c r="U52" s="52"/>
      <c r="V52" s="50">
        <f t="shared" si="6"/>
        <v>11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121</v>
      </c>
      <c r="C53" s="34">
        <v>184.0</v>
      </c>
      <c r="D53" s="34">
        <v>7.0</v>
      </c>
      <c r="E53" s="35">
        <f t="shared" si="2"/>
        <v>11.25</v>
      </c>
      <c r="F53" s="95">
        <v>1.0</v>
      </c>
      <c r="G53" s="96">
        <v>8.0</v>
      </c>
      <c r="H53" s="97">
        <v>0.0</v>
      </c>
      <c r="I53" s="96">
        <v>6.0</v>
      </c>
      <c r="J53" s="96">
        <v>6.0</v>
      </c>
      <c r="K53" s="96">
        <v>6.0</v>
      </c>
      <c r="L53" s="98">
        <v>18.0</v>
      </c>
      <c r="M53" s="96">
        <v>3.0</v>
      </c>
      <c r="N53" s="34">
        <f t="shared" ref="N53:O53" si="58">C53+L53</f>
        <v>202</v>
      </c>
      <c r="O53" s="34">
        <f t="shared" si="58"/>
        <v>10</v>
      </c>
      <c r="P53" s="49" t="s">
        <v>58</v>
      </c>
      <c r="Q53" s="49" t="s">
        <v>58</v>
      </c>
      <c r="R53" s="49"/>
      <c r="S53" s="50">
        <f t="shared" si="4"/>
        <v>4</v>
      </c>
      <c r="T53" s="52">
        <f t="shared" si="5"/>
        <v>1</v>
      </c>
      <c r="U53" s="52"/>
      <c r="V53" s="50">
        <f t="shared" si="6"/>
        <v>14</v>
      </c>
      <c r="W53" s="52">
        <f t="shared" si="7"/>
        <v>0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105</v>
      </c>
      <c r="C54" s="34">
        <v>182.0</v>
      </c>
      <c r="D54" s="34">
        <v>8.0</v>
      </c>
      <c r="E54" s="35">
        <f t="shared" si="2"/>
        <v>11.75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191</v>
      </c>
      <c r="O54" s="34">
        <f t="shared" si="59"/>
        <v>8</v>
      </c>
      <c r="P54" s="49" t="s">
        <v>58</v>
      </c>
      <c r="Q54" s="49" t="s">
        <v>58</v>
      </c>
      <c r="R54" s="49"/>
      <c r="S54" s="50">
        <f t="shared" si="4"/>
        <v>4</v>
      </c>
      <c r="T54" s="52">
        <f t="shared" si="5"/>
        <v>0</v>
      </c>
      <c r="U54" s="52"/>
      <c r="V54" s="50">
        <f t="shared" si="6"/>
        <v>15</v>
      </c>
      <c r="W54" s="52">
        <f t="shared" si="7"/>
        <v>0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95</v>
      </c>
      <c r="C55" s="34">
        <v>182.0</v>
      </c>
      <c r="D55" s="34">
        <v>7.0</v>
      </c>
      <c r="E55" s="35">
        <f t="shared" si="2"/>
        <v>10.75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191</v>
      </c>
      <c r="O55" s="34">
        <f t="shared" si="60"/>
        <v>7</v>
      </c>
      <c r="P55" s="49" t="s">
        <v>58</v>
      </c>
      <c r="Q55" s="49" t="s">
        <v>58</v>
      </c>
      <c r="R55" s="49"/>
      <c r="S55" s="50">
        <f t="shared" si="4"/>
        <v>4</v>
      </c>
      <c r="T55" s="52">
        <f t="shared" si="5"/>
        <v>1</v>
      </c>
      <c r="U55" s="52"/>
      <c r="V55" s="50">
        <f t="shared" si="6"/>
        <v>14</v>
      </c>
      <c r="W55" s="52">
        <f t="shared" si="7"/>
        <v>0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140</v>
      </c>
      <c r="C56" s="34">
        <v>182.0</v>
      </c>
      <c r="D56" s="34">
        <v>7.0</v>
      </c>
      <c r="E56" s="35">
        <f t="shared" si="2"/>
        <v>12.66666667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191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3</v>
      </c>
      <c r="T56" s="52">
        <f t="shared" si="5"/>
        <v>0</v>
      </c>
      <c r="U56" s="52"/>
      <c r="V56" s="50">
        <f t="shared" si="6"/>
        <v>16</v>
      </c>
      <c r="W56" s="52">
        <f t="shared" si="7"/>
        <v>3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142</v>
      </c>
      <c r="C57" s="34">
        <v>179.0</v>
      </c>
      <c r="D57" s="34">
        <v>11.0</v>
      </c>
      <c r="E57" s="35">
        <f t="shared" si="2"/>
        <v>9.8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188</v>
      </c>
      <c r="O57" s="34">
        <f t="shared" si="62"/>
        <v>11</v>
      </c>
      <c r="P57" s="49" t="s">
        <v>58</v>
      </c>
      <c r="Q57" s="49" t="s">
        <v>58</v>
      </c>
      <c r="R57" s="49"/>
      <c r="S57" s="50">
        <f t="shared" si="4"/>
        <v>10</v>
      </c>
      <c r="T57" s="52">
        <f t="shared" si="5"/>
        <v>0</v>
      </c>
      <c r="U57" s="52"/>
      <c r="V57" s="50">
        <f t="shared" si="6"/>
        <v>9</v>
      </c>
      <c r="W57" s="52">
        <f t="shared" si="7"/>
        <v>1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69</v>
      </c>
      <c r="C58" s="34">
        <v>179.0</v>
      </c>
      <c r="D58" s="34">
        <v>7.0</v>
      </c>
      <c r="E58" s="35">
        <f t="shared" si="2"/>
        <v>11.66666667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188</v>
      </c>
      <c r="O58" s="34">
        <f t="shared" si="63"/>
        <v>7</v>
      </c>
      <c r="P58" s="49" t="s">
        <v>58</v>
      </c>
      <c r="Q58" s="49" t="s">
        <v>58</v>
      </c>
      <c r="R58" s="49"/>
      <c r="S58" s="50">
        <f t="shared" si="4"/>
        <v>3</v>
      </c>
      <c r="T58" s="52">
        <f t="shared" si="5"/>
        <v>0</v>
      </c>
      <c r="U58" s="52"/>
      <c r="V58" s="50">
        <f t="shared" si="6"/>
        <v>16</v>
      </c>
      <c r="W58" s="52">
        <f t="shared" si="7"/>
        <v>-2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145</v>
      </c>
      <c r="C59" s="34">
        <v>177.0</v>
      </c>
      <c r="D59" s="34">
        <v>9.0</v>
      </c>
      <c r="E59" s="35">
        <f t="shared" si="2"/>
        <v>9.75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186</v>
      </c>
      <c r="O59" s="34">
        <f t="shared" si="64"/>
        <v>9</v>
      </c>
      <c r="P59" s="49" t="s">
        <v>58</v>
      </c>
      <c r="Q59" s="49" t="s">
        <v>58</v>
      </c>
      <c r="R59" s="49"/>
      <c r="S59" s="50">
        <f t="shared" si="4"/>
        <v>8</v>
      </c>
      <c r="T59" s="52">
        <f t="shared" si="5"/>
        <v>0</v>
      </c>
      <c r="U59" s="52"/>
      <c r="V59" s="50">
        <f t="shared" si="6"/>
        <v>11</v>
      </c>
      <c r="W59" s="52">
        <f t="shared" si="7"/>
        <v>-2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171.0</v>
      </c>
      <c r="D60" s="34">
        <v>5.0</v>
      </c>
      <c r="E60" s="35">
        <f t="shared" si="2"/>
        <v>9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180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3</v>
      </c>
      <c r="T60" s="52">
        <f t="shared" si="5"/>
        <v>0</v>
      </c>
      <c r="U60" s="52"/>
      <c r="V60" s="50">
        <f t="shared" si="6"/>
        <v>16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146</v>
      </c>
      <c r="C61" s="34">
        <v>168.0</v>
      </c>
      <c r="D61" s="34">
        <v>5.0</v>
      </c>
      <c r="E61" s="35">
        <f t="shared" si="2"/>
        <v>7.6</v>
      </c>
      <c r="F61" s="95">
        <v>2.0</v>
      </c>
      <c r="G61" s="96">
        <v>8.0</v>
      </c>
      <c r="H61" s="97">
        <v>0.0</v>
      </c>
      <c r="I61" s="96">
        <v>3.0</v>
      </c>
      <c r="J61" s="96">
        <v>2.0</v>
      </c>
      <c r="K61" s="96">
        <v>6.0</v>
      </c>
      <c r="L61" s="98">
        <v>11.0</v>
      </c>
      <c r="M61" s="96">
        <v>1.0</v>
      </c>
      <c r="N61" s="34">
        <f t="shared" ref="N61:O61" si="66">C61+L61</f>
        <v>179</v>
      </c>
      <c r="O61" s="34">
        <f t="shared" si="66"/>
        <v>6</v>
      </c>
      <c r="P61" s="49" t="s">
        <v>58</v>
      </c>
      <c r="Q61" s="49" t="s">
        <v>58</v>
      </c>
      <c r="R61" s="49"/>
      <c r="S61" s="50">
        <f t="shared" si="4"/>
        <v>5</v>
      </c>
      <c r="T61" s="52">
        <f t="shared" si="5"/>
        <v>1</v>
      </c>
      <c r="U61" s="52"/>
      <c r="V61" s="50">
        <f t="shared" si="6"/>
        <v>13</v>
      </c>
      <c r="W61" s="52">
        <f t="shared" si="7"/>
        <v>2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147</v>
      </c>
      <c r="C62" s="34">
        <v>167.0</v>
      </c>
      <c r="D62" s="34">
        <v>4.0</v>
      </c>
      <c r="E62" s="35">
        <f t="shared" si="2"/>
        <v>7.666666667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176</v>
      </c>
      <c r="O62" s="34">
        <f t="shared" si="67"/>
        <v>4</v>
      </c>
      <c r="P62" s="49" t="s">
        <v>58</v>
      </c>
      <c r="Q62" s="49" t="s">
        <v>58</v>
      </c>
      <c r="R62" s="49"/>
      <c r="S62" s="50">
        <f t="shared" si="4"/>
        <v>3</v>
      </c>
      <c r="T62" s="52">
        <f t="shared" si="5"/>
        <v>0</v>
      </c>
      <c r="U62" s="52"/>
      <c r="V62" s="50">
        <f t="shared" si="6"/>
        <v>16</v>
      </c>
      <c r="W62" s="52">
        <f t="shared" si="7"/>
        <v>-1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148</v>
      </c>
      <c r="C63" s="34">
        <v>167.0</v>
      </c>
      <c r="D63" s="34">
        <v>1.0</v>
      </c>
      <c r="E63" s="35">
        <f t="shared" si="2"/>
        <v>7.4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176</v>
      </c>
      <c r="O63" s="34">
        <f t="shared" si="68"/>
        <v>1</v>
      </c>
      <c r="P63" s="49" t="s">
        <v>58</v>
      </c>
      <c r="Q63" s="49" t="s">
        <v>58</v>
      </c>
      <c r="R63" s="49"/>
      <c r="S63" s="50">
        <f t="shared" si="4"/>
        <v>5</v>
      </c>
      <c r="T63" s="52">
        <f t="shared" si="5"/>
        <v>1</v>
      </c>
      <c r="U63" s="52"/>
      <c r="V63" s="50">
        <f t="shared" si="6"/>
        <v>13</v>
      </c>
      <c r="W63" s="52">
        <f t="shared" si="7"/>
        <v>-1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162.0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171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19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162.0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171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19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162.0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171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19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101</v>
      </c>
      <c r="C67" s="34">
        <v>159.0</v>
      </c>
      <c r="D67" s="34">
        <v>7.0</v>
      </c>
      <c r="E67" s="35">
        <f t="shared" si="2"/>
        <v>7.909090909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168</v>
      </c>
      <c r="O67" s="34">
        <f t="shared" si="72"/>
        <v>7</v>
      </c>
      <c r="P67" s="49" t="s">
        <v>58</v>
      </c>
      <c r="Q67" s="49" t="s">
        <v>58</v>
      </c>
      <c r="R67" s="49"/>
      <c r="S67" s="50">
        <f t="shared" si="4"/>
        <v>11</v>
      </c>
      <c r="T67" s="52">
        <f t="shared" si="5"/>
        <v>0</v>
      </c>
      <c r="U67" s="52"/>
      <c r="V67" s="50">
        <f t="shared" si="6"/>
        <v>8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156.0</v>
      </c>
      <c r="D68" s="34">
        <v>1.0</v>
      </c>
      <c r="E68" s="35">
        <f t="shared" si="2"/>
        <v>1.5</v>
      </c>
      <c r="F68" s="95">
        <v>4.0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165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17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148.0</v>
      </c>
      <c r="D69" s="34">
        <v>1.0</v>
      </c>
      <c r="E69" s="35">
        <f t="shared" si="2"/>
        <v>3.25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157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4</v>
      </c>
      <c r="T69" s="52">
        <f t="shared" si="5"/>
        <v>0</v>
      </c>
      <c r="U69" s="52"/>
      <c r="V69" s="50">
        <f t="shared" si="6"/>
        <v>15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11/01/25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desc"",0)"),"Naveen Raj")</f>
        <v>Naveen Raj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IFERROR(__xludf.DUMMYFUNCTION("""COMPUTED_VALUE"""),6.0)</f>
        <v>6</v>
      </c>
      <c r="F81" s="1"/>
    </row>
    <row r="82">
      <c r="A82" s="1"/>
      <c r="B82" s="33" t="str">
        <f>IFERROR(__xludf.DUMMYFUNCTION("""COMPUTED_VALUE"""),"Rajesh Dorairaj")</f>
        <v>Rajesh Dorairaj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IFERROR(__xludf.DUMMYFUNCTION("""COMPUTED_VALUE"""),7.0)</f>
        <v>7</v>
      </c>
      <c r="F82" s="1"/>
    </row>
    <row r="83">
      <c r="A83" s="1"/>
      <c r="B83" s="33" t="str">
        <f>IFERROR(__xludf.DUMMYFUNCTION("""COMPUTED_VALUE"""),"Ted Shen")</f>
        <v>Ted Shen</v>
      </c>
      <c r="C83" s="117">
        <f>IFERROR(__xludf.DUMMYFUNCTION("""COMPUTED_VALUE"""),19.0)</f>
        <v>19</v>
      </c>
      <c r="D83" s="117">
        <f>IFERROR(__xludf.DUMMYFUNCTION("""COMPUTED_VALUE"""),2.0)</f>
        <v>2</v>
      </c>
      <c r="E83" s="117">
        <f>IFERROR(__xludf.DUMMYFUNCTION("""COMPUTED_VALUE"""),5.0)</f>
        <v>5</v>
      </c>
      <c r="F83" s="1"/>
    </row>
    <row r="84">
      <c r="A84" s="1"/>
      <c r="B84" s="33" t="str">
        <f>IFERROR(__xludf.DUMMYFUNCTION("""COMPUTED_VALUE"""),"Jimmy Awolesi")</f>
        <v>Jimmy Awolesi</v>
      </c>
      <c r="C84" s="117">
        <f>IFERROR(__xludf.DUMMYFUNCTION("""COMPUTED_VALUE"""),19.0)</f>
        <v>19</v>
      </c>
      <c r="D84" s="117">
        <f>IFERROR(__xludf.DUMMYFUNCTION("""COMPUTED_VALUE"""),2.0)</f>
        <v>2</v>
      </c>
      <c r="E84" s="117">
        <f>IFERROR(__xludf.DUMMYFUNCTION("""COMPUTED_VALUE"""),5.0)</f>
        <v>5</v>
      </c>
      <c r="F84" s="1"/>
    </row>
    <row r="85">
      <c r="A85" s="1"/>
      <c r="B85" s="33" t="str">
        <f>IFERROR(__xludf.DUMMYFUNCTION("""COMPUTED_VALUE"""),"Eric Pan")</f>
        <v>Eric Pan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IFERROR(__xludf.DUMMYFUNCTION("""COMPUTED_VALUE"""),3.0)</f>
        <v>3</v>
      </c>
      <c r="F85" s="1"/>
    </row>
    <row r="86">
      <c r="A86" s="1"/>
      <c r="B86" s="33" t="str">
        <f>IFERROR(__xludf.DUMMYFUNCTION("""COMPUTED_VALUE"""),"Herman Au")</f>
        <v>Herman Au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IFERROR(__xludf.DUMMYFUNCTION("""COMPUTED_VALUE"""),4.0)</f>
        <v>4</v>
      </c>
      <c r="F86" s="1"/>
    </row>
    <row r="87">
      <c r="A87" s="1"/>
      <c r="B87" s="33" t="str">
        <f>IFERROR(__xludf.DUMMYFUNCTION("""COMPUTED_VALUE"""),"Sanjaye Elayattu")</f>
        <v>Sanjaye Elayattu</v>
      </c>
      <c r="C87" s="117">
        <f>IFERROR(__xludf.DUMMYFUNCTION("""COMPUTED_VALUE"""),18.0)</f>
        <v>18</v>
      </c>
      <c r="D87" s="117">
        <f>IFERROR(__xludf.DUMMYFUNCTION("""COMPUTED_VALUE"""),3.0)</f>
        <v>3</v>
      </c>
      <c r="E87" s="117">
        <f>IFERROR(__xludf.DUMMYFUNCTION("""COMPUTED_VALUE"""),8.0)</f>
        <v>8</v>
      </c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10"")"),"Jimmy Awolesi")</f>
        <v>Jimmy Awolesi</v>
      </c>
      <c r="C100" s="117">
        <f>IFERROR(__xludf.DUMMYFUNCTION("""COMPUTED_VALUE"""),9.0)</f>
        <v>9</v>
      </c>
      <c r="D100" s="117">
        <f t="shared" ref="D100:D109" si="75">VLOOKUP(B100,indirect($AC$2&amp;"!B$5:X$69"),23, false)</f>
        <v>29</v>
      </c>
      <c r="E100" s="117">
        <f t="shared" ref="E100:E109" si="76">VLOOKUP(B100,B$5:X$69,23, false)</f>
        <v>20</v>
      </c>
      <c r="F100" s="117">
        <f t="shared" ref="F100:F109" si="77">VLOOKUP(B100,indirect($AC$2&amp;"!B$5:U$70"),11, false)</f>
        <v>19</v>
      </c>
      <c r="G100" s="117">
        <f t="shared" ref="G100:G109" si="78">VLOOKUP(B100,indirect($AC$2&amp;"!B$5:U$70"),6, false)</f>
        <v>5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IFERROR(__xludf.DUMMYFUNCTION("""COMPUTED_VALUE"""),"Ted Shen")</f>
        <v>Ted Shen</v>
      </c>
      <c r="C101" s="117">
        <f>IFERROR(__xludf.DUMMYFUNCTION("""COMPUTED_VALUE"""),8.0)</f>
        <v>8</v>
      </c>
      <c r="D101" s="117">
        <f t="shared" si="75"/>
        <v>27</v>
      </c>
      <c r="E101" s="117">
        <f t="shared" si="76"/>
        <v>19</v>
      </c>
      <c r="F101" s="117">
        <f t="shared" si="77"/>
        <v>19</v>
      </c>
      <c r="G101" s="117">
        <f t="shared" si="78"/>
        <v>5</v>
      </c>
      <c r="L101" s="117" t="str">
        <f t="shared" si="79"/>
        <v>ok</v>
      </c>
    </row>
    <row r="102">
      <c r="A102" s="1"/>
      <c r="B102" s="33" t="str">
        <f>IFERROR(__xludf.DUMMYFUNCTION("""COMPUTED_VALUE"""),"Naveen Raj")</f>
        <v>Naveen Raj</v>
      </c>
      <c r="C102" s="117">
        <f>IFERROR(__xludf.DUMMYFUNCTION("""COMPUTED_VALUE"""),7.0)</f>
        <v>7</v>
      </c>
      <c r="D102" s="117">
        <f t="shared" si="75"/>
        <v>34</v>
      </c>
      <c r="E102" s="117">
        <f t="shared" si="76"/>
        <v>27</v>
      </c>
      <c r="F102" s="117">
        <f t="shared" si="77"/>
        <v>19</v>
      </c>
      <c r="G102" s="117">
        <f t="shared" si="78"/>
        <v>6</v>
      </c>
      <c r="L102" s="117" t="str">
        <f t="shared" si="79"/>
        <v>ok</v>
      </c>
    </row>
    <row r="103">
      <c r="A103" s="1"/>
      <c r="B103" s="33" t="str">
        <f>IFERROR(__xludf.DUMMYFUNCTION("""COMPUTED_VALUE"""),"Eric Pan")</f>
        <v>Eric Pan</v>
      </c>
      <c r="C103" s="117">
        <f>IFERROR(__xludf.DUMMYFUNCTION("""COMPUTED_VALUE"""),6.0)</f>
        <v>6</v>
      </c>
      <c r="D103" s="117">
        <f t="shared" si="75"/>
        <v>20</v>
      </c>
      <c r="E103" s="117">
        <f t="shared" si="76"/>
        <v>14</v>
      </c>
      <c r="F103" s="117">
        <f t="shared" si="77"/>
        <v>18</v>
      </c>
      <c r="G103" s="117">
        <f t="shared" si="78"/>
        <v>3</v>
      </c>
      <c r="L103" s="117" t="str">
        <f t="shared" si="79"/>
        <v>ok</v>
      </c>
    </row>
    <row r="104">
      <c r="A104" s="1"/>
      <c r="B104" s="33" t="str">
        <f>IFERROR(__xludf.DUMMYFUNCTION("""COMPUTED_VALUE"""),"Herman Au")</f>
        <v>Herman Au</v>
      </c>
      <c r="C104" s="117">
        <f>IFERROR(__xludf.DUMMYFUNCTION("""COMPUTED_VALUE"""),6.0)</f>
        <v>6</v>
      </c>
      <c r="D104" s="117">
        <f t="shared" si="75"/>
        <v>22</v>
      </c>
      <c r="E104" s="117">
        <f t="shared" si="76"/>
        <v>16</v>
      </c>
      <c r="F104" s="117">
        <f t="shared" si="77"/>
        <v>18</v>
      </c>
      <c r="G104" s="117">
        <f t="shared" si="78"/>
        <v>4</v>
      </c>
      <c r="L104" s="117" t="str">
        <f t="shared" si="79"/>
        <v>ok</v>
      </c>
    </row>
    <row r="105">
      <c r="A105" s="1"/>
      <c r="B105" s="33" t="str">
        <f>IFERROR(__xludf.DUMMYFUNCTION("""COMPUTED_VALUE"""),"Matthew Huang")</f>
        <v>Matthew Huang</v>
      </c>
      <c r="C105" s="117">
        <f>IFERROR(__xludf.DUMMYFUNCTION("""COMPUTED_VALUE"""),4.0)</f>
        <v>4</v>
      </c>
      <c r="D105" s="117">
        <f t="shared" si="75"/>
        <v>8</v>
      </c>
      <c r="E105" s="117">
        <f t="shared" si="76"/>
        <v>4</v>
      </c>
      <c r="F105" s="117">
        <f t="shared" si="77"/>
        <v>16</v>
      </c>
      <c r="G105" s="117">
        <f t="shared" si="78"/>
        <v>2</v>
      </c>
      <c r="L105" s="117" t="str">
        <f t="shared" si="79"/>
        <v>ok</v>
      </c>
    </row>
    <row r="106">
      <c r="A106" s="1"/>
      <c r="B106" s="33" t="str">
        <f>IFERROR(__xludf.DUMMYFUNCTION("""COMPUTED_VALUE"""),"Suleman Alidina")</f>
        <v>Suleman Alidina</v>
      </c>
      <c r="C106" s="117">
        <f>IFERROR(__xludf.DUMMYFUNCTION("""COMPUTED_VALUE"""),3.0)</f>
        <v>3</v>
      </c>
      <c r="D106" s="117">
        <f t="shared" si="75"/>
        <v>31</v>
      </c>
      <c r="E106" s="117">
        <f t="shared" si="76"/>
        <v>28</v>
      </c>
      <c r="F106" s="117">
        <f t="shared" si="77"/>
        <v>15</v>
      </c>
      <c r="G106" s="117">
        <f t="shared" si="78"/>
        <v>5</v>
      </c>
      <c r="L106" s="117" t="str">
        <f t="shared" si="79"/>
        <v>ok</v>
      </c>
    </row>
    <row r="107">
      <c r="A107" s="1"/>
      <c r="B107" s="33" t="str">
        <f>IFERROR(__xludf.DUMMYFUNCTION("""COMPUTED_VALUE"""),"Sanjaye Elayattu")</f>
        <v>Sanjaye Elayattu</v>
      </c>
      <c r="C107" s="117">
        <f>IFERROR(__xludf.DUMMYFUNCTION("""COMPUTED_VALUE"""),3.0)</f>
        <v>3</v>
      </c>
      <c r="D107" s="117">
        <f t="shared" si="75"/>
        <v>55</v>
      </c>
      <c r="E107" s="117">
        <f t="shared" si="76"/>
        <v>52</v>
      </c>
      <c r="F107" s="117">
        <f t="shared" si="77"/>
        <v>18</v>
      </c>
      <c r="G107" s="117">
        <f t="shared" si="78"/>
        <v>8</v>
      </c>
      <c r="L107" s="117" t="str">
        <f t="shared" si="79"/>
        <v>ok</v>
      </c>
    </row>
    <row r="108">
      <c r="A108" s="1"/>
      <c r="B108" s="33" t="str">
        <f>IFERROR(__xludf.DUMMYFUNCTION("""COMPUTED_VALUE"""),"Sandeep Kamalon")</f>
        <v>Sandeep Kamalon</v>
      </c>
      <c r="C108" s="117">
        <f>IFERROR(__xludf.DUMMYFUNCTION("""COMPUTED_VALUE"""),2.0)</f>
        <v>2</v>
      </c>
      <c r="D108" s="117">
        <f t="shared" si="75"/>
        <v>7</v>
      </c>
      <c r="E108" s="117">
        <f t="shared" si="76"/>
        <v>5</v>
      </c>
      <c r="F108" s="117">
        <f t="shared" si="77"/>
        <v>14</v>
      </c>
      <c r="G108" s="117">
        <f t="shared" si="78"/>
        <v>1</v>
      </c>
      <c r="L108" s="117" t="str">
        <f t="shared" si="79"/>
        <v>ok</v>
      </c>
    </row>
    <row r="109">
      <c r="A109" s="1"/>
      <c r="B109" s="33" t="str">
        <f>IFERROR(__xludf.DUMMYFUNCTION("""COMPUTED_VALUE"""),"Pavan Akkimsetty")</f>
        <v>Pavan Akkimsetty</v>
      </c>
      <c r="C109" s="117">
        <f>IFERROR(__xludf.DUMMYFUNCTION("""COMPUTED_VALUE"""),2.0)</f>
        <v>2</v>
      </c>
      <c r="D109" s="117">
        <f t="shared" si="75"/>
        <v>12</v>
      </c>
      <c r="E109" s="117">
        <f t="shared" si="76"/>
        <v>10</v>
      </c>
      <c r="F109" s="117">
        <f t="shared" si="77"/>
        <v>14</v>
      </c>
      <c r="G109" s="117">
        <f t="shared" si="78"/>
        <v>2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19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269</v>
      </c>
      <c r="D118" s="117">
        <f t="shared" si="80"/>
        <v>33</v>
      </c>
      <c r="E118" s="117">
        <f t="shared" si="80"/>
        <v>17.16666667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254</v>
      </c>
      <c r="D119" s="117">
        <f t="shared" si="81"/>
        <v>29</v>
      </c>
      <c r="E119" s="117">
        <f t="shared" si="81"/>
        <v>15.58333333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249</v>
      </c>
      <c r="D120" s="117">
        <f t="shared" si="82"/>
        <v>24</v>
      </c>
      <c r="E120" s="117">
        <f t="shared" si="82"/>
        <v>13.875</v>
      </c>
      <c r="F120" s="1"/>
    </row>
    <row r="121">
      <c r="A121" s="117">
        <f t="shared" ref="A121:E121" si="83">A8</f>
        <v>4</v>
      </c>
      <c r="B121" s="33" t="str">
        <f t="shared" si="83"/>
        <v>Matthew Huang</v>
      </c>
      <c r="C121" s="117">
        <f t="shared" si="83"/>
        <v>247</v>
      </c>
      <c r="D121" s="117">
        <f t="shared" si="83"/>
        <v>26</v>
      </c>
      <c r="E121" s="117">
        <f t="shared" si="83"/>
        <v>15.33333333</v>
      </c>
      <c r="F121" s="1"/>
    </row>
    <row r="122">
      <c r="A122" s="117">
        <f t="shared" ref="A122:E122" si="84">A9</f>
        <v>5</v>
      </c>
      <c r="B122" s="33" t="str">
        <f t="shared" si="84"/>
        <v>Sandeep Kamalon</v>
      </c>
      <c r="C122" s="117">
        <f t="shared" si="84"/>
        <v>245</v>
      </c>
      <c r="D122" s="117">
        <f t="shared" si="84"/>
        <v>28</v>
      </c>
      <c r="E122" s="117">
        <f t="shared" si="84"/>
        <v>13.11764706</v>
      </c>
      <c r="F122" s="1"/>
    </row>
    <row r="123">
      <c r="A123" s="117">
        <f t="shared" ref="A123:E123" si="85">A10</f>
        <v>6</v>
      </c>
      <c r="B123" s="33" t="str">
        <f t="shared" si="85"/>
        <v>Pulkit Mathur</v>
      </c>
      <c r="C123" s="117">
        <f t="shared" si="85"/>
        <v>243</v>
      </c>
      <c r="D123" s="117">
        <f t="shared" si="85"/>
        <v>24</v>
      </c>
      <c r="E123" s="117">
        <f t="shared" si="85"/>
        <v>14.53846154</v>
      </c>
      <c r="F123" s="1"/>
    </row>
    <row r="124">
      <c r="A124" s="117">
        <f t="shared" ref="A124:E124" si="86">A11</f>
        <v>7</v>
      </c>
      <c r="B124" s="33" t="str">
        <f t="shared" si="86"/>
        <v>David Shin</v>
      </c>
      <c r="C124" s="117">
        <f t="shared" si="86"/>
        <v>242</v>
      </c>
      <c r="D124" s="117">
        <f t="shared" si="86"/>
        <v>22</v>
      </c>
      <c r="E124" s="117">
        <f t="shared" si="86"/>
        <v>13.17647059</v>
      </c>
      <c r="F124" s="1"/>
    </row>
    <row r="125">
      <c r="A125" s="117">
        <f t="shared" ref="A125:E125" si="87">A12</f>
        <v>8</v>
      </c>
      <c r="B125" s="33" t="str">
        <f t="shared" si="87"/>
        <v>Rajasekar Ramasamy</v>
      </c>
      <c r="C125" s="117">
        <f t="shared" si="87"/>
        <v>241</v>
      </c>
      <c r="D125" s="117">
        <f t="shared" si="87"/>
        <v>26</v>
      </c>
      <c r="E125" s="117">
        <f t="shared" si="87"/>
        <v>12.88235294</v>
      </c>
      <c r="F125" s="1"/>
    </row>
    <row r="126">
      <c r="A126" s="117">
        <f t="shared" ref="A126:E126" si="88">A13</f>
        <v>9</v>
      </c>
      <c r="B126" s="33" t="str">
        <f t="shared" si="88"/>
        <v>Tom Le</v>
      </c>
      <c r="C126" s="117">
        <f t="shared" si="88"/>
        <v>239</v>
      </c>
      <c r="D126" s="117">
        <f t="shared" si="88"/>
        <v>23</v>
      </c>
      <c r="E126" s="117">
        <f t="shared" si="88"/>
        <v>14.33333333</v>
      </c>
      <c r="F126" s="1"/>
    </row>
    <row r="127">
      <c r="A127" s="117">
        <f t="shared" ref="A127:E127" si="89">A14</f>
        <v>10</v>
      </c>
      <c r="B127" s="33" t="str">
        <f t="shared" si="89"/>
        <v>Pavan Akkimsetty</v>
      </c>
      <c r="C127" s="117">
        <f t="shared" si="89"/>
        <v>239</v>
      </c>
      <c r="D127" s="117">
        <f t="shared" si="89"/>
        <v>21</v>
      </c>
      <c r="E127" s="117">
        <f t="shared" si="89"/>
        <v>13.85714286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ASC"")"),"Nicole Ni")</f>
        <v>Nicole Ni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  <c r="P154" s="33"/>
    </row>
    <row r="155">
      <c r="A155" s="117">
        <f t="shared" si="90"/>
        <v>0</v>
      </c>
      <c r="B155" s="33"/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11/01/25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IFERROR(__xludf.DUMMYFUNCTION("""COMPUTED_VALUE"""),"Darren Wong")</f>
        <v>Darren Wong</v>
      </c>
      <c r="C184" s="122">
        <f>IFERROR(__xludf.DUMMYFUNCTION("""COMPUTED_VALUE"""),6.0)</f>
        <v>6</v>
      </c>
      <c r="D184" s="122">
        <f>IFERROR(__xludf.DUMMYFUNCTION("""COMPUTED_VALUE"""),4.0)</f>
        <v>4</v>
      </c>
      <c r="E184" s="122">
        <f>IFERROR(__xludf.DUMMYFUNCTION("""COMPUTED_VALUE"""),6.0)</f>
        <v>6</v>
      </c>
      <c r="F184" s="122">
        <f>IFERROR(__xludf.DUMMYFUNCTION("""COMPUTED_VALUE"""),16.0)</f>
        <v>16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IFERROR(__xludf.DUMMYFUNCTION("""COMPUTED_VALUE"""),"Lam Bui")</f>
        <v>Lam Bui</v>
      </c>
      <c r="C185" s="122">
        <f>IFERROR(__xludf.DUMMYFUNCTION("""COMPUTED_VALUE"""),3.0)</f>
        <v>3</v>
      </c>
      <c r="D185" s="122">
        <f>IFERROR(__xludf.DUMMYFUNCTION("""COMPUTED_VALUE"""),6.0)</f>
        <v>6</v>
      </c>
      <c r="E185" s="122">
        <f>IFERROR(__xludf.DUMMYFUNCTION("""COMPUTED_VALUE"""),6.0)</f>
        <v>6</v>
      </c>
      <c r="F185" s="122">
        <f>IFERROR(__xludf.DUMMYFUNCTION("""COMPUTED_VALUE"""),15.0)</f>
        <v>15</v>
      </c>
      <c r="G185" s="122">
        <f>IFERROR(__xludf.DUMMYFUNCTION("""COMPUTED_VALUE"""),2.0)</f>
        <v>2</v>
      </c>
    </row>
    <row r="186">
      <c r="A186" s="117">
        <f>IFERROR(__xludf.DUMMYFUNCTION("""COMPUTED_VALUE"""),1.0)</f>
        <v>1</v>
      </c>
      <c r="B186" s="33" t="str">
        <f>IFERROR(__xludf.DUMMYFUNCTION("""COMPUTED_VALUE"""),"Rajasekar Ramasamy")</f>
        <v>Rajasekar Ramasamy</v>
      </c>
      <c r="C186" s="122">
        <f>IFERROR(__xludf.DUMMYFUNCTION("""COMPUTED_VALUE"""),3.0)</f>
        <v>3</v>
      </c>
      <c r="D186" s="122">
        <f>IFERROR(__xludf.DUMMYFUNCTION("""COMPUTED_VALUE"""),4.0)</f>
        <v>4</v>
      </c>
      <c r="E186" s="122">
        <f>IFERROR(__xludf.DUMMYFUNCTION("""COMPUTED_VALUE"""),2.0)</f>
        <v>2</v>
      </c>
      <c r="F186" s="122">
        <f>IFERROR(__xludf.DUMMYFUNCTION("""COMPUTED_VALUE"""),9.0)</f>
        <v>9</v>
      </c>
      <c r="G186" s="122">
        <f>IFERROR(__xludf.DUMMYFUNCTION("""COMPUTED_VALUE"""),0.0)</f>
        <v>0</v>
      </c>
    </row>
    <row r="187">
      <c r="A187" s="117">
        <f>IFERROR(__xludf.DUMMYFUNCTION("""COMPUTED_VALUE"""),1.0)</f>
        <v>1</v>
      </c>
      <c r="B187" s="33" t="str">
        <f>IFERROR(__xludf.DUMMYFUNCTION("""COMPUTED_VALUE"""),"Sandeep Kamalon")</f>
        <v>Sandeep Kamalon</v>
      </c>
      <c r="C187" s="122">
        <f>IFERROR(__xludf.DUMMYFUNCTION("""COMPUTED_VALUE"""),6.0)</f>
        <v>6</v>
      </c>
      <c r="D187" s="122">
        <f>IFERROR(__xludf.DUMMYFUNCTION("""COMPUTED_VALUE"""),6.0)</f>
        <v>6</v>
      </c>
      <c r="E187" s="122">
        <f>IFERROR(__xludf.DUMMYFUNCTION("""COMPUTED_VALUE"""),2.0)</f>
        <v>2</v>
      </c>
      <c r="F187" s="122">
        <f>IFERROR(__xludf.DUMMYFUNCTION("""COMPUTED_VALUE"""),14.0)</f>
        <v>14</v>
      </c>
      <c r="G187" s="122">
        <f>IFERROR(__xludf.DUMMYFUNCTION("""COMPUTED_VALUE"""),2.0)</f>
        <v>2</v>
      </c>
    </row>
    <row r="188">
      <c r="A188" s="123">
        <f>IFERROR(__xludf.DUMMYFUNCTION("""COMPUTED_VALUE"""),2.0)</f>
        <v>2</v>
      </c>
      <c r="B188" s="124" t="str">
        <f>IFERROR(__xludf.DUMMYFUNCTION("""COMPUTED_VALUE"""),"Matthew Huang")</f>
        <v>Matthew Huang</v>
      </c>
      <c r="C188" s="125">
        <f>IFERROR(__xludf.DUMMYFUNCTION("""COMPUTED_VALUE"""),6.0)</f>
        <v>6</v>
      </c>
      <c r="D188" s="125">
        <f>IFERROR(__xludf.DUMMYFUNCTION("""COMPUTED_VALUE"""),6.0)</f>
        <v>6</v>
      </c>
      <c r="E188" s="125">
        <f>IFERROR(__xludf.DUMMYFUNCTION("""COMPUTED_VALUE"""),4.0)</f>
        <v>4</v>
      </c>
      <c r="F188" s="125">
        <f>IFERROR(__xludf.DUMMYFUNCTION("""COMPUTED_VALUE"""),16.0)</f>
        <v>16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IFERROR(__xludf.DUMMYFUNCTION("""COMPUTED_VALUE"""),"Pavan Akkimsetty")</f>
        <v>Pavan Akkimsetty</v>
      </c>
      <c r="C189" s="125">
        <f>IFERROR(__xludf.DUMMYFUNCTION("""COMPUTED_VALUE"""),2.0)</f>
        <v>2</v>
      </c>
      <c r="D189" s="125">
        <f>IFERROR(__xludf.DUMMYFUNCTION("""COMPUTED_VALUE"""),6.0)</f>
        <v>6</v>
      </c>
      <c r="E189" s="125">
        <f>IFERROR(__xludf.DUMMYFUNCTION("""COMPUTED_VALUE"""),6.0)</f>
        <v>6</v>
      </c>
      <c r="F189" s="125">
        <f>IFERROR(__xludf.DUMMYFUNCTION("""COMPUTED_VALUE"""),14.0)</f>
        <v>14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IFERROR(__xludf.DUMMYFUNCTION("""COMPUTED_VALUE"""),"Ethan Gu")</f>
        <v>Ethan Gu</v>
      </c>
      <c r="C190" s="125">
        <f>IFERROR(__xludf.DUMMYFUNCTION("""COMPUTED_VALUE"""),6.0)</f>
        <v>6</v>
      </c>
      <c r="D190" s="125">
        <f>IFERROR(__xludf.DUMMYFUNCTION("""COMPUTED_VALUE"""),1.0)</f>
        <v>1</v>
      </c>
      <c r="E190" s="125">
        <f>IFERROR(__xludf.DUMMYFUNCTION("""COMPUTED_VALUE"""),6.0)</f>
        <v>6</v>
      </c>
      <c r="F190" s="125">
        <f>IFERROR(__xludf.DUMMYFUNCTION("""COMPUTED_VALUE"""),13.0)</f>
        <v>13</v>
      </c>
      <c r="G190" s="125">
        <f>IFERROR(__xludf.DUMMYFUNCTION("""COMPUTED_VALUE"""),2.0)</f>
        <v>2</v>
      </c>
    </row>
    <row r="191">
      <c r="A191" s="123">
        <f>IFERROR(__xludf.DUMMYFUNCTION("""COMPUTED_VALUE"""),2.0)</f>
        <v>2</v>
      </c>
      <c r="B191" s="124" t="str">
        <f>IFERROR(__xludf.DUMMYFUNCTION("""COMPUTED_VALUE"""),"Erik Hoeckmann")</f>
        <v>Erik Hoeckmann</v>
      </c>
      <c r="C191" s="125">
        <f>IFERROR(__xludf.DUMMYFUNCTION("""COMPUTED_VALUE"""),2.0)</f>
        <v>2</v>
      </c>
      <c r="D191" s="125">
        <f>IFERROR(__xludf.DUMMYFUNCTION("""COMPUTED_VALUE"""),1.0)</f>
        <v>1</v>
      </c>
      <c r="E191" s="125">
        <f>IFERROR(__xludf.DUMMYFUNCTION("""COMPUTED_VALUE"""),4.0)</f>
        <v>4</v>
      </c>
      <c r="F191" s="125">
        <f>IFERROR(__xludf.DUMMYFUNCTION("""COMPUTED_VALUE"""),7.0)</f>
        <v>7</v>
      </c>
      <c r="G191" s="125">
        <f>IFERROR(__xludf.DUMMYFUNCTION("""COMPUTED_VALUE"""),0.0)</f>
        <v>0</v>
      </c>
    </row>
    <row r="192">
      <c r="A192" s="117">
        <f>IFERROR(__xludf.DUMMYFUNCTION("""COMPUTED_VALUE"""),3.0)</f>
        <v>3</v>
      </c>
      <c r="B192" s="33" t="str">
        <f>IFERROR(__xludf.DUMMYFUNCTION("""COMPUTED_VALUE"""),"Tina Hanson")</f>
        <v>Tina Hanson</v>
      </c>
      <c r="C192" s="122">
        <f>IFERROR(__xludf.DUMMYFUNCTION("""COMPUTED_VALUE"""),6.0)</f>
        <v>6</v>
      </c>
      <c r="D192" s="122">
        <f>IFERROR(__xludf.DUMMYFUNCTION("""COMPUTED_VALUE"""),0.0)</f>
        <v>0</v>
      </c>
      <c r="E192" s="122">
        <f>IFERROR(__xludf.DUMMYFUNCTION("""COMPUTED_VALUE"""),4.0)</f>
        <v>4</v>
      </c>
      <c r="F192" s="122">
        <f>IFERROR(__xludf.DUMMYFUNCTION("""COMPUTED_VALUE"""),10.0)</f>
        <v>10</v>
      </c>
      <c r="G192" s="122">
        <f>IFERROR(__xludf.DUMMYFUNCTION("""COMPUTED_VALUE"""),1.0)</f>
        <v>1</v>
      </c>
    </row>
    <row r="193">
      <c r="A193" s="117">
        <f>IFERROR(__xludf.DUMMYFUNCTION("""COMPUTED_VALUE"""),3.0)</f>
        <v>3</v>
      </c>
      <c r="B193" s="33" t="str">
        <f>IFERROR(__xludf.DUMMYFUNCTION("""COMPUTED_VALUE"""),"Hongyuan Wen")</f>
        <v>Hongyuan Wen</v>
      </c>
      <c r="C193" s="122">
        <f>IFERROR(__xludf.DUMMYFUNCTION("""COMPUTED_VALUE"""),1.0)</f>
        <v>1</v>
      </c>
      <c r="D193" s="122">
        <f>IFERROR(__xludf.DUMMYFUNCTION("""COMPUTED_VALUE"""),0.0)</f>
        <v>0</v>
      </c>
      <c r="E193" s="122">
        <f>IFERROR(__xludf.DUMMYFUNCTION("""COMPUTED_VALUE"""),6.0)</f>
        <v>6</v>
      </c>
      <c r="F193" s="122">
        <f>IFERROR(__xludf.DUMMYFUNCTION("""COMPUTED_VALUE"""),7.0)</f>
        <v>7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IFERROR(__xludf.DUMMYFUNCTION("""COMPUTED_VALUE"""),"Eric Pan")</f>
        <v>Eric Pan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IFERROR(__xludf.DUMMYFUNCTION("""COMPUTED_VALUE"""),6.0)</f>
        <v>6</v>
      </c>
      <c r="F194" s="122">
        <f>IFERROR(__xludf.DUMMYFUNCTION("""COMPUTED_VALUE"""),18.0)</f>
        <v>18</v>
      </c>
      <c r="G194" s="122">
        <f>IFERROR(__xludf.DUMMYFUNCTION("""COMPUTED_VALUE"""),3.0)</f>
        <v>3</v>
      </c>
    </row>
    <row r="195">
      <c r="A195" s="117">
        <f>IFERROR(__xludf.DUMMYFUNCTION("""COMPUTED_VALUE"""),3.0)</f>
        <v>3</v>
      </c>
      <c r="B195" s="33" t="str">
        <f>IFERROR(__xludf.DUMMYFUNCTION("""COMPUTED_VALUE"""),"Oscar Bonilla")</f>
        <v>Oscar Bonilla</v>
      </c>
      <c r="C195" s="122">
        <f>IFERROR(__xludf.DUMMYFUNCTION("""COMPUTED_VALUE"""),1.0)</f>
        <v>1</v>
      </c>
      <c r="D195" s="122">
        <f>IFERROR(__xludf.DUMMYFUNCTION("""COMPUTED_VALUE"""),6.0)</f>
        <v>6</v>
      </c>
      <c r="E195" s="122">
        <f>IFERROR(__xludf.DUMMYFUNCTION("""COMPUTED_VALUE"""),4.0)</f>
        <v>4</v>
      </c>
      <c r="F195" s="122">
        <f>IFERROR(__xludf.DUMMYFUNCTION("""COMPUTED_VALUE"""),11.0)</f>
        <v>11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IFERROR(__xludf.DUMMYFUNCTION("""COMPUTED_VALUE"""),"Herman Au")</f>
        <v>Herman Au</v>
      </c>
      <c r="C196" s="125">
        <f>IFERROR(__xludf.DUMMYFUNCTION("""COMPUTED_VALUE"""),6.0)</f>
        <v>6</v>
      </c>
      <c r="D196" s="125">
        <f>IFERROR(__xludf.DUMMYFUNCTION("""COMPUTED_VALUE"""),6.0)</f>
        <v>6</v>
      </c>
      <c r="E196" s="125">
        <f>IFERROR(__xludf.DUMMYFUNCTION("""COMPUTED_VALUE"""),6.0)</f>
        <v>6</v>
      </c>
      <c r="F196" s="125">
        <f>IFERROR(__xludf.DUMMYFUNCTION("""COMPUTED_VALUE"""),18.0)</f>
        <v>18</v>
      </c>
      <c r="G196" s="125">
        <f>IFERROR(__xludf.DUMMYFUNCTION("""COMPUTED_VALUE"""),3.0)</f>
        <v>3</v>
      </c>
    </row>
    <row r="197">
      <c r="A197" s="123">
        <f>IFERROR(__xludf.DUMMYFUNCTION("""COMPUTED_VALUE"""),4.0)</f>
        <v>4</v>
      </c>
      <c r="B197" s="124" t="str">
        <f>IFERROR(__xludf.DUMMYFUNCTION("""COMPUTED_VALUE"""),"Chinna Ponnaganti")</f>
        <v>Chinna Ponnaganti</v>
      </c>
      <c r="C197" s="125">
        <f>IFERROR(__xludf.DUMMYFUNCTION("""COMPUTED_VALUE"""),6.0)</f>
        <v>6</v>
      </c>
      <c r="D197" s="125">
        <f>IFERROR(__xludf.DUMMYFUNCTION("""COMPUTED_VALUE"""),4.0)</f>
        <v>4</v>
      </c>
      <c r="E197" s="125">
        <f>IFERROR(__xludf.DUMMYFUNCTION("""COMPUTED_VALUE"""),1.0)</f>
        <v>1</v>
      </c>
      <c r="F197" s="125">
        <f>IFERROR(__xludf.DUMMYFUNCTION("""COMPUTED_VALUE"""),11.0)</f>
        <v>11</v>
      </c>
      <c r="G197" s="125">
        <f>IFERROR(__xludf.DUMMYFUNCTION("""COMPUTED_VALUE"""),1.0)</f>
        <v>1</v>
      </c>
    </row>
    <row r="198">
      <c r="A198" s="123">
        <f>IFERROR(__xludf.DUMMYFUNCTION("""COMPUTED_VALUE"""),4.0)</f>
        <v>4</v>
      </c>
      <c r="B198" s="124" t="str">
        <f>IFERROR(__xludf.DUMMYFUNCTION("""COMPUTED_VALUE"""),"Cid Macaraeg")</f>
        <v>Cid Macaraeg</v>
      </c>
      <c r="C198" s="125">
        <f>IFERROR(__xludf.DUMMYFUNCTION("""COMPUTED_VALUE"""),3.0)</f>
        <v>3</v>
      </c>
      <c r="D198" s="125">
        <f>IFERROR(__xludf.DUMMYFUNCTION("""COMPUTED_VALUE"""),4.0)</f>
        <v>4</v>
      </c>
      <c r="E198" s="125">
        <f>IFERROR(__xludf.DUMMYFUNCTION("""COMPUTED_VALUE"""),6.0)</f>
        <v>6</v>
      </c>
      <c r="F198" s="125">
        <f>IFERROR(__xludf.DUMMYFUNCTION("""COMPUTED_VALUE"""),13.0)</f>
        <v>13</v>
      </c>
      <c r="G198" s="125">
        <f>IFERROR(__xludf.DUMMYFUNCTION("""COMPUTED_VALUE"""),1.0)</f>
        <v>1</v>
      </c>
    </row>
    <row r="199">
      <c r="A199" s="123">
        <f>IFERROR(__xludf.DUMMYFUNCTION("""COMPUTED_VALUE"""),4.0)</f>
        <v>4</v>
      </c>
      <c r="B199" s="124" t="str">
        <f>IFERROR(__xludf.DUMMYFUNCTION("""COMPUTED_VALUE"""),"Nicole Ni")</f>
        <v>Nicole Ni</v>
      </c>
      <c r="C199" s="125">
        <f>IFERROR(__xludf.DUMMYFUNCTION("""COMPUTED_VALUE"""),3.0)</f>
        <v>3</v>
      </c>
      <c r="D199" s="125">
        <f>IFERROR(__xludf.DUMMYFUNCTION("""COMPUTED_VALUE"""),6.0)</f>
        <v>6</v>
      </c>
      <c r="E199" s="125">
        <f>IFERROR(__xludf.DUMMYFUNCTION("""COMPUTED_VALUE"""),1.0)</f>
        <v>1</v>
      </c>
      <c r="F199" s="125">
        <f>IFERROR(__xludf.DUMMYFUNCTION("""COMPUTED_VALUE"""),10.0)</f>
        <v>10</v>
      </c>
      <c r="G199" s="125">
        <f>IFERROR(__xludf.DUMMYFUNCTION("""COMPUTED_VALUE"""),1.0)</f>
        <v>1</v>
      </c>
    </row>
    <row r="200">
      <c r="A200" s="117">
        <f>IFERROR(__xludf.DUMMYFUNCTION("""COMPUTED_VALUE"""),5.0)</f>
        <v>5</v>
      </c>
      <c r="B200" s="33" t="str">
        <f>IFERROR(__xludf.DUMMYFUNCTION("""COMPUTED_VALUE"""),"Ted Shen")</f>
        <v>Ted Shen</v>
      </c>
      <c r="C200" s="122">
        <f>IFERROR(__xludf.DUMMYFUNCTION("""COMPUTED_VALUE"""),6.0)</f>
        <v>6</v>
      </c>
      <c r="D200" s="122">
        <f>IFERROR(__xludf.DUMMYFUNCTION("""COMPUTED_VALUE"""),7.0)</f>
        <v>7</v>
      </c>
      <c r="E200" s="122">
        <f>IFERROR(__xludf.DUMMYFUNCTION("""COMPUTED_VALUE"""),6.0)</f>
        <v>6</v>
      </c>
      <c r="F200" s="122">
        <f>IFERROR(__xludf.DUMMYFUNCTION("""COMPUTED_VALUE"""),19.0)</f>
        <v>19</v>
      </c>
      <c r="G200" s="122">
        <f>IFERROR(__xludf.DUMMYFUNCTION("""COMPUTED_VALUE"""),2.0)</f>
        <v>2</v>
      </c>
    </row>
    <row r="201">
      <c r="A201" s="117">
        <f>IFERROR(__xludf.DUMMYFUNCTION("""COMPUTED_VALUE"""),5.0)</f>
        <v>5</v>
      </c>
      <c r="B201" s="33" t="str">
        <f>IFERROR(__xludf.DUMMYFUNCTION("""COMPUTED_VALUE"""),"Jimmy Awolesi")</f>
        <v>Jimmy Awolesi</v>
      </c>
      <c r="C201" s="122">
        <f>IFERROR(__xludf.DUMMYFUNCTION("""COMPUTED_VALUE"""),6.0)</f>
        <v>6</v>
      </c>
      <c r="D201" s="122">
        <f>IFERROR(__xludf.DUMMYFUNCTION("""COMPUTED_VALUE"""),6.0)</f>
        <v>6</v>
      </c>
      <c r="E201" s="122">
        <f>IFERROR(__xludf.DUMMYFUNCTION("""COMPUTED_VALUE"""),7.0)</f>
        <v>7</v>
      </c>
      <c r="F201" s="122">
        <f>IFERROR(__xludf.DUMMYFUNCTION("""COMPUTED_VALUE"""),19.0)</f>
        <v>19</v>
      </c>
      <c r="G201" s="122">
        <f>IFERROR(__xludf.DUMMYFUNCTION("""COMPUTED_VALUE"""),2.0)</f>
        <v>2</v>
      </c>
    </row>
    <row r="202">
      <c r="A202" s="117">
        <f>IFERROR(__xludf.DUMMYFUNCTION("""COMPUTED_VALUE"""),5.0)</f>
        <v>5</v>
      </c>
      <c r="B202" s="33" t="str">
        <f>IFERROR(__xludf.DUMMYFUNCTION("""COMPUTED_VALUE"""),"Coco Yan")</f>
        <v>Coco Yan</v>
      </c>
      <c r="C202" s="122">
        <f>IFERROR(__xludf.DUMMYFUNCTION("""COMPUTED_VALUE"""),1.0)</f>
        <v>1</v>
      </c>
      <c r="D202" s="122">
        <f>IFERROR(__xludf.DUMMYFUNCTION("""COMPUTED_VALUE"""),6.0)</f>
        <v>6</v>
      </c>
      <c r="E202" s="122">
        <f>IFERROR(__xludf.DUMMYFUNCTION("""COMPUTED_VALUE"""),6.0)</f>
        <v>6</v>
      </c>
      <c r="F202" s="122">
        <f>IFERROR(__xludf.DUMMYFUNCTION("""COMPUTED_VALUE"""),13.0)</f>
        <v>13</v>
      </c>
      <c r="G202" s="122">
        <f>IFERROR(__xludf.DUMMYFUNCTION("""COMPUTED_VALUE"""),0.0)</f>
        <v>0</v>
      </c>
    </row>
    <row r="203">
      <c r="A203" s="117">
        <f>IFERROR(__xludf.DUMMYFUNCTION("""COMPUTED_VALUE"""),5.0)</f>
        <v>5</v>
      </c>
      <c r="B203" s="33" t="str">
        <f>IFERROR(__xludf.DUMMYFUNCTION("""COMPUTED_VALUE"""),"Suleman Alidina")</f>
        <v>Suleman Alidina</v>
      </c>
      <c r="C203" s="122">
        <f>IFERROR(__xludf.DUMMYFUNCTION("""COMPUTED_VALUE"""),1.0)</f>
        <v>1</v>
      </c>
      <c r="D203" s="122">
        <f>IFERROR(__xludf.DUMMYFUNCTION("""COMPUTED_VALUE"""),7.0)</f>
        <v>7</v>
      </c>
      <c r="E203" s="122">
        <f>IFERROR(__xludf.DUMMYFUNCTION("""COMPUTED_VALUE"""),7.0)</f>
        <v>7</v>
      </c>
      <c r="F203" s="122">
        <f>IFERROR(__xludf.DUMMYFUNCTION("""COMPUTED_VALUE"""),15.0)</f>
        <v>15</v>
      </c>
      <c r="G203" s="122">
        <f>IFERROR(__xludf.DUMMYFUNCTION("""COMPUTED_VALUE"""),2.0)</f>
        <v>2</v>
      </c>
    </row>
    <row r="204">
      <c r="A204" s="123">
        <f>IFERROR(__xludf.DUMMYFUNCTION("""COMPUTED_VALUE"""),6.0)</f>
        <v>6</v>
      </c>
      <c r="B204" s="124" t="str">
        <f>IFERROR(__xludf.DUMMYFUNCTION("""COMPUTED_VALUE"""),"Naveen Raj")</f>
        <v>Naveen Raj</v>
      </c>
      <c r="C204" s="125">
        <f>IFERROR(__xludf.DUMMYFUNCTION("""COMPUTED_VALUE"""),6.0)</f>
        <v>6</v>
      </c>
      <c r="D204" s="125">
        <f>IFERROR(__xludf.DUMMYFUNCTION("""COMPUTED_VALUE"""),7.0)</f>
        <v>7</v>
      </c>
      <c r="E204" s="125">
        <f>IFERROR(__xludf.DUMMYFUNCTION("""COMPUTED_VALUE"""),6.0)</f>
        <v>6</v>
      </c>
      <c r="F204" s="125">
        <f>IFERROR(__xludf.DUMMYFUNCTION("""COMPUTED_VALUE"""),19.0)</f>
        <v>19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IFERROR(__xludf.DUMMYFUNCTION("""COMPUTED_VALUE"""),"Alex Hou")</f>
        <v>Alex Hou</v>
      </c>
      <c r="C205" s="125">
        <f>IFERROR(__xludf.DUMMYFUNCTION("""COMPUTED_VALUE"""),6.0)</f>
        <v>6</v>
      </c>
      <c r="D205" s="125">
        <f>IFERROR(__xludf.DUMMYFUNCTION("""COMPUTED_VALUE"""),5.0)</f>
        <v>5</v>
      </c>
      <c r="E205" s="125">
        <f>IFERROR(__xludf.DUMMYFUNCTION("""COMPUTED_VALUE"""),4.0)</f>
        <v>4</v>
      </c>
      <c r="F205" s="125">
        <f>IFERROR(__xludf.DUMMYFUNCTION("""COMPUTED_VALUE"""),15.0)</f>
        <v>15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IFERROR(__xludf.DUMMYFUNCTION("""COMPUTED_VALUE"""),"Elayaraja Thangaraj")</f>
        <v>Elayaraja Thangaraj</v>
      </c>
      <c r="C206" s="125">
        <f>IFERROR(__xludf.DUMMYFUNCTION("""COMPUTED_VALUE"""),3.0)</f>
        <v>3</v>
      </c>
      <c r="D206" s="125">
        <f>IFERROR(__xludf.DUMMYFUNCTION("""COMPUTED_VALUE"""),5.0)</f>
        <v>5</v>
      </c>
      <c r="E206" s="125">
        <f>IFERROR(__xludf.DUMMYFUNCTION("""COMPUTED_VALUE"""),6.0)</f>
        <v>6</v>
      </c>
      <c r="F206" s="125">
        <f>IFERROR(__xludf.DUMMYFUNCTION("""COMPUTED_VALUE"""),14.0)</f>
        <v>14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IFERROR(__xludf.DUMMYFUNCTION("""COMPUTED_VALUE"""),"Ramesh Bandaru")</f>
        <v>Ramesh Bandaru</v>
      </c>
      <c r="C207" s="125">
        <f>IFERROR(__xludf.DUMMYFUNCTION("""COMPUTED_VALUE"""),3.0)</f>
        <v>3</v>
      </c>
      <c r="D207" s="125">
        <f>IFERROR(__xludf.DUMMYFUNCTION("""COMPUTED_VALUE"""),7.0)</f>
        <v>7</v>
      </c>
      <c r="E207" s="125">
        <f>IFERROR(__xludf.DUMMYFUNCTION("""COMPUTED_VALUE"""),4.0)</f>
        <v>4</v>
      </c>
      <c r="F207" s="125">
        <f>IFERROR(__xludf.DUMMYFUNCTION("""COMPUTED_VALUE"""),14.0)</f>
        <v>14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IFERROR(__xludf.DUMMYFUNCTION("""COMPUTED_VALUE"""),"Kumar Palakeel")</f>
        <v>Kumar Palakeel</v>
      </c>
      <c r="C208" s="122">
        <f>IFERROR(__xludf.DUMMYFUNCTION("""COMPUTED_VALUE"""),6.0)</f>
        <v>6</v>
      </c>
      <c r="D208" s="122">
        <f>IFERROR(__xludf.DUMMYFUNCTION("""COMPUTED_VALUE"""),4.0)</f>
        <v>4</v>
      </c>
      <c r="E208" s="122">
        <f>IFERROR(__xludf.DUMMYFUNCTION("""COMPUTED_VALUE"""),5.0)</f>
        <v>5</v>
      </c>
      <c r="F208" s="122">
        <f>IFERROR(__xludf.DUMMYFUNCTION("""COMPUTED_VALUE"""),15.0)</f>
        <v>15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IFERROR(__xludf.DUMMYFUNCTION("""COMPUTED_VALUE"""),"Andrew Wen")</f>
        <v>Andrew Wen</v>
      </c>
      <c r="C209" s="122">
        <f>IFERROR(__xludf.DUMMYFUNCTION("""COMPUTED_VALUE"""),3.0)</f>
        <v>3</v>
      </c>
      <c r="D209" s="122">
        <f>IFERROR(__xludf.DUMMYFUNCTION("""COMPUTED_VALUE"""),6.0)</f>
        <v>6</v>
      </c>
      <c r="E209" s="122">
        <f>IFERROR(__xludf.DUMMYFUNCTION("""COMPUTED_VALUE"""),5.0)</f>
        <v>5</v>
      </c>
      <c r="F209" s="122">
        <f>IFERROR(__xludf.DUMMYFUNCTION("""COMPUTED_VALUE"""),14.0)</f>
        <v>14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IFERROR(__xludf.DUMMYFUNCTION("""COMPUTED_VALUE"""),"Rajesh Dorairaj")</f>
        <v>Rajesh Dorairaj</v>
      </c>
      <c r="C210" s="122">
        <f>IFERROR(__xludf.DUMMYFUNCTION("""COMPUTED_VALUE"""),6.0)</f>
        <v>6</v>
      </c>
      <c r="D210" s="122">
        <f>IFERROR(__xludf.DUMMYFUNCTION("""COMPUTED_VALUE"""),6.0)</f>
        <v>6</v>
      </c>
      <c r="E210" s="122">
        <f>IFERROR(__xludf.DUMMYFUNCTION("""COMPUTED_VALUE"""),7.0)</f>
        <v>7</v>
      </c>
      <c r="F210" s="122">
        <f>IFERROR(__xludf.DUMMYFUNCTION("""COMPUTED_VALUE"""),19.0)</f>
        <v>19</v>
      </c>
      <c r="G210" s="122">
        <f>IFERROR(__xludf.DUMMYFUNCTION("""COMPUTED_VALUE"""),3.0)</f>
        <v>3</v>
      </c>
    </row>
    <row r="211">
      <c r="A211" s="117">
        <f>IFERROR(__xludf.DUMMYFUNCTION("""COMPUTED_VALUE"""),7.0)</f>
        <v>7</v>
      </c>
      <c r="B211" s="33" t="str">
        <f>IFERROR(__xludf.DUMMYFUNCTION("""COMPUTED_VALUE"""),"Balaji Alahari")</f>
        <v>Balaji Alahari</v>
      </c>
      <c r="C211" s="122">
        <f>IFERROR(__xludf.DUMMYFUNCTION("""COMPUTED_VALUE"""),3.0)</f>
        <v>3</v>
      </c>
      <c r="D211" s="122">
        <f>IFERROR(__xludf.DUMMYFUNCTION("""COMPUTED_VALUE"""),4.0)</f>
        <v>4</v>
      </c>
      <c r="E211" s="122">
        <f>IFERROR(__xludf.DUMMYFUNCTION("""COMPUTED_VALUE"""),7.0)</f>
        <v>7</v>
      </c>
      <c r="F211" s="122">
        <f>IFERROR(__xludf.DUMMYFUNCTION("""COMPUTED_VALUE"""),14.0)</f>
        <v>14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IFERROR(__xludf.DUMMYFUNCTION("""COMPUTED_VALUE"""),"Eric Tan")</f>
        <v>Eric Tan</v>
      </c>
      <c r="C212" s="125">
        <f>IFERROR(__xludf.DUMMYFUNCTION("""COMPUTED_VALUE"""),3.0)</f>
        <v>3</v>
      </c>
      <c r="D212" s="125">
        <f>IFERROR(__xludf.DUMMYFUNCTION("""COMPUTED_VALUE"""),2.0)</f>
        <v>2</v>
      </c>
      <c r="E212" s="125">
        <f>IFERROR(__xludf.DUMMYFUNCTION("""COMPUTED_VALUE"""),6.0)</f>
        <v>6</v>
      </c>
      <c r="F212" s="125">
        <f>IFERROR(__xludf.DUMMYFUNCTION("""COMPUTED_VALUE"""),11.0)</f>
        <v>11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IFERROR(__xludf.DUMMYFUNCTION("""COMPUTED_VALUE"""),"Saravanan Veerapandian")</f>
        <v>Saravanan Veerapandian</v>
      </c>
      <c r="C213" s="125">
        <f>IFERROR(__xludf.DUMMYFUNCTION("""COMPUTED_VALUE"""),3.0)</f>
        <v>3</v>
      </c>
      <c r="D213" s="125">
        <f>IFERROR(__xludf.DUMMYFUNCTION("""COMPUTED_VALUE"""),6.0)</f>
        <v>6</v>
      </c>
      <c r="E213" s="125">
        <f>IFERROR(__xludf.DUMMYFUNCTION("""COMPUTED_VALUE"""),3.0)</f>
        <v>3</v>
      </c>
      <c r="F213" s="125">
        <f>IFERROR(__xludf.DUMMYFUNCTION("""COMPUTED_VALUE"""),12.0)</f>
        <v>12</v>
      </c>
      <c r="G213" s="125">
        <f>IFERROR(__xludf.DUMMYFUNCTION("""COMPUTED_VALUE"""),1.0)</f>
        <v>1</v>
      </c>
    </row>
    <row r="214">
      <c r="A214" s="123">
        <f>IFERROR(__xludf.DUMMYFUNCTION("""COMPUTED_VALUE"""),8.0)</f>
        <v>8</v>
      </c>
      <c r="B214" s="124" t="str">
        <f>IFERROR(__xludf.DUMMYFUNCTION("""COMPUTED_VALUE"""),"Sanjaye Elayattu")</f>
        <v>Sanjaye Elayattu</v>
      </c>
      <c r="C214" s="125">
        <f>IFERROR(__xludf.DUMMYFUNCTION("""COMPUTED_VALUE"""),6.0)</f>
        <v>6</v>
      </c>
      <c r="D214" s="125">
        <f>IFERROR(__xludf.DUMMYFUNCTION("""COMPUTED_VALUE"""),6.0)</f>
        <v>6</v>
      </c>
      <c r="E214" s="125">
        <f>IFERROR(__xludf.DUMMYFUNCTION("""COMPUTED_VALUE"""),6.0)</f>
        <v>6</v>
      </c>
      <c r="F214" s="125">
        <f>IFERROR(__xludf.DUMMYFUNCTION("""COMPUTED_VALUE"""),18.0)</f>
        <v>18</v>
      </c>
      <c r="G214" s="125">
        <f>IFERROR(__xludf.DUMMYFUNCTION("""COMPUTED_VALUE"""),3.0)</f>
        <v>3</v>
      </c>
    </row>
    <row r="215">
      <c r="A215" s="123">
        <f>IFERROR(__xludf.DUMMYFUNCTION("""COMPUTED_VALUE"""),8.0)</f>
        <v>8</v>
      </c>
      <c r="B215" s="124" t="str">
        <f>IFERROR(__xludf.DUMMYFUNCTION("""COMPUTED_VALUE"""),"Vishnu Amarnath")</f>
        <v>Vishnu Amarnath</v>
      </c>
      <c r="C215" s="125">
        <f>IFERROR(__xludf.DUMMYFUNCTION("""COMPUTED_VALUE"""),6.0)</f>
        <v>6</v>
      </c>
      <c r="D215" s="125">
        <f>IFERROR(__xludf.DUMMYFUNCTION("""COMPUTED_VALUE"""),2.0)</f>
        <v>2</v>
      </c>
      <c r="E215" s="125">
        <f>IFERROR(__xludf.DUMMYFUNCTION("""COMPUTED_VALUE"""),3.0)</f>
        <v>3</v>
      </c>
      <c r="F215" s="125">
        <f>IFERROR(__xludf.DUMMYFUNCTION("""COMPUTED_VALUE"""),11.0)</f>
        <v>11</v>
      </c>
      <c r="G215" s="125">
        <f>IFERROR(__xludf.DUMMYFUNCTION("""COMPUTED_VALUE"""),1.0)</f>
        <v>1</v>
      </c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45962.0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18.0</v>
      </c>
      <c r="E2" s="1"/>
      <c r="F2" s="1"/>
      <c r="R2" s="17"/>
      <c r="AC2" s="21" t="str">
        <f>text(C1-7,"mm/dd/yy")</f>
        <v>10/25/25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260.0</v>
      </c>
      <c r="D5" s="34">
        <v>33.0</v>
      </c>
      <c r="E5" s="35">
        <f t="shared" ref="E5:E69" si="2">if(S5&gt;0,(C5-(V5*9)-(T5*13))/S5,0)</f>
        <v>17.16666667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269</v>
      </c>
      <c r="O5" s="34">
        <f t="shared" si="1"/>
        <v>33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12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6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238.0</v>
      </c>
      <c r="D6" s="34">
        <v>27.0</v>
      </c>
      <c r="E6" s="35">
        <f t="shared" si="2"/>
        <v>15.33333333</v>
      </c>
      <c r="F6" s="95">
        <v>2.0</v>
      </c>
      <c r="G6" s="96">
        <v>1.0</v>
      </c>
      <c r="H6" s="97">
        <v>0.0</v>
      </c>
      <c r="I6" s="96">
        <v>6.0</v>
      </c>
      <c r="J6" s="96">
        <v>4.0</v>
      </c>
      <c r="K6" s="96">
        <v>6.0</v>
      </c>
      <c r="L6" s="98">
        <v>16.0</v>
      </c>
      <c r="M6" s="96">
        <v>2.0</v>
      </c>
      <c r="N6" s="34">
        <f t="shared" ref="N6:O6" si="3">C6+L6</f>
        <v>254</v>
      </c>
      <c r="O6" s="34">
        <f t="shared" si="3"/>
        <v>29</v>
      </c>
      <c r="P6" s="49" t="s">
        <v>58</v>
      </c>
      <c r="Q6" s="49" t="s">
        <v>58</v>
      </c>
      <c r="R6" s="49"/>
      <c r="S6" s="50">
        <f t="shared" si="4"/>
        <v>12</v>
      </c>
      <c r="T6" s="52">
        <f t="shared" si="5"/>
        <v>0</v>
      </c>
      <c r="U6" s="52"/>
      <c r="V6" s="50">
        <f t="shared" si="6"/>
        <v>6</v>
      </c>
      <c r="W6" s="52">
        <f t="shared" si="7"/>
        <v>5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84</v>
      </c>
      <c r="C7" s="34">
        <v>234.0</v>
      </c>
      <c r="D7" s="34">
        <v>24.0</v>
      </c>
      <c r="E7" s="35">
        <f t="shared" si="2"/>
        <v>14.53846154</v>
      </c>
      <c r="F7" s="95">
        <v>3.0</v>
      </c>
      <c r="G7" s="96">
        <v>0.0</v>
      </c>
      <c r="H7" s="97">
        <v>9.0</v>
      </c>
      <c r="I7" s="96">
        <v>0.0</v>
      </c>
      <c r="J7" s="96">
        <v>0.0</v>
      </c>
      <c r="K7" s="96">
        <v>0.0</v>
      </c>
      <c r="L7" s="98">
        <v>9.0</v>
      </c>
      <c r="M7" s="96">
        <v>0.0</v>
      </c>
      <c r="N7" s="34">
        <f t="shared" ref="N7:O7" si="11">C7+L7</f>
        <v>243</v>
      </c>
      <c r="O7" s="34">
        <f t="shared" si="11"/>
        <v>24</v>
      </c>
      <c r="P7" s="49" t="s">
        <v>58</v>
      </c>
      <c r="Q7" s="49" t="s">
        <v>58</v>
      </c>
      <c r="R7" s="49"/>
      <c r="S7" s="50">
        <f t="shared" si="4"/>
        <v>13</v>
      </c>
      <c r="T7" s="52">
        <f t="shared" si="5"/>
        <v>0</v>
      </c>
      <c r="U7" s="52"/>
      <c r="V7" s="50">
        <f t="shared" si="6"/>
        <v>5</v>
      </c>
      <c r="W7" s="52">
        <f t="shared" si="7"/>
        <v>-1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73</v>
      </c>
      <c r="C8" s="34">
        <v>234.0</v>
      </c>
      <c r="D8" s="34">
        <v>22.0</v>
      </c>
      <c r="E8" s="35">
        <f t="shared" si="2"/>
        <v>13.8</v>
      </c>
      <c r="F8" s="95">
        <v>2.0</v>
      </c>
      <c r="G8" s="96">
        <v>1.0</v>
      </c>
      <c r="H8" s="97">
        <v>0.0</v>
      </c>
      <c r="I8" s="96">
        <v>3.0</v>
      </c>
      <c r="J8" s="96">
        <v>6.0</v>
      </c>
      <c r="K8" s="96">
        <v>6.0</v>
      </c>
      <c r="L8" s="98">
        <v>15.0</v>
      </c>
      <c r="M8" s="96">
        <v>2.0</v>
      </c>
      <c r="N8" s="34">
        <f t="shared" ref="N8:O8" si="13">C8+L8</f>
        <v>249</v>
      </c>
      <c r="O8" s="34">
        <f t="shared" si="13"/>
        <v>24</v>
      </c>
      <c r="P8" s="49" t="s">
        <v>58</v>
      </c>
      <c r="Q8" s="49" t="s">
        <v>58</v>
      </c>
      <c r="R8" s="49"/>
      <c r="S8" s="50">
        <f t="shared" si="4"/>
        <v>15</v>
      </c>
      <c r="T8" s="52">
        <f t="shared" si="5"/>
        <v>0</v>
      </c>
      <c r="U8" s="52"/>
      <c r="V8" s="50">
        <f t="shared" si="6"/>
        <v>3</v>
      </c>
      <c r="W8" s="52">
        <f t="shared" si="7"/>
        <v>2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94</v>
      </c>
      <c r="C9" s="34">
        <v>233.0</v>
      </c>
      <c r="D9" s="34">
        <v>22.0</v>
      </c>
      <c r="E9" s="35">
        <f t="shared" si="2"/>
        <v>13.4375</v>
      </c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4">C9+L9</f>
        <v>242</v>
      </c>
      <c r="O9" s="34">
        <f t="shared" si="14"/>
        <v>22</v>
      </c>
      <c r="P9" s="49" t="s">
        <v>58</v>
      </c>
      <c r="Q9" s="49" t="s">
        <v>58</v>
      </c>
      <c r="R9" s="49"/>
      <c r="S9" s="50">
        <f t="shared" si="4"/>
        <v>16</v>
      </c>
      <c r="T9" s="52">
        <f t="shared" si="5"/>
        <v>0</v>
      </c>
      <c r="U9" s="52"/>
      <c r="V9" s="50">
        <f t="shared" si="6"/>
        <v>2</v>
      </c>
      <c r="W9" s="52">
        <f t="shared" si="7"/>
        <v>-2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91</v>
      </c>
      <c r="C10" s="34">
        <v>232.0</v>
      </c>
      <c r="D10" s="34">
        <v>26.0</v>
      </c>
      <c r="E10" s="35">
        <f t="shared" si="2"/>
        <v>13.125</v>
      </c>
      <c r="F10" s="95">
        <v>1.0</v>
      </c>
      <c r="G10" s="96">
        <v>1.0</v>
      </c>
      <c r="H10" s="97">
        <v>0.0</v>
      </c>
      <c r="I10" s="96">
        <v>3.0</v>
      </c>
      <c r="J10" s="96">
        <v>4.0</v>
      </c>
      <c r="K10" s="96">
        <v>2.0</v>
      </c>
      <c r="L10" s="98">
        <v>9.0</v>
      </c>
      <c r="M10" s="96">
        <v>0.0</v>
      </c>
      <c r="N10" s="34">
        <f t="shared" ref="N10:O10" si="15">C10+L10</f>
        <v>241</v>
      </c>
      <c r="O10" s="34">
        <f t="shared" si="15"/>
        <v>26</v>
      </c>
      <c r="P10" s="49" t="s">
        <v>58</v>
      </c>
      <c r="Q10" s="49" t="s">
        <v>58</v>
      </c>
      <c r="R10" s="49"/>
      <c r="S10" s="50">
        <f t="shared" si="4"/>
        <v>16</v>
      </c>
      <c r="T10" s="52">
        <f t="shared" si="5"/>
        <v>1</v>
      </c>
      <c r="U10" s="52"/>
      <c r="V10" s="50">
        <f t="shared" si="6"/>
        <v>1</v>
      </c>
      <c r="W10" s="52">
        <f t="shared" si="7"/>
        <v>2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90</v>
      </c>
      <c r="C11" s="34">
        <v>231.0</v>
      </c>
      <c r="D11" s="34">
        <v>26.0</v>
      </c>
      <c r="E11" s="35">
        <f t="shared" si="2"/>
        <v>13.0625</v>
      </c>
      <c r="F11" s="95">
        <v>1.0</v>
      </c>
      <c r="G11" s="96">
        <v>1.0</v>
      </c>
      <c r="H11" s="97">
        <v>0.0</v>
      </c>
      <c r="I11" s="96">
        <v>6.0</v>
      </c>
      <c r="J11" s="96">
        <v>6.0</v>
      </c>
      <c r="K11" s="96">
        <v>2.0</v>
      </c>
      <c r="L11" s="98">
        <v>14.0</v>
      </c>
      <c r="M11" s="96">
        <v>2.0</v>
      </c>
      <c r="N11" s="34">
        <f t="shared" ref="N11:O11" si="16">C11+L11</f>
        <v>245</v>
      </c>
      <c r="O11" s="34">
        <f t="shared" si="16"/>
        <v>28</v>
      </c>
      <c r="P11" s="49" t="s">
        <v>58</v>
      </c>
      <c r="Q11" s="49" t="s">
        <v>58</v>
      </c>
      <c r="R11" s="49"/>
      <c r="S11" s="50">
        <f t="shared" si="4"/>
        <v>16</v>
      </c>
      <c r="T11" s="52">
        <f t="shared" si="5"/>
        <v>1</v>
      </c>
      <c r="U11" s="52"/>
      <c r="V11" s="50">
        <f t="shared" si="6"/>
        <v>1</v>
      </c>
      <c r="W11" s="52">
        <f t="shared" si="7"/>
        <v>-3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134</v>
      </c>
      <c r="C12" s="34">
        <v>231.0</v>
      </c>
      <c r="D12" s="34">
        <v>24.0</v>
      </c>
      <c r="E12" s="35">
        <f t="shared" si="2"/>
        <v>15.27272727</v>
      </c>
      <c r="F12" s="95">
        <v>1.0</v>
      </c>
      <c r="G12" s="96">
        <v>2.0</v>
      </c>
      <c r="H12" s="97">
        <v>0.0</v>
      </c>
      <c r="I12" s="96">
        <v>6.0</v>
      </c>
      <c r="J12" s="96">
        <v>6.0</v>
      </c>
      <c r="K12" s="96">
        <v>4.0</v>
      </c>
      <c r="L12" s="98">
        <v>16.0</v>
      </c>
      <c r="M12" s="96">
        <v>2.0</v>
      </c>
      <c r="N12" s="34">
        <f t="shared" ref="N12:O12" si="17">C12+L12</f>
        <v>247</v>
      </c>
      <c r="O12" s="34">
        <f t="shared" si="17"/>
        <v>26</v>
      </c>
      <c r="P12" s="49" t="s">
        <v>58</v>
      </c>
      <c r="Q12" s="49" t="s">
        <v>58</v>
      </c>
      <c r="R12" s="49"/>
      <c r="S12" s="50">
        <f t="shared" si="4"/>
        <v>11</v>
      </c>
      <c r="T12" s="52">
        <f t="shared" si="5"/>
        <v>0</v>
      </c>
      <c r="U12" s="52"/>
      <c r="V12" s="50">
        <f t="shared" si="6"/>
        <v>7</v>
      </c>
      <c r="W12" s="52">
        <f t="shared" si="7"/>
        <v>4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107</v>
      </c>
      <c r="C13" s="34">
        <v>230.0</v>
      </c>
      <c r="D13" s="34">
        <v>23.0</v>
      </c>
      <c r="E13" s="35">
        <f t="shared" si="2"/>
        <v>14.33333333</v>
      </c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8">C13+L13</f>
        <v>239</v>
      </c>
      <c r="O13" s="34">
        <f t="shared" si="18"/>
        <v>23</v>
      </c>
      <c r="P13" s="49" t="s">
        <v>58</v>
      </c>
      <c r="Q13" s="49" t="s">
        <v>58</v>
      </c>
      <c r="R13" s="49"/>
      <c r="S13" s="50">
        <f t="shared" si="4"/>
        <v>12</v>
      </c>
      <c r="T13" s="52">
        <f t="shared" si="5"/>
        <v>1</v>
      </c>
      <c r="U13" s="52"/>
      <c r="V13" s="50">
        <f t="shared" si="6"/>
        <v>5</v>
      </c>
      <c r="W13" s="52">
        <f t="shared" si="7"/>
        <v>-4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103</v>
      </c>
      <c r="C14" s="34">
        <v>226.0</v>
      </c>
      <c r="D14" s="34">
        <v>17.0</v>
      </c>
      <c r="E14" s="35">
        <f t="shared" si="2"/>
        <v>13.61538462</v>
      </c>
      <c r="F14" s="95">
        <v>3.0</v>
      </c>
      <c r="G14" s="96">
        <v>0.0</v>
      </c>
      <c r="H14" s="97">
        <v>9.0</v>
      </c>
      <c r="I14" s="96">
        <v>0.0</v>
      </c>
      <c r="J14" s="96">
        <v>0.0</v>
      </c>
      <c r="K14" s="96">
        <v>0.0</v>
      </c>
      <c r="L14" s="98">
        <v>9.0</v>
      </c>
      <c r="M14" s="96">
        <v>0.0</v>
      </c>
      <c r="N14" s="34">
        <f t="shared" ref="N14:O14" si="19">C14+L14</f>
        <v>235</v>
      </c>
      <c r="O14" s="34">
        <f t="shared" si="19"/>
        <v>17</v>
      </c>
      <c r="P14" s="49" t="s">
        <v>58</v>
      </c>
      <c r="Q14" s="49" t="s">
        <v>58</v>
      </c>
      <c r="R14" s="49"/>
      <c r="S14" s="50">
        <f t="shared" si="4"/>
        <v>13</v>
      </c>
      <c r="T14" s="52">
        <f t="shared" si="5"/>
        <v>1</v>
      </c>
      <c r="U14" s="52"/>
      <c r="V14" s="50">
        <f t="shared" si="6"/>
        <v>4</v>
      </c>
      <c r="W14" s="52">
        <f t="shared" si="7"/>
        <v>-1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128</v>
      </c>
      <c r="C15" s="34">
        <v>225.0</v>
      </c>
      <c r="D15" s="34">
        <v>21.0</v>
      </c>
      <c r="E15" s="35">
        <f t="shared" si="2"/>
        <v>13.5</v>
      </c>
      <c r="F15" s="95">
        <v>3.0</v>
      </c>
      <c r="G15" s="96">
        <v>0.0</v>
      </c>
      <c r="H15" s="97">
        <v>9.0</v>
      </c>
      <c r="I15" s="96">
        <v>0.0</v>
      </c>
      <c r="J15" s="96">
        <v>0.0</v>
      </c>
      <c r="K15" s="96">
        <v>0.0</v>
      </c>
      <c r="L15" s="98">
        <v>9.0</v>
      </c>
      <c r="M15" s="96">
        <v>0.0</v>
      </c>
      <c r="N15" s="34">
        <f t="shared" ref="N15:O15" si="20">C15+L15</f>
        <v>234</v>
      </c>
      <c r="O15" s="34">
        <f t="shared" si="20"/>
        <v>21</v>
      </c>
      <c r="P15" s="49" t="s">
        <v>58</v>
      </c>
      <c r="Q15" s="49" t="s">
        <v>58</v>
      </c>
      <c r="R15" s="49"/>
      <c r="S15" s="50">
        <f t="shared" si="4"/>
        <v>14</v>
      </c>
      <c r="T15" s="52">
        <f t="shared" si="5"/>
        <v>0</v>
      </c>
      <c r="U15" s="52"/>
      <c r="V15" s="50">
        <f t="shared" si="6"/>
        <v>4</v>
      </c>
      <c r="W15" s="52">
        <f t="shared" si="7"/>
        <v>-1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113</v>
      </c>
      <c r="C16" s="34">
        <v>225.0</v>
      </c>
      <c r="D16" s="34">
        <v>19.0</v>
      </c>
      <c r="E16" s="35">
        <f t="shared" si="2"/>
        <v>13.84615385</v>
      </c>
      <c r="F16" s="95">
        <v>1.0</v>
      </c>
      <c r="G16" s="96">
        <v>2.0</v>
      </c>
      <c r="H16" s="97">
        <v>0.0</v>
      </c>
      <c r="I16" s="96">
        <v>2.0</v>
      </c>
      <c r="J16" s="96">
        <v>6.0</v>
      </c>
      <c r="K16" s="96">
        <v>6.0</v>
      </c>
      <c r="L16" s="98">
        <v>14.0</v>
      </c>
      <c r="M16" s="96">
        <v>2.0</v>
      </c>
      <c r="N16" s="34">
        <f t="shared" ref="N16:O16" si="21">C16+L16</f>
        <v>239</v>
      </c>
      <c r="O16" s="34">
        <f t="shared" si="21"/>
        <v>21</v>
      </c>
      <c r="P16" s="49" t="s">
        <v>58</v>
      </c>
      <c r="Q16" s="49" t="s">
        <v>58</v>
      </c>
      <c r="R16" s="49"/>
      <c r="S16" s="50">
        <f t="shared" si="4"/>
        <v>13</v>
      </c>
      <c r="T16" s="52">
        <f t="shared" si="5"/>
        <v>0</v>
      </c>
      <c r="U16" s="52"/>
      <c r="V16" s="50">
        <f t="shared" si="6"/>
        <v>5</v>
      </c>
      <c r="W16" s="52">
        <f t="shared" si="7"/>
        <v>-1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98</v>
      </c>
      <c r="C17" s="34">
        <v>223.0</v>
      </c>
      <c r="D17" s="34">
        <v>25.0</v>
      </c>
      <c r="E17" s="35">
        <f t="shared" si="2"/>
        <v>12.58823529</v>
      </c>
      <c r="F17" s="95">
        <v>1.0</v>
      </c>
      <c r="G17" s="96">
        <v>2.0</v>
      </c>
      <c r="H17" s="97">
        <v>0.0</v>
      </c>
      <c r="I17" s="96">
        <v>6.0</v>
      </c>
      <c r="J17" s="96">
        <v>1.0</v>
      </c>
      <c r="K17" s="96">
        <v>6.0</v>
      </c>
      <c r="L17" s="98">
        <v>13.0</v>
      </c>
      <c r="M17" s="96">
        <v>2.0</v>
      </c>
      <c r="N17" s="34">
        <f t="shared" ref="N17:O17" si="22">C17+L17</f>
        <v>236</v>
      </c>
      <c r="O17" s="34">
        <f t="shared" si="22"/>
        <v>27</v>
      </c>
      <c r="P17" s="49" t="s">
        <v>58</v>
      </c>
      <c r="Q17" s="49" t="s">
        <v>58</v>
      </c>
      <c r="R17" s="49"/>
      <c r="S17" s="50">
        <f t="shared" si="4"/>
        <v>17</v>
      </c>
      <c r="T17" s="52">
        <f t="shared" si="5"/>
        <v>0</v>
      </c>
      <c r="U17" s="52"/>
      <c r="V17" s="50">
        <f t="shared" si="6"/>
        <v>1</v>
      </c>
      <c r="W17" s="52">
        <f t="shared" si="7"/>
        <v>1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109</v>
      </c>
      <c r="C18" s="34">
        <v>223.0</v>
      </c>
      <c r="D18" s="34">
        <v>20.0</v>
      </c>
      <c r="E18" s="35">
        <f t="shared" si="2"/>
        <v>13.35714286</v>
      </c>
      <c r="F18" s="95">
        <v>1.0</v>
      </c>
      <c r="G18" s="96">
        <v>2.0</v>
      </c>
      <c r="H18" s="97">
        <v>0.0</v>
      </c>
      <c r="I18" s="96">
        <v>2.0</v>
      </c>
      <c r="J18" s="96">
        <v>1.0</v>
      </c>
      <c r="K18" s="96">
        <v>4.0</v>
      </c>
      <c r="L18" s="98">
        <v>7.0</v>
      </c>
      <c r="M18" s="96">
        <v>0.0</v>
      </c>
      <c r="N18" s="34">
        <f t="shared" ref="N18:O18" si="23">C18+L18</f>
        <v>230</v>
      </c>
      <c r="O18" s="34">
        <f t="shared" si="23"/>
        <v>20</v>
      </c>
      <c r="P18" s="49" t="s">
        <v>58</v>
      </c>
      <c r="Q18" s="49" t="s">
        <v>58</v>
      </c>
      <c r="R18" s="49"/>
      <c r="S18" s="50">
        <f t="shared" si="4"/>
        <v>14</v>
      </c>
      <c r="T18" s="52">
        <f t="shared" si="5"/>
        <v>0</v>
      </c>
      <c r="U18" s="52"/>
      <c r="V18" s="50">
        <f t="shared" si="6"/>
        <v>4</v>
      </c>
      <c r="W18" s="52">
        <f t="shared" si="7"/>
        <v>-1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110</v>
      </c>
      <c r="C19" s="34">
        <v>219.0</v>
      </c>
      <c r="D19" s="34">
        <v>22.0</v>
      </c>
      <c r="E19" s="35">
        <f t="shared" si="2"/>
        <v>12.35294118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4">C19+L19</f>
        <v>228</v>
      </c>
      <c r="O19" s="34">
        <f t="shared" si="24"/>
        <v>22</v>
      </c>
      <c r="P19" s="49" t="s">
        <v>58</v>
      </c>
      <c r="Q19" s="49" t="s">
        <v>58</v>
      </c>
      <c r="R19" s="49"/>
      <c r="S19" s="50">
        <f t="shared" si="4"/>
        <v>17</v>
      </c>
      <c r="T19" s="52">
        <f t="shared" si="5"/>
        <v>0</v>
      </c>
      <c r="U19" s="52"/>
      <c r="V19" s="50">
        <f t="shared" si="6"/>
        <v>1</v>
      </c>
      <c r="W19" s="52">
        <f t="shared" si="7"/>
        <v>0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133</v>
      </c>
      <c r="C20" s="34">
        <v>218.0</v>
      </c>
      <c r="D20" s="34">
        <v>22.0</v>
      </c>
      <c r="E20" s="35">
        <f t="shared" si="2"/>
        <v>13.30769231</v>
      </c>
      <c r="F20" s="95">
        <v>1.0</v>
      </c>
      <c r="G20" s="96">
        <v>3.0</v>
      </c>
      <c r="H20" s="97">
        <v>0.0</v>
      </c>
      <c r="I20" s="96">
        <v>6.0</v>
      </c>
      <c r="J20" s="96">
        <v>0.0</v>
      </c>
      <c r="K20" s="96">
        <v>4.0</v>
      </c>
      <c r="L20" s="98">
        <v>10.0</v>
      </c>
      <c r="M20" s="96">
        <v>1.0</v>
      </c>
      <c r="N20" s="34">
        <f t="shared" ref="N20:O20" si="25">C20+L20</f>
        <v>228</v>
      </c>
      <c r="O20" s="34">
        <f t="shared" si="25"/>
        <v>23</v>
      </c>
      <c r="P20" s="49" t="s">
        <v>58</v>
      </c>
      <c r="Q20" s="49" t="s">
        <v>58</v>
      </c>
      <c r="R20" s="49"/>
      <c r="S20" s="50">
        <f t="shared" si="4"/>
        <v>13</v>
      </c>
      <c r="T20" s="52">
        <f t="shared" si="5"/>
        <v>0</v>
      </c>
      <c r="U20" s="52"/>
      <c r="V20" s="50">
        <f t="shared" si="6"/>
        <v>5</v>
      </c>
      <c r="W20" s="52">
        <f t="shared" si="7"/>
        <v>1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114</v>
      </c>
      <c r="C21" s="34">
        <v>216.0</v>
      </c>
      <c r="D21" s="34">
        <v>16.0</v>
      </c>
      <c r="E21" s="35">
        <f t="shared" si="2"/>
        <v>12.33333333</v>
      </c>
      <c r="F21" s="95">
        <v>1.0</v>
      </c>
      <c r="G21" s="96">
        <v>3.0</v>
      </c>
      <c r="H21" s="97">
        <v>0.0</v>
      </c>
      <c r="I21" s="96">
        <v>1.0</v>
      </c>
      <c r="J21" s="96">
        <v>0.0</v>
      </c>
      <c r="K21" s="96">
        <v>6.0</v>
      </c>
      <c r="L21" s="98">
        <v>7.0</v>
      </c>
      <c r="M21" s="96">
        <v>1.0</v>
      </c>
      <c r="N21" s="34">
        <f t="shared" ref="N21:O21" si="26">C21+L21</f>
        <v>223</v>
      </c>
      <c r="O21" s="34">
        <f t="shared" si="26"/>
        <v>17</v>
      </c>
      <c r="P21" s="49" t="s">
        <v>58</v>
      </c>
      <c r="Q21" s="49" t="s">
        <v>58</v>
      </c>
      <c r="R21" s="49"/>
      <c r="S21" s="50">
        <f t="shared" si="4"/>
        <v>15</v>
      </c>
      <c r="T21" s="52">
        <f t="shared" si="5"/>
        <v>1</v>
      </c>
      <c r="U21" s="52"/>
      <c r="V21" s="50">
        <f t="shared" si="6"/>
        <v>2</v>
      </c>
      <c r="W21" s="52">
        <f t="shared" si="7"/>
        <v>4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66</v>
      </c>
      <c r="C22" s="34">
        <v>214.0</v>
      </c>
      <c r="D22" s="34">
        <v>20.0</v>
      </c>
      <c r="E22" s="35">
        <f t="shared" si="2"/>
        <v>12.05882353</v>
      </c>
      <c r="F22" s="95">
        <v>3.0</v>
      </c>
      <c r="G22" s="96">
        <v>0.0</v>
      </c>
      <c r="H22" s="97">
        <v>9.0</v>
      </c>
      <c r="I22" s="96">
        <v>0.0</v>
      </c>
      <c r="J22" s="96">
        <v>0.0</v>
      </c>
      <c r="K22" s="96">
        <v>0.0</v>
      </c>
      <c r="L22" s="98">
        <v>9.0</v>
      </c>
      <c r="M22" s="96">
        <v>0.0</v>
      </c>
      <c r="N22" s="34">
        <f t="shared" ref="N22:O22" si="27">C22+L22</f>
        <v>223</v>
      </c>
      <c r="O22" s="34">
        <f t="shared" si="27"/>
        <v>20</v>
      </c>
      <c r="P22" s="49" t="s">
        <v>58</v>
      </c>
      <c r="Q22" s="49" t="s">
        <v>58</v>
      </c>
      <c r="R22" s="49"/>
      <c r="S22" s="50">
        <f t="shared" si="4"/>
        <v>17</v>
      </c>
      <c r="T22" s="52">
        <f t="shared" si="5"/>
        <v>0</v>
      </c>
      <c r="U22" s="52"/>
      <c r="V22" s="50">
        <f t="shared" si="6"/>
        <v>1</v>
      </c>
      <c r="W22" s="52">
        <f t="shared" si="7"/>
        <v>7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87</v>
      </c>
      <c r="C23" s="34">
        <v>214.0</v>
      </c>
      <c r="D23" s="34">
        <v>20.0</v>
      </c>
      <c r="E23" s="35">
        <f t="shared" si="2"/>
        <v>12.2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8">C23+L23</f>
        <v>223</v>
      </c>
      <c r="O23" s="34">
        <f t="shared" si="28"/>
        <v>20</v>
      </c>
      <c r="P23" s="49" t="s">
        <v>58</v>
      </c>
      <c r="Q23" s="49" t="s">
        <v>58</v>
      </c>
      <c r="R23" s="49"/>
      <c r="S23" s="50">
        <f t="shared" si="4"/>
        <v>15</v>
      </c>
      <c r="T23" s="52">
        <f t="shared" si="5"/>
        <v>1</v>
      </c>
      <c r="U23" s="52"/>
      <c r="V23" s="50">
        <f t="shared" si="6"/>
        <v>2</v>
      </c>
      <c r="W23" s="52">
        <f t="shared" si="7"/>
        <v>0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83</v>
      </c>
      <c r="C24" s="34">
        <v>214.0</v>
      </c>
      <c r="D24" s="34">
        <v>17.0</v>
      </c>
      <c r="E24" s="35">
        <f t="shared" si="2"/>
        <v>14.33333333</v>
      </c>
      <c r="F24" s="95">
        <v>1.0</v>
      </c>
      <c r="G24" s="96">
        <v>3.0</v>
      </c>
      <c r="H24" s="97">
        <v>0.0</v>
      </c>
      <c r="I24" s="96">
        <v>6.0</v>
      </c>
      <c r="J24" s="96">
        <v>6.0</v>
      </c>
      <c r="K24" s="96">
        <v>6.0</v>
      </c>
      <c r="L24" s="98">
        <v>18.0</v>
      </c>
      <c r="M24" s="96">
        <v>3.0</v>
      </c>
      <c r="N24" s="34">
        <f t="shared" ref="N24:O24" si="29">C24+L24</f>
        <v>232</v>
      </c>
      <c r="O24" s="34">
        <f t="shared" si="29"/>
        <v>20</v>
      </c>
      <c r="P24" s="49" t="s">
        <v>58</v>
      </c>
      <c r="Q24" s="49" t="s">
        <v>58</v>
      </c>
      <c r="R24" s="49"/>
      <c r="S24" s="50">
        <f t="shared" si="4"/>
        <v>9</v>
      </c>
      <c r="T24" s="52">
        <f t="shared" si="5"/>
        <v>1</v>
      </c>
      <c r="U24" s="52"/>
      <c r="V24" s="50">
        <f t="shared" si="6"/>
        <v>8</v>
      </c>
      <c r="W24" s="52">
        <f t="shared" si="7"/>
        <v>-4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125</v>
      </c>
      <c r="C25" s="34">
        <v>212.0</v>
      </c>
      <c r="D25" s="34">
        <v>17.0</v>
      </c>
      <c r="E25" s="35">
        <f t="shared" si="2"/>
        <v>13.16666667</v>
      </c>
      <c r="F25" s="95">
        <v>1.0</v>
      </c>
      <c r="G25" s="96">
        <v>3.0</v>
      </c>
      <c r="H25" s="97">
        <v>0.0</v>
      </c>
      <c r="I25" s="96">
        <v>1.0</v>
      </c>
      <c r="J25" s="96">
        <v>6.0</v>
      </c>
      <c r="K25" s="96">
        <v>4.0</v>
      </c>
      <c r="L25" s="98">
        <v>11.0</v>
      </c>
      <c r="M25" s="96">
        <v>1.0</v>
      </c>
      <c r="N25" s="34">
        <f t="shared" ref="N25:O25" si="30">C25+L25</f>
        <v>223</v>
      </c>
      <c r="O25" s="34">
        <f t="shared" si="30"/>
        <v>18</v>
      </c>
      <c r="P25" s="49" t="s">
        <v>58</v>
      </c>
      <c r="Q25" s="49" t="s">
        <v>58</v>
      </c>
      <c r="R25" s="49"/>
      <c r="S25" s="50">
        <f t="shared" si="4"/>
        <v>12</v>
      </c>
      <c r="T25" s="52">
        <f t="shared" si="5"/>
        <v>0</v>
      </c>
      <c r="U25" s="52"/>
      <c r="V25" s="50">
        <f t="shared" si="6"/>
        <v>6</v>
      </c>
      <c r="W25" s="52">
        <f t="shared" si="7"/>
        <v>-3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111</v>
      </c>
      <c r="C26" s="34">
        <v>212.0</v>
      </c>
      <c r="D26" s="34">
        <v>16.0</v>
      </c>
      <c r="E26" s="35">
        <f t="shared" si="2"/>
        <v>12.53846154</v>
      </c>
      <c r="F26" s="95">
        <v>2.0</v>
      </c>
      <c r="G26" s="96">
        <v>4.0</v>
      </c>
      <c r="H26" s="97">
        <v>0.0</v>
      </c>
      <c r="I26" s="96">
        <v>6.0</v>
      </c>
      <c r="J26" s="96">
        <v>6.0</v>
      </c>
      <c r="K26" s="96">
        <v>6.0</v>
      </c>
      <c r="L26" s="98">
        <v>18.0</v>
      </c>
      <c r="M26" s="96">
        <v>3.0</v>
      </c>
      <c r="N26" s="34">
        <f t="shared" ref="N26:O26" si="31">C26+L26</f>
        <v>230</v>
      </c>
      <c r="O26" s="34">
        <f t="shared" si="31"/>
        <v>19</v>
      </c>
      <c r="P26" s="49" t="s">
        <v>58</v>
      </c>
      <c r="Q26" s="49" t="s">
        <v>58</v>
      </c>
      <c r="R26" s="49"/>
      <c r="S26" s="50">
        <f t="shared" si="4"/>
        <v>13</v>
      </c>
      <c r="T26" s="52">
        <f t="shared" si="5"/>
        <v>1</v>
      </c>
      <c r="U26" s="52"/>
      <c r="V26" s="50">
        <f t="shared" si="6"/>
        <v>4</v>
      </c>
      <c r="W26" s="52">
        <f t="shared" si="7"/>
        <v>5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50</v>
      </c>
      <c r="C27" s="34">
        <v>209.0</v>
      </c>
      <c r="D27" s="34">
        <v>20.0</v>
      </c>
      <c r="E27" s="35">
        <f t="shared" si="2"/>
        <v>11.76470588</v>
      </c>
      <c r="F27" s="95">
        <v>1.0</v>
      </c>
      <c r="G27" s="96">
        <v>4.0</v>
      </c>
      <c r="H27" s="97">
        <v>0.0</v>
      </c>
      <c r="I27" s="96">
        <v>6.0</v>
      </c>
      <c r="J27" s="96">
        <v>4.0</v>
      </c>
      <c r="K27" s="96">
        <v>1.0</v>
      </c>
      <c r="L27" s="98">
        <v>11.0</v>
      </c>
      <c r="M27" s="96">
        <v>1.0</v>
      </c>
      <c r="N27" s="34">
        <f t="shared" ref="N27:O27" si="32">C27+L27</f>
        <v>220</v>
      </c>
      <c r="O27" s="34">
        <f t="shared" si="32"/>
        <v>21</v>
      </c>
      <c r="P27" s="49" t="s">
        <v>58</v>
      </c>
      <c r="Q27" s="49" t="s">
        <v>58</v>
      </c>
      <c r="R27" s="49"/>
      <c r="S27" s="50">
        <f t="shared" si="4"/>
        <v>17</v>
      </c>
      <c r="T27" s="52">
        <f t="shared" si="5"/>
        <v>0</v>
      </c>
      <c r="U27" s="52"/>
      <c r="V27" s="50">
        <f t="shared" si="6"/>
        <v>1</v>
      </c>
      <c r="W27" s="52">
        <f t="shared" si="7"/>
        <v>-3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93</v>
      </c>
      <c r="C28" s="34">
        <v>209.0</v>
      </c>
      <c r="D28" s="34">
        <v>18.0</v>
      </c>
      <c r="E28" s="35">
        <f t="shared" si="2"/>
        <v>14.22222222</v>
      </c>
      <c r="F28" s="95">
        <v>1.0</v>
      </c>
      <c r="G28" s="96">
        <v>4.0</v>
      </c>
      <c r="H28" s="97">
        <v>0.0</v>
      </c>
      <c r="I28" s="96">
        <v>3.0</v>
      </c>
      <c r="J28" s="96">
        <v>4.0</v>
      </c>
      <c r="K28" s="96">
        <v>6.0</v>
      </c>
      <c r="L28" s="98">
        <v>13.0</v>
      </c>
      <c r="M28" s="96">
        <v>1.0</v>
      </c>
      <c r="N28" s="34">
        <f t="shared" ref="N28:O28" si="33">C28+L28</f>
        <v>222</v>
      </c>
      <c r="O28" s="34">
        <f t="shared" si="33"/>
        <v>19</v>
      </c>
      <c r="P28" s="49" t="s">
        <v>58</v>
      </c>
      <c r="Q28" s="49" t="s">
        <v>58</v>
      </c>
      <c r="R28" s="49"/>
      <c r="S28" s="50">
        <f t="shared" si="4"/>
        <v>9</v>
      </c>
      <c r="T28" s="52">
        <f t="shared" si="5"/>
        <v>0</v>
      </c>
      <c r="U28" s="52"/>
      <c r="V28" s="50">
        <f t="shared" si="6"/>
        <v>9</v>
      </c>
      <c r="W28" s="52">
        <f t="shared" si="7"/>
        <v>-2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136</v>
      </c>
      <c r="C29" s="34">
        <v>209.0</v>
      </c>
      <c r="D29" s="34">
        <v>18.0</v>
      </c>
      <c r="E29" s="35">
        <f t="shared" si="2"/>
        <v>11.61111111</v>
      </c>
      <c r="F29" s="95">
        <v>1.0</v>
      </c>
      <c r="G29" s="96">
        <v>4.0</v>
      </c>
      <c r="H29" s="97">
        <v>0.0</v>
      </c>
      <c r="I29" s="96">
        <v>3.0</v>
      </c>
      <c r="J29" s="96">
        <v>6.0</v>
      </c>
      <c r="K29" s="96">
        <v>1.0</v>
      </c>
      <c r="L29" s="98">
        <v>10.0</v>
      </c>
      <c r="M29" s="96">
        <v>1.0</v>
      </c>
      <c r="N29" s="34">
        <f t="shared" ref="N29:O29" si="34">C29+L29</f>
        <v>219</v>
      </c>
      <c r="O29" s="34">
        <f t="shared" si="34"/>
        <v>19</v>
      </c>
      <c r="P29" s="49" t="s">
        <v>58</v>
      </c>
      <c r="Q29" s="49" t="s">
        <v>58</v>
      </c>
      <c r="R29" s="49"/>
      <c r="S29" s="50">
        <f t="shared" si="4"/>
        <v>18</v>
      </c>
      <c r="T29" s="52">
        <f t="shared" si="5"/>
        <v>0</v>
      </c>
      <c r="U29" s="52"/>
      <c r="V29" s="50">
        <f t="shared" si="6"/>
        <v>0</v>
      </c>
      <c r="W29" s="52">
        <f t="shared" si="7"/>
        <v>5</v>
      </c>
      <c r="X29" s="32">
        <f t="shared" si="12"/>
        <v>25</v>
      </c>
      <c r="Y29" s="32" t="str">
        <f t="shared" si="8"/>
        <v>Y</v>
      </c>
      <c r="Z29" s="16" t="str">
        <f t="shared" si="9"/>
        <v/>
      </c>
    </row>
    <row r="30">
      <c r="A30" s="32">
        <f t="shared" si="10"/>
        <v>26</v>
      </c>
      <c r="B30" s="33" t="s">
        <v>89</v>
      </c>
      <c r="C30" s="34">
        <v>208.0</v>
      </c>
      <c r="D30" s="34">
        <v>18.0</v>
      </c>
      <c r="E30" s="35">
        <f t="shared" si="2"/>
        <v>13.6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217</v>
      </c>
      <c r="O30" s="34">
        <f t="shared" si="35"/>
        <v>18</v>
      </c>
      <c r="P30" s="49" t="s">
        <v>58</v>
      </c>
      <c r="Q30" s="49" t="s">
        <v>58</v>
      </c>
      <c r="R30" s="49"/>
      <c r="S30" s="50">
        <f t="shared" si="4"/>
        <v>10</v>
      </c>
      <c r="T30" s="52">
        <f t="shared" si="5"/>
        <v>0</v>
      </c>
      <c r="U30" s="52"/>
      <c r="V30" s="50">
        <f t="shared" si="6"/>
        <v>8</v>
      </c>
      <c r="W30" s="52">
        <f t="shared" si="7"/>
        <v>-3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97</v>
      </c>
      <c r="C31" s="34">
        <v>207.0</v>
      </c>
      <c r="D31" s="34">
        <v>20.0</v>
      </c>
      <c r="E31" s="35">
        <f t="shared" si="2"/>
        <v>12.75</v>
      </c>
      <c r="F31" s="95">
        <v>1.0</v>
      </c>
      <c r="G31" s="96">
        <v>5.0</v>
      </c>
      <c r="H31" s="97">
        <v>0.0</v>
      </c>
      <c r="I31" s="96">
        <v>6.0</v>
      </c>
      <c r="J31" s="96">
        <v>7.0</v>
      </c>
      <c r="K31" s="96">
        <v>6.0</v>
      </c>
      <c r="L31" s="98">
        <v>19.0</v>
      </c>
      <c r="M31" s="96">
        <v>2.0</v>
      </c>
      <c r="N31" s="34">
        <f t="shared" ref="N31:O31" si="36">C31+L31</f>
        <v>226</v>
      </c>
      <c r="O31" s="34">
        <f t="shared" si="36"/>
        <v>22</v>
      </c>
      <c r="P31" s="49" t="s">
        <v>58</v>
      </c>
      <c r="Q31" s="49" t="s">
        <v>58</v>
      </c>
      <c r="R31" s="49"/>
      <c r="S31" s="50">
        <f t="shared" si="4"/>
        <v>12</v>
      </c>
      <c r="T31" s="52">
        <f t="shared" si="5"/>
        <v>0</v>
      </c>
      <c r="U31" s="52"/>
      <c r="V31" s="50">
        <f t="shared" si="6"/>
        <v>6</v>
      </c>
      <c r="W31" s="52">
        <f t="shared" si="7"/>
        <v>-3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100</v>
      </c>
      <c r="C32" s="34">
        <v>206.0</v>
      </c>
      <c r="D32" s="34">
        <v>16.0</v>
      </c>
      <c r="E32" s="35">
        <f t="shared" si="2"/>
        <v>13.88888889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7">C32+L32</f>
        <v>215</v>
      </c>
      <c r="O32" s="34">
        <f t="shared" si="37"/>
        <v>16</v>
      </c>
      <c r="P32" s="49" t="s">
        <v>58</v>
      </c>
      <c r="Q32" s="49" t="s">
        <v>58</v>
      </c>
      <c r="R32" s="49"/>
      <c r="S32" s="50">
        <f t="shared" si="4"/>
        <v>9</v>
      </c>
      <c r="T32" s="52">
        <f t="shared" si="5"/>
        <v>0</v>
      </c>
      <c r="U32" s="52"/>
      <c r="V32" s="50">
        <f t="shared" si="6"/>
        <v>9</v>
      </c>
      <c r="W32" s="52">
        <f t="shared" si="7"/>
        <v>-2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49</v>
      </c>
      <c r="C33" s="34">
        <v>205.0</v>
      </c>
      <c r="D33" s="34">
        <v>19.0</v>
      </c>
      <c r="E33" s="35">
        <f t="shared" si="2"/>
        <v>11.86666667</v>
      </c>
      <c r="F33" s="95">
        <v>1.0</v>
      </c>
      <c r="G33" s="96">
        <v>5.0</v>
      </c>
      <c r="H33" s="97">
        <v>0.0</v>
      </c>
      <c r="I33" s="96">
        <v>6.0</v>
      </c>
      <c r="J33" s="96">
        <v>6.0</v>
      </c>
      <c r="K33" s="96">
        <v>7.0</v>
      </c>
      <c r="L33" s="98">
        <v>19.0</v>
      </c>
      <c r="M33" s="96">
        <v>2.0</v>
      </c>
      <c r="N33" s="34">
        <f t="shared" ref="N33:O33" si="38">C33+L33</f>
        <v>224</v>
      </c>
      <c r="O33" s="34">
        <f t="shared" si="38"/>
        <v>21</v>
      </c>
      <c r="P33" s="49" t="s">
        <v>58</v>
      </c>
      <c r="Q33" s="49" t="s">
        <v>58</v>
      </c>
      <c r="R33" s="49"/>
      <c r="S33" s="50">
        <f t="shared" si="4"/>
        <v>15</v>
      </c>
      <c r="T33" s="52">
        <f t="shared" si="5"/>
        <v>0</v>
      </c>
      <c r="U33" s="52"/>
      <c r="V33" s="50">
        <f t="shared" si="6"/>
        <v>3</v>
      </c>
      <c r="W33" s="52">
        <f t="shared" si="7"/>
        <v>2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96</v>
      </c>
      <c r="C34" s="34">
        <v>205.0</v>
      </c>
      <c r="D34" s="34">
        <v>17.0</v>
      </c>
      <c r="E34" s="35">
        <f t="shared" si="2"/>
        <v>11.6875</v>
      </c>
      <c r="F34" s="95">
        <v>2.0</v>
      </c>
      <c r="G34" s="96">
        <v>5.0</v>
      </c>
      <c r="H34" s="97">
        <v>0.0</v>
      </c>
      <c r="I34" s="96">
        <v>1.0</v>
      </c>
      <c r="J34" s="96">
        <v>6.0</v>
      </c>
      <c r="K34" s="96">
        <v>6.0</v>
      </c>
      <c r="L34" s="98">
        <v>13.0</v>
      </c>
      <c r="M34" s="96">
        <v>0.0</v>
      </c>
      <c r="N34" s="34">
        <f t="shared" ref="N34:O34" si="39">C34+L34</f>
        <v>218</v>
      </c>
      <c r="O34" s="34">
        <f t="shared" si="39"/>
        <v>17</v>
      </c>
      <c r="P34" s="49" t="s">
        <v>58</v>
      </c>
      <c r="Q34" s="49" t="s">
        <v>58</v>
      </c>
      <c r="R34" s="49"/>
      <c r="S34" s="50">
        <f t="shared" si="4"/>
        <v>16</v>
      </c>
      <c r="T34" s="52">
        <f t="shared" si="5"/>
        <v>0</v>
      </c>
      <c r="U34" s="52"/>
      <c r="V34" s="50">
        <f t="shared" si="6"/>
        <v>2</v>
      </c>
      <c r="W34" s="52">
        <f t="shared" si="7"/>
        <v>-1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65</v>
      </c>
      <c r="C35" s="34">
        <v>204.0</v>
      </c>
      <c r="D35" s="34">
        <v>18.0</v>
      </c>
      <c r="E35" s="35">
        <f t="shared" si="2"/>
        <v>13.66666667</v>
      </c>
      <c r="F35" s="95">
        <v>2.0</v>
      </c>
      <c r="G35" s="96">
        <v>5.0</v>
      </c>
      <c r="H35" s="97">
        <v>0.0</v>
      </c>
      <c r="I35" s="96">
        <v>1.0</v>
      </c>
      <c r="J35" s="96">
        <v>7.0</v>
      </c>
      <c r="K35" s="96">
        <v>7.0</v>
      </c>
      <c r="L35" s="98">
        <v>15.0</v>
      </c>
      <c r="M35" s="96">
        <v>2.0</v>
      </c>
      <c r="N35" s="34">
        <f t="shared" ref="N35:O35" si="40">C35+L35</f>
        <v>219</v>
      </c>
      <c r="O35" s="34">
        <f t="shared" si="40"/>
        <v>20</v>
      </c>
      <c r="P35" s="49" t="s">
        <v>58</v>
      </c>
      <c r="Q35" s="49" t="s">
        <v>58</v>
      </c>
      <c r="R35" s="49"/>
      <c r="S35" s="50">
        <f t="shared" si="4"/>
        <v>9</v>
      </c>
      <c r="T35" s="52">
        <f t="shared" si="5"/>
        <v>0</v>
      </c>
      <c r="U35" s="52"/>
      <c r="V35" s="50">
        <f t="shared" si="6"/>
        <v>9</v>
      </c>
      <c r="W35" s="52">
        <f t="shared" si="7"/>
        <v>1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122</v>
      </c>
      <c r="C36" s="34">
        <v>203.0</v>
      </c>
      <c r="D36" s="34">
        <v>15.0</v>
      </c>
      <c r="E36" s="35">
        <f t="shared" si="2"/>
        <v>14.125</v>
      </c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41">C36+L36</f>
        <v>212</v>
      </c>
      <c r="O36" s="34">
        <f t="shared" si="41"/>
        <v>15</v>
      </c>
      <c r="P36" s="49" t="s">
        <v>58</v>
      </c>
      <c r="Q36" s="49" t="s">
        <v>58</v>
      </c>
      <c r="R36" s="49"/>
      <c r="S36" s="50">
        <f t="shared" si="4"/>
        <v>8</v>
      </c>
      <c r="T36" s="52">
        <f t="shared" si="5"/>
        <v>0</v>
      </c>
      <c r="U36" s="52"/>
      <c r="V36" s="50">
        <f t="shared" si="6"/>
        <v>10</v>
      </c>
      <c r="W36" s="52">
        <f t="shared" si="7"/>
        <v>4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106</v>
      </c>
      <c r="C37" s="34">
        <v>202.0</v>
      </c>
      <c r="D37" s="34">
        <v>18.0</v>
      </c>
      <c r="E37" s="35">
        <f t="shared" si="2"/>
        <v>12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2">C37+L37</f>
        <v>211</v>
      </c>
      <c r="O37" s="34">
        <f t="shared" si="42"/>
        <v>18</v>
      </c>
      <c r="P37" s="49" t="s">
        <v>58</v>
      </c>
      <c r="Q37" s="49" t="s">
        <v>58</v>
      </c>
      <c r="R37" s="49"/>
      <c r="S37" s="50">
        <f t="shared" si="4"/>
        <v>12</v>
      </c>
      <c r="T37" s="52">
        <f t="shared" si="5"/>
        <v>1</v>
      </c>
      <c r="U37" s="52"/>
      <c r="V37" s="50">
        <f t="shared" si="6"/>
        <v>5</v>
      </c>
      <c r="W37" s="52">
        <f t="shared" si="7"/>
        <v>-5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135</v>
      </c>
      <c r="C38" s="34">
        <v>200.0</v>
      </c>
      <c r="D38" s="34">
        <v>18.0</v>
      </c>
      <c r="E38" s="35">
        <f t="shared" si="2"/>
        <v>12.16666667</v>
      </c>
      <c r="F38" s="95">
        <v>1.0</v>
      </c>
      <c r="G38" s="96">
        <v>6.0</v>
      </c>
      <c r="H38" s="97">
        <v>0.0</v>
      </c>
      <c r="I38" s="96">
        <v>6.0</v>
      </c>
      <c r="J38" s="96">
        <v>7.0</v>
      </c>
      <c r="K38" s="96">
        <v>6.0</v>
      </c>
      <c r="L38" s="98">
        <v>19.0</v>
      </c>
      <c r="M38" s="96">
        <v>3.0</v>
      </c>
      <c r="N38" s="34">
        <f t="shared" ref="N38:O38" si="43">C38+L38</f>
        <v>219</v>
      </c>
      <c r="O38" s="34">
        <f t="shared" si="43"/>
        <v>21</v>
      </c>
      <c r="P38" s="49" t="s">
        <v>58</v>
      </c>
      <c r="Q38" s="49" t="s">
        <v>58</v>
      </c>
      <c r="R38" s="49"/>
      <c r="S38" s="50">
        <f t="shared" si="4"/>
        <v>12</v>
      </c>
      <c r="T38" s="52">
        <f t="shared" si="5"/>
        <v>0</v>
      </c>
      <c r="U38" s="52"/>
      <c r="V38" s="50">
        <f t="shared" si="6"/>
        <v>6</v>
      </c>
      <c r="W38" s="52">
        <f t="shared" si="7"/>
        <v>4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60</v>
      </c>
      <c r="C39" s="34">
        <v>199.0</v>
      </c>
      <c r="D39" s="34">
        <v>20.0</v>
      </c>
      <c r="E39" s="35">
        <f t="shared" si="2"/>
        <v>11.3125</v>
      </c>
      <c r="F39" s="95">
        <v>1.0</v>
      </c>
      <c r="G39" s="96">
        <v>6.0</v>
      </c>
      <c r="H39" s="97">
        <v>0.0</v>
      </c>
      <c r="I39" s="96">
        <v>6.0</v>
      </c>
      <c r="J39" s="96">
        <v>5.0</v>
      </c>
      <c r="K39" s="96">
        <v>4.0</v>
      </c>
      <c r="L39" s="98">
        <v>15.0</v>
      </c>
      <c r="M39" s="96">
        <v>1.0</v>
      </c>
      <c r="N39" s="34">
        <f t="shared" ref="N39:O39" si="44">C39+L39</f>
        <v>214</v>
      </c>
      <c r="O39" s="34">
        <f t="shared" si="44"/>
        <v>21</v>
      </c>
      <c r="P39" s="49" t="s">
        <v>58</v>
      </c>
      <c r="Q39" s="49" t="s">
        <v>58</v>
      </c>
      <c r="R39" s="49"/>
      <c r="S39" s="50">
        <f t="shared" si="4"/>
        <v>16</v>
      </c>
      <c r="T39" s="52">
        <f t="shared" si="5"/>
        <v>0</v>
      </c>
      <c r="U39" s="52"/>
      <c r="V39" s="50">
        <f t="shared" si="6"/>
        <v>2</v>
      </c>
      <c r="W39" s="52">
        <f t="shared" si="7"/>
        <v>-1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99</v>
      </c>
      <c r="C40" s="34">
        <v>198.0</v>
      </c>
      <c r="D40" s="34">
        <v>12.0</v>
      </c>
      <c r="E40" s="35">
        <f t="shared" si="2"/>
        <v>12.2</v>
      </c>
      <c r="F40" s="95">
        <v>2.0</v>
      </c>
      <c r="G40" s="96">
        <v>6.0</v>
      </c>
      <c r="H40" s="97">
        <v>0.0</v>
      </c>
      <c r="I40" s="96">
        <v>3.0</v>
      </c>
      <c r="J40" s="96">
        <v>5.0</v>
      </c>
      <c r="K40" s="96">
        <v>6.0</v>
      </c>
      <c r="L40" s="98">
        <v>14.0</v>
      </c>
      <c r="M40" s="96">
        <v>1.0</v>
      </c>
      <c r="N40" s="34">
        <f t="shared" ref="N40:O40" si="45">C40+L40</f>
        <v>212</v>
      </c>
      <c r="O40" s="34">
        <f t="shared" si="45"/>
        <v>13</v>
      </c>
      <c r="P40" s="49" t="s">
        <v>58</v>
      </c>
      <c r="Q40" s="49" t="s">
        <v>58</v>
      </c>
      <c r="R40" s="49"/>
      <c r="S40" s="50">
        <f t="shared" si="4"/>
        <v>10</v>
      </c>
      <c r="T40" s="52">
        <f t="shared" si="5"/>
        <v>1</v>
      </c>
      <c r="U40" s="52"/>
      <c r="V40" s="50">
        <f t="shared" si="6"/>
        <v>7</v>
      </c>
      <c r="W40" s="52">
        <f t="shared" si="7"/>
        <v>-3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138</v>
      </c>
      <c r="C41" s="34">
        <v>194.0</v>
      </c>
      <c r="D41" s="34">
        <v>13.0</v>
      </c>
      <c r="E41" s="35">
        <f t="shared" si="2"/>
        <v>12.2</v>
      </c>
      <c r="F41" s="95">
        <v>1.0</v>
      </c>
      <c r="G41" s="96">
        <v>6.0</v>
      </c>
      <c r="H41" s="97">
        <v>0.0</v>
      </c>
      <c r="I41" s="96">
        <v>3.0</v>
      </c>
      <c r="J41" s="96">
        <v>7.0</v>
      </c>
      <c r="K41" s="96">
        <v>4.0</v>
      </c>
      <c r="L41" s="98">
        <v>14.0</v>
      </c>
      <c r="M41" s="96">
        <v>1.0</v>
      </c>
      <c r="N41" s="34">
        <f t="shared" ref="N41:O41" si="46">C41+L41</f>
        <v>208</v>
      </c>
      <c r="O41" s="34">
        <f t="shared" si="46"/>
        <v>14</v>
      </c>
      <c r="P41" s="49" t="s">
        <v>58</v>
      </c>
      <c r="Q41" s="49" t="s">
        <v>58</v>
      </c>
      <c r="R41" s="49"/>
      <c r="S41" s="50">
        <f t="shared" si="4"/>
        <v>10</v>
      </c>
      <c r="T41" s="52">
        <f t="shared" si="5"/>
        <v>0</v>
      </c>
      <c r="U41" s="52"/>
      <c r="V41" s="50">
        <f t="shared" si="6"/>
        <v>8</v>
      </c>
      <c r="W41" s="52">
        <f t="shared" si="7"/>
        <v>-2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129</v>
      </c>
      <c r="C42" s="34">
        <v>193.0</v>
      </c>
      <c r="D42" s="34">
        <v>19.0</v>
      </c>
      <c r="E42" s="35">
        <f t="shared" si="2"/>
        <v>11.06666667</v>
      </c>
      <c r="F42" s="95">
        <v>1.0</v>
      </c>
      <c r="G42" s="96">
        <v>7.0</v>
      </c>
      <c r="H42" s="97">
        <v>0.0</v>
      </c>
      <c r="I42" s="96">
        <v>6.0</v>
      </c>
      <c r="J42" s="96">
        <v>4.0</v>
      </c>
      <c r="K42" s="96">
        <v>5.0</v>
      </c>
      <c r="L42" s="98">
        <v>15.0</v>
      </c>
      <c r="M42" s="96">
        <v>1.0</v>
      </c>
      <c r="N42" s="34">
        <f t="shared" ref="N42:O42" si="47">C42+L42</f>
        <v>208</v>
      </c>
      <c r="O42" s="34">
        <f t="shared" si="47"/>
        <v>20</v>
      </c>
      <c r="P42" s="49" t="s">
        <v>58</v>
      </c>
      <c r="Q42" s="49" t="s">
        <v>58</v>
      </c>
      <c r="R42" s="49"/>
      <c r="S42" s="50">
        <f t="shared" si="4"/>
        <v>15</v>
      </c>
      <c r="T42" s="52">
        <f t="shared" si="5"/>
        <v>0</v>
      </c>
      <c r="U42" s="52"/>
      <c r="V42" s="50">
        <f t="shared" si="6"/>
        <v>3</v>
      </c>
      <c r="W42" s="52">
        <f t="shared" si="7"/>
        <v>2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132</v>
      </c>
      <c r="C43" s="34">
        <v>193.0</v>
      </c>
      <c r="D43" s="34">
        <v>12.0</v>
      </c>
      <c r="E43" s="35">
        <f t="shared" si="2"/>
        <v>13.42857143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202</v>
      </c>
      <c r="O43" s="34">
        <f t="shared" si="48"/>
        <v>12</v>
      </c>
      <c r="P43" s="49" t="s">
        <v>58</v>
      </c>
      <c r="Q43" s="49" t="s">
        <v>58</v>
      </c>
      <c r="R43" s="49"/>
      <c r="S43" s="50">
        <f t="shared" si="4"/>
        <v>7</v>
      </c>
      <c r="T43" s="52">
        <f t="shared" si="5"/>
        <v>0</v>
      </c>
      <c r="U43" s="52"/>
      <c r="V43" s="50">
        <f t="shared" si="6"/>
        <v>11</v>
      </c>
      <c r="W43" s="52">
        <f t="shared" si="7"/>
        <v>-2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190.0</v>
      </c>
      <c r="D44" s="34">
        <v>11.0</v>
      </c>
      <c r="E44" s="35">
        <f t="shared" si="2"/>
        <v>11.4</v>
      </c>
      <c r="F44" s="95">
        <v>2.0</v>
      </c>
      <c r="G44" s="96">
        <v>7.0</v>
      </c>
      <c r="H44" s="97">
        <v>0.0</v>
      </c>
      <c r="I44" s="96">
        <v>3.0</v>
      </c>
      <c r="J44" s="96">
        <v>6.0</v>
      </c>
      <c r="K44" s="96">
        <v>5.0</v>
      </c>
      <c r="L44" s="98">
        <v>14.0</v>
      </c>
      <c r="M44" s="96">
        <v>1.0</v>
      </c>
      <c r="N44" s="34">
        <f t="shared" ref="N44:O44" si="49">C44+L44</f>
        <v>204</v>
      </c>
      <c r="O44" s="34">
        <f t="shared" si="49"/>
        <v>12</v>
      </c>
      <c r="P44" s="49" t="s">
        <v>58</v>
      </c>
      <c r="Q44" s="49" t="s">
        <v>58</v>
      </c>
      <c r="R44" s="49"/>
      <c r="S44" s="50">
        <f t="shared" si="4"/>
        <v>10</v>
      </c>
      <c r="T44" s="52">
        <f t="shared" si="5"/>
        <v>1</v>
      </c>
      <c r="U44" s="52"/>
      <c r="V44" s="50">
        <f t="shared" si="6"/>
        <v>7</v>
      </c>
      <c r="W44" s="52">
        <f t="shared" si="7"/>
        <v>-1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137</v>
      </c>
      <c r="C45" s="34">
        <v>188.0</v>
      </c>
      <c r="D45" s="34">
        <v>13.0</v>
      </c>
      <c r="E45" s="35">
        <f t="shared" si="2"/>
        <v>11.16666667</v>
      </c>
      <c r="F45" s="95">
        <v>1.0</v>
      </c>
      <c r="G45" s="96">
        <v>7.0</v>
      </c>
      <c r="H45" s="97">
        <v>0.0</v>
      </c>
      <c r="I45" s="96">
        <v>6.0</v>
      </c>
      <c r="J45" s="96">
        <v>6.0</v>
      </c>
      <c r="K45" s="96">
        <v>7.0</v>
      </c>
      <c r="L45" s="98">
        <v>19.0</v>
      </c>
      <c r="M45" s="96">
        <v>3.0</v>
      </c>
      <c r="N45" s="34">
        <f t="shared" ref="N45:O45" si="50">C45+L45</f>
        <v>207</v>
      </c>
      <c r="O45" s="34">
        <f t="shared" si="50"/>
        <v>16</v>
      </c>
      <c r="P45" s="49" t="s">
        <v>58</v>
      </c>
      <c r="Q45" s="49" t="s">
        <v>58</v>
      </c>
      <c r="R45" s="49"/>
      <c r="S45" s="50">
        <f t="shared" si="4"/>
        <v>12</v>
      </c>
      <c r="T45" s="52">
        <f t="shared" si="5"/>
        <v>0</v>
      </c>
      <c r="U45" s="52"/>
      <c r="V45" s="50">
        <f t="shared" si="6"/>
        <v>6</v>
      </c>
      <c r="W45" s="52">
        <f t="shared" si="7"/>
        <v>0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139</v>
      </c>
      <c r="C46" s="34">
        <v>186.0</v>
      </c>
      <c r="D46" s="34">
        <v>14.0</v>
      </c>
      <c r="E46" s="35">
        <f t="shared" si="2"/>
        <v>11.18181818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195</v>
      </c>
      <c r="O46" s="34">
        <f t="shared" si="51"/>
        <v>14</v>
      </c>
      <c r="P46" s="49" t="s">
        <v>58</v>
      </c>
      <c r="Q46" s="49" t="s">
        <v>58</v>
      </c>
      <c r="R46" s="49"/>
      <c r="S46" s="50">
        <f t="shared" si="4"/>
        <v>11</v>
      </c>
      <c r="T46" s="52">
        <f t="shared" si="5"/>
        <v>0</v>
      </c>
      <c r="U46" s="52"/>
      <c r="V46" s="50">
        <f t="shared" si="6"/>
        <v>7</v>
      </c>
      <c r="W46" s="52">
        <f t="shared" si="7"/>
        <v>0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54</v>
      </c>
      <c r="C47" s="34">
        <v>185.0</v>
      </c>
      <c r="D47" s="34">
        <v>16.0</v>
      </c>
      <c r="E47" s="35">
        <f t="shared" si="2"/>
        <v>10.64285714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194</v>
      </c>
      <c r="O47" s="34">
        <f t="shared" si="52"/>
        <v>16</v>
      </c>
      <c r="P47" s="49" t="s">
        <v>58</v>
      </c>
      <c r="Q47" s="49" t="s">
        <v>58</v>
      </c>
      <c r="R47" s="49"/>
      <c r="S47" s="50">
        <f t="shared" si="4"/>
        <v>14</v>
      </c>
      <c r="T47" s="52">
        <f t="shared" si="5"/>
        <v>0</v>
      </c>
      <c r="U47" s="52"/>
      <c r="V47" s="50">
        <f t="shared" si="6"/>
        <v>4</v>
      </c>
      <c r="W47" s="52">
        <f t="shared" si="7"/>
        <v>0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75</v>
      </c>
      <c r="C48" s="34">
        <v>181.0</v>
      </c>
      <c r="D48" s="34">
        <v>7.0</v>
      </c>
      <c r="E48" s="35">
        <f t="shared" si="2"/>
        <v>12.16666667</v>
      </c>
      <c r="F48" s="95">
        <v>1.0</v>
      </c>
      <c r="G48" s="96">
        <v>7.0</v>
      </c>
      <c r="H48" s="97">
        <v>0.0</v>
      </c>
      <c r="I48" s="96">
        <v>3.0</v>
      </c>
      <c r="J48" s="96">
        <v>4.0</v>
      </c>
      <c r="K48" s="96">
        <v>7.0</v>
      </c>
      <c r="L48" s="98">
        <v>14.0</v>
      </c>
      <c r="M48" s="96">
        <v>1.0</v>
      </c>
      <c r="N48" s="34">
        <f t="shared" ref="N48:O48" si="53">C48+L48</f>
        <v>195</v>
      </c>
      <c r="O48" s="34">
        <f t="shared" si="53"/>
        <v>8</v>
      </c>
      <c r="P48" s="49" t="s">
        <v>58</v>
      </c>
      <c r="Q48" s="49" t="s">
        <v>58</v>
      </c>
      <c r="R48" s="49"/>
      <c r="S48" s="50">
        <f t="shared" si="4"/>
        <v>6</v>
      </c>
      <c r="T48" s="52">
        <f t="shared" si="5"/>
        <v>0</v>
      </c>
      <c r="U48" s="52"/>
      <c r="V48" s="50">
        <f t="shared" si="6"/>
        <v>12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108</v>
      </c>
      <c r="C49" s="34">
        <v>180.0</v>
      </c>
      <c r="D49" s="34">
        <v>7.0</v>
      </c>
      <c r="E49" s="35">
        <f t="shared" si="2"/>
        <v>10.5</v>
      </c>
      <c r="F49" s="95">
        <v>1.0</v>
      </c>
      <c r="G49" s="96">
        <v>8.0</v>
      </c>
      <c r="H49" s="97">
        <v>0.0</v>
      </c>
      <c r="I49" s="96">
        <v>3.0</v>
      </c>
      <c r="J49" s="96">
        <v>2.0</v>
      </c>
      <c r="K49" s="96">
        <v>6.0</v>
      </c>
      <c r="L49" s="98">
        <v>11.0</v>
      </c>
      <c r="M49" s="96">
        <v>1.0</v>
      </c>
      <c r="N49" s="34">
        <f t="shared" ref="N49:O49" si="54">C49+L49</f>
        <v>191</v>
      </c>
      <c r="O49" s="34">
        <f t="shared" si="54"/>
        <v>8</v>
      </c>
      <c r="P49" s="49" t="s">
        <v>58</v>
      </c>
      <c r="Q49" s="49" t="s">
        <v>58</v>
      </c>
      <c r="R49" s="49"/>
      <c r="S49" s="50">
        <f t="shared" si="4"/>
        <v>12</v>
      </c>
      <c r="T49" s="52">
        <f t="shared" si="5"/>
        <v>0</v>
      </c>
      <c r="U49" s="52"/>
      <c r="V49" s="50">
        <f t="shared" si="6"/>
        <v>6</v>
      </c>
      <c r="W49" s="52">
        <f t="shared" si="7"/>
        <v>0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47</v>
      </c>
      <c r="C50" s="34">
        <v>178.0</v>
      </c>
      <c r="D50" s="34">
        <v>8.0</v>
      </c>
      <c r="E50" s="35">
        <f t="shared" si="2"/>
        <v>14.33333333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187</v>
      </c>
      <c r="O50" s="34">
        <f t="shared" si="55"/>
        <v>8</v>
      </c>
      <c r="P50" s="49" t="s">
        <v>58</v>
      </c>
      <c r="Q50" s="49" t="s">
        <v>58</v>
      </c>
      <c r="R50" s="49"/>
      <c r="S50" s="50">
        <f t="shared" si="4"/>
        <v>3</v>
      </c>
      <c r="T50" s="52">
        <f t="shared" si="5"/>
        <v>0</v>
      </c>
      <c r="U50" s="52"/>
      <c r="V50" s="50">
        <f t="shared" si="6"/>
        <v>15</v>
      </c>
      <c r="W50" s="52">
        <f t="shared" si="7"/>
        <v>0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143</v>
      </c>
      <c r="C51" s="34">
        <v>178.0</v>
      </c>
      <c r="D51" s="34">
        <v>7.0</v>
      </c>
      <c r="E51" s="35">
        <f t="shared" si="2"/>
        <v>13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187</v>
      </c>
      <c r="O51" s="34">
        <f t="shared" si="56"/>
        <v>7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14</v>
      </c>
      <c r="W51" s="52">
        <f t="shared" si="7"/>
        <v>0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144</v>
      </c>
      <c r="C52" s="34">
        <v>175.0</v>
      </c>
      <c r="D52" s="34">
        <v>9.0</v>
      </c>
      <c r="E52" s="35">
        <f t="shared" si="2"/>
        <v>10.28571429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184</v>
      </c>
      <c r="O52" s="34">
        <f t="shared" si="57"/>
        <v>9</v>
      </c>
      <c r="P52" s="49" t="s">
        <v>58</v>
      </c>
      <c r="Q52" s="49" t="s">
        <v>58</v>
      </c>
      <c r="R52" s="49"/>
      <c r="S52" s="50">
        <f t="shared" si="4"/>
        <v>7</v>
      </c>
      <c r="T52" s="52">
        <f t="shared" si="5"/>
        <v>1</v>
      </c>
      <c r="U52" s="52"/>
      <c r="V52" s="50">
        <f t="shared" si="6"/>
        <v>10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121</v>
      </c>
      <c r="C53" s="34">
        <v>175.0</v>
      </c>
      <c r="D53" s="34">
        <v>7.0</v>
      </c>
      <c r="E53" s="35">
        <f t="shared" si="2"/>
        <v>12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184</v>
      </c>
      <c r="O53" s="34">
        <f t="shared" si="58"/>
        <v>7</v>
      </c>
      <c r="P53" s="49" t="s">
        <v>58</v>
      </c>
      <c r="Q53" s="49" t="s">
        <v>58</v>
      </c>
      <c r="R53" s="49"/>
      <c r="S53" s="50">
        <f t="shared" si="4"/>
        <v>3</v>
      </c>
      <c r="T53" s="52">
        <f t="shared" si="5"/>
        <v>1</v>
      </c>
      <c r="U53" s="52"/>
      <c r="V53" s="50">
        <f t="shared" si="6"/>
        <v>14</v>
      </c>
      <c r="W53" s="52">
        <f t="shared" si="7"/>
        <v>3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105</v>
      </c>
      <c r="C54" s="34">
        <v>173.0</v>
      </c>
      <c r="D54" s="34">
        <v>8.0</v>
      </c>
      <c r="E54" s="35">
        <f t="shared" si="2"/>
        <v>11.75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182</v>
      </c>
      <c r="O54" s="34">
        <f t="shared" si="59"/>
        <v>8</v>
      </c>
      <c r="P54" s="49" t="s">
        <v>58</v>
      </c>
      <c r="Q54" s="49" t="s">
        <v>58</v>
      </c>
      <c r="R54" s="49"/>
      <c r="S54" s="50">
        <f t="shared" si="4"/>
        <v>4</v>
      </c>
      <c r="T54" s="52">
        <f t="shared" si="5"/>
        <v>0</v>
      </c>
      <c r="U54" s="52"/>
      <c r="V54" s="50">
        <f t="shared" si="6"/>
        <v>14</v>
      </c>
      <c r="W54" s="52">
        <f t="shared" si="7"/>
        <v>1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95</v>
      </c>
      <c r="C55" s="34">
        <v>173.0</v>
      </c>
      <c r="D55" s="34">
        <v>7.0</v>
      </c>
      <c r="E55" s="35">
        <f t="shared" si="2"/>
        <v>10.75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182</v>
      </c>
      <c r="O55" s="34">
        <f t="shared" si="60"/>
        <v>7</v>
      </c>
      <c r="P55" s="49" t="s">
        <v>58</v>
      </c>
      <c r="Q55" s="49" t="s">
        <v>58</v>
      </c>
      <c r="R55" s="49"/>
      <c r="S55" s="50">
        <f t="shared" si="4"/>
        <v>4</v>
      </c>
      <c r="T55" s="52">
        <f t="shared" si="5"/>
        <v>1</v>
      </c>
      <c r="U55" s="52"/>
      <c r="V55" s="50">
        <f t="shared" si="6"/>
        <v>13</v>
      </c>
      <c r="W55" s="52">
        <f t="shared" si="7"/>
        <v>-2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69</v>
      </c>
      <c r="C56" s="34">
        <v>170.0</v>
      </c>
      <c r="D56" s="34">
        <v>7.0</v>
      </c>
      <c r="E56" s="35">
        <f t="shared" si="2"/>
        <v>11.66666667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179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3</v>
      </c>
      <c r="T56" s="52">
        <f t="shared" si="5"/>
        <v>0</v>
      </c>
      <c r="U56" s="52"/>
      <c r="V56" s="50">
        <f t="shared" si="6"/>
        <v>15</v>
      </c>
      <c r="W56" s="52">
        <f t="shared" si="7"/>
        <v>-2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145</v>
      </c>
      <c r="C57" s="34">
        <v>168.0</v>
      </c>
      <c r="D57" s="34">
        <v>9.0</v>
      </c>
      <c r="E57" s="35">
        <f t="shared" si="2"/>
        <v>9.75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177</v>
      </c>
      <c r="O57" s="34">
        <f t="shared" si="62"/>
        <v>9</v>
      </c>
      <c r="P57" s="49" t="s">
        <v>58</v>
      </c>
      <c r="Q57" s="49" t="s">
        <v>58</v>
      </c>
      <c r="R57" s="49"/>
      <c r="S57" s="50">
        <f t="shared" si="4"/>
        <v>8</v>
      </c>
      <c r="T57" s="52">
        <f t="shared" si="5"/>
        <v>0</v>
      </c>
      <c r="U57" s="52"/>
      <c r="V57" s="50">
        <f t="shared" si="6"/>
        <v>10</v>
      </c>
      <c r="W57" s="52">
        <f t="shared" si="7"/>
        <v>0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142</v>
      </c>
      <c r="C58" s="34">
        <v>167.0</v>
      </c>
      <c r="D58" s="34">
        <v>10.0</v>
      </c>
      <c r="E58" s="35">
        <f t="shared" si="2"/>
        <v>9.5</v>
      </c>
      <c r="F58" s="95">
        <v>1.0</v>
      </c>
      <c r="G58" s="96">
        <v>8.0</v>
      </c>
      <c r="H58" s="97">
        <v>0.0</v>
      </c>
      <c r="I58" s="96">
        <v>3.0</v>
      </c>
      <c r="J58" s="96">
        <v>6.0</v>
      </c>
      <c r="K58" s="96">
        <v>3.0</v>
      </c>
      <c r="L58" s="98">
        <v>12.0</v>
      </c>
      <c r="M58" s="96">
        <v>1.0</v>
      </c>
      <c r="N58" s="34">
        <f t="shared" ref="N58:O58" si="63">C58+L58</f>
        <v>179</v>
      </c>
      <c r="O58" s="34">
        <f t="shared" si="63"/>
        <v>11</v>
      </c>
      <c r="P58" s="49" t="s">
        <v>58</v>
      </c>
      <c r="Q58" s="49" t="s">
        <v>58</v>
      </c>
      <c r="R58" s="49"/>
      <c r="S58" s="50">
        <f t="shared" si="4"/>
        <v>10</v>
      </c>
      <c r="T58" s="52">
        <f t="shared" si="5"/>
        <v>0</v>
      </c>
      <c r="U58" s="52"/>
      <c r="V58" s="50">
        <f t="shared" si="6"/>
        <v>8</v>
      </c>
      <c r="W58" s="52">
        <f t="shared" si="7"/>
        <v>0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140</v>
      </c>
      <c r="C59" s="34">
        <v>164.0</v>
      </c>
      <c r="D59" s="34">
        <v>4.0</v>
      </c>
      <c r="E59" s="35">
        <f t="shared" si="2"/>
        <v>9.666666667</v>
      </c>
      <c r="F59" s="95">
        <v>1.0</v>
      </c>
      <c r="G59" s="96">
        <v>8.0</v>
      </c>
      <c r="H59" s="97">
        <v>0.0</v>
      </c>
      <c r="I59" s="96">
        <v>6.0</v>
      </c>
      <c r="J59" s="96">
        <v>6.0</v>
      </c>
      <c r="K59" s="96">
        <v>6.0</v>
      </c>
      <c r="L59" s="98">
        <v>18.0</v>
      </c>
      <c r="M59" s="96">
        <v>3.0</v>
      </c>
      <c r="N59" s="34">
        <f t="shared" ref="N59:O59" si="64">C59+L59</f>
        <v>182</v>
      </c>
      <c r="O59" s="34">
        <f t="shared" si="64"/>
        <v>7</v>
      </c>
      <c r="P59" s="49" t="s">
        <v>58</v>
      </c>
      <c r="Q59" s="49" t="s">
        <v>58</v>
      </c>
      <c r="R59" s="49"/>
      <c r="S59" s="50">
        <f t="shared" si="4"/>
        <v>3</v>
      </c>
      <c r="T59" s="52">
        <f t="shared" si="5"/>
        <v>0</v>
      </c>
      <c r="U59" s="52"/>
      <c r="V59" s="50">
        <f t="shared" si="6"/>
        <v>15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162.0</v>
      </c>
      <c r="D60" s="34">
        <v>5.0</v>
      </c>
      <c r="E60" s="35">
        <f t="shared" si="2"/>
        <v>9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171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3</v>
      </c>
      <c r="T60" s="52">
        <f t="shared" si="5"/>
        <v>0</v>
      </c>
      <c r="U60" s="52"/>
      <c r="V60" s="50">
        <f t="shared" si="6"/>
        <v>15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147</v>
      </c>
      <c r="C61" s="34">
        <v>158.0</v>
      </c>
      <c r="D61" s="34">
        <v>4.0</v>
      </c>
      <c r="E61" s="35">
        <f t="shared" si="2"/>
        <v>7.666666667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167</v>
      </c>
      <c r="O61" s="34">
        <f t="shared" si="66"/>
        <v>4</v>
      </c>
      <c r="P61" s="49" t="s">
        <v>58</v>
      </c>
      <c r="Q61" s="49" t="s">
        <v>58</v>
      </c>
      <c r="R61" s="49"/>
      <c r="S61" s="50">
        <f t="shared" si="4"/>
        <v>3</v>
      </c>
      <c r="T61" s="52">
        <f t="shared" si="5"/>
        <v>0</v>
      </c>
      <c r="U61" s="52"/>
      <c r="V61" s="50">
        <f t="shared" si="6"/>
        <v>15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148</v>
      </c>
      <c r="C62" s="34">
        <v>158.0</v>
      </c>
      <c r="D62" s="34">
        <v>1.0</v>
      </c>
      <c r="E62" s="35">
        <f t="shared" si="2"/>
        <v>7.4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167</v>
      </c>
      <c r="O62" s="34">
        <f t="shared" si="67"/>
        <v>1</v>
      </c>
      <c r="P62" s="49" t="s">
        <v>58</v>
      </c>
      <c r="Q62" s="49" t="s">
        <v>58</v>
      </c>
      <c r="R62" s="49"/>
      <c r="S62" s="50">
        <f t="shared" si="4"/>
        <v>5</v>
      </c>
      <c r="T62" s="52">
        <f t="shared" si="5"/>
        <v>1</v>
      </c>
      <c r="U62" s="52"/>
      <c r="V62" s="50">
        <f t="shared" si="6"/>
        <v>12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146</v>
      </c>
      <c r="C63" s="34">
        <v>157.0</v>
      </c>
      <c r="D63" s="34">
        <v>4.0</v>
      </c>
      <c r="E63" s="35">
        <f t="shared" si="2"/>
        <v>6.75</v>
      </c>
      <c r="F63" s="95">
        <v>1.0</v>
      </c>
      <c r="G63" s="96">
        <v>8.0</v>
      </c>
      <c r="H63" s="97">
        <v>0.0</v>
      </c>
      <c r="I63" s="96">
        <v>6.0</v>
      </c>
      <c r="J63" s="96">
        <v>2.0</v>
      </c>
      <c r="K63" s="96">
        <v>3.0</v>
      </c>
      <c r="L63" s="98">
        <v>11.0</v>
      </c>
      <c r="M63" s="96">
        <v>1.0</v>
      </c>
      <c r="N63" s="34">
        <f t="shared" ref="N63:O63" si="68">C63+L63</f>
        <v>168</v>
      </c>
      <c r="O63" s="34">
        <f t="shared" si="68"/>
        <v>5</v>
      </c>
      <c r="P63" s="49" t="s">
        <v>58</v>
      </c>
      <c r="Q63" s="49" t="s">
        <v>58</v>
      </c>
      <c r="R63" s="49"/>
      <c r="S63" s="50">
        <f t="shared" si="4"/>
        <v>4</v>
      </c>
      <c r="T63" s="52">
        <f t="shared" si="5"/>
        <v>1</v>
      </c>
      <c r="U63" s="52"/>
      <c r="V63" s="50">
        <f t="shared" si="6"/>
        <v>13</v>
      </c>
      <c r="W63" s="52">
        <f t="shared" si="7"/>
        <v>1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153.0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162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18</v>
      </c>
      <c r="W64" s="52">
        <f t="shared" si="7"/>
        <v>1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153.0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162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18</v>
      </c>
      <c r="W65" s="52">
        <f t="shared" si="7"/>
        <v>1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153.0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162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18</v>
      </c>
      <c r="W66" s="52">
        <f t="shared" si="7"/>
        <v>1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101</v>
      </c>
      <c r="C67" s="34">
        <v>150.0</v>
      </c>
      <c r="D67" s="34">
        <v>7.0</v>
      </c>
      <c r="E67" s="35">
        <f t="shared" si="2"/>
        <v>7.909090909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159</v>
      </c>
      <c r="O67" s="34">
        <f t="shared" si="72"/>
        <v>7</v>
      </c>
      <c r="P67" s="49" t="s">
        <v>58</v>
      </c>
      <c r="Q67" s="49" t="s">
        <v>58</v>
      </c>
      <c r="R67" s="49"/>
      <c r="S67" s="50">
        <f t="shared" si="4"/>
        <v>11</v>
      </c>
      <c r="T67" s="52">
        <f t="shared" si="5"/>
        <v>0</v>
      </c>
      <c r="U67" s="52"/>
      <c r="V67" s="50">
        <f t="shared" si="6"/>
        <v>7</v>
      </c>
      <c r="W67" s="52">
        <f t="shared" si="7"/>
        <v>-4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147.0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156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16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139.0</v>
      </c>
      <c r="D69" s="34">
        <v>1.0</v>
      </c>
      <c r="E69" s="35">
        <f t="shared" si="2"/>
        <v>3.25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148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4</v>
      </c>
      <c r="T69" s="52">
        <f t="shared" si="5"/>
        <v>0</v>
      </c>
      <c r="U69" s="52"/>
      <c r="V69" s="50">
        <f t="shared" si="6"/>
        <v>14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10/25/25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desc"",0)"),"Jim Miao")</f>
        <v>Jim Miao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IFERROR(__xludf.DUMMYFUNCTION("""COMPUTED_VALUE"""),5.0)</f>
        <v>5</v>
      </c>
      <c r="F81" s="1"/>
    </row>
    <row r="82">
      <c r="A82" s="1"/>
      <c r="B82" s="33" t="str">
        <f>IFERROR(__xludf.DUMMYFUNCTION("""COMPUTED_VALUE"""),"Adrian Tay")</f>
        <v>Adrian Tay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IFERROR(__xludf.DUMMYFUNCTION("""COMPUTED_VALUE"""),1.0)</f>
        <v>1</v>
      </c>
      <c r="F82" s="1"/>
    </row>
    <row r="83">
      <c r="A83" s="1"/>
      <c r="B83" s="33" t="str">
        <f>IFERROR(__xludf.DUMMYFUNCTION("""COMPUTED_VALUE"""),"Naveen Raj")</f>
        <v>Naveen Raj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IFERROR(__xludf.DUMMYFUNCTION("""COMPUTED_VALUE"""),6.0)</f>
        <v>6</v>
      </c>
      <c r="F83" s="1"/>
    </row>
    <row r="84">
      <c r="A84" s="1"/>
      <c r="B84" s="33" t="str">
        <f>IFERROR(__xludf.DUMMYFUNCTION("""COMPUTED_VALUE"""),"Darren Wong")</f>
        <v>Darren Wong</v>
      </c>
      <c r="C84" s="117">
        <f>IFERROR(__xludf.DUMMYFUNCTION("""COMPUTED_VALUE"""),18.0)</f>
        <v>18</v>
      </c>
      <c r="D84" s="117">
        <f>IFERROR(__xludf.DUMMYFUNCTION("""COMPUTED_VALUE"""),2.0)</f>
        <v>2</v>
      </c>
      <c r="E84" s="117">
        <f>IFERROR(__xludf.DUMMYFUNCTION("""COMPUTED_VALUE"""),2.0)</f>
        <v>2</v>
      </c>
      <c r="F84" s="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10"")"),"Allen Zhang")</f>
        <v>Allen Zhang</v>
      </c>
      <c r="C100" s="117">
        <f>IFERROR(__xludf.DUMMYFUNCTION("""COMPUTED_VALUE"""),7.0)</f>
        <v>7</v>
      </c>
      <c r="D100" s="117">
        <f t="shared" ref="D100:D109" si="75">VLOOKUP(B100,indirect($AC$2&amp;"!B$5:X$69"),23, false)</f>
        <v>25</v>
      </c>
      <c r="E100" s="117">
        <f t="shared" ref="E100:E109" si="76">VLOOKUP(B100,B$5:X$69,23, false)</f>
        <v>18</v>
      </c>
      <c r="F100" s="117">
        <f t="shared" ref="F100:F109" si="77">VLOOKUP(B100,indirect($AC$2&amp;"!B$5:U$70"),11, false)</f>
        <v>16</v>
      </c>
      <c r="G100" s="117">
        <f t="shared" ref="G100:G109" si="78">VLOOKUP(B100,indirect($AC$2&amp;"!B$5:U$70"),6, false)</f>
        <v>4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IFERROR(__xludf.DUMMYFUNCTION("""COMPUTED_VALUE"""),"Darren Wong")</f>
        <v>Darren Wong</v>
      </c>
      <c r="C101" s="117">
        <f>IFERROR(__xludf.DUMMYFUNCTION("""COMPUTED_VALUE"""),5.0)</f>
        <v>5</v>
      </c>
      <c r="D101" s="117">
        <f t="shared" si="75"/>
        <v>7</v>
      </c>
      <c r="E101" s="117">
        <f t="shared" si="76"/>
        <v>2</v>
      </c>
      <c r="F101" s="117">
        <f t="shared" si="77"/>
        <v>18</v>
      </c>
      <c r="G101" s="117">
        <f t="shared" si="78"/>
        <v>2</v>
      </c>
      <c r="L101" s="117" t="str">
        <f t="shared" si="79"/>
        <v>ok</v>
      </c>
    </row>
    <row r="102">
      <c r="A102" s="1"/>
      <c r="B102" s="33" t="str">
        <f>IFERROR(__xludf.DUMMYFUNCTION("""COMPUTED_VALUE"""),"Herman Au")</f>
        <v>Herman Au</v>
      </c>
      <c r="C102" s="117">
        <f>IFERROR(__xludf.DUMMYFUNCTION("""COMPUTED_VALUE"""),5.0)</f>
        <v>5</v>
      </c>
      <c r="D102" s="117">
        <f t="shared" si="75"/>
        <v>27</v>
      </c>
      <c r="E102" s="117">
        <f t="shared" si="76"/>
        <v>22</v>
      </c>
      <c r="F102" s="117">
        <f t="shared" si="77"/>
        <v>17</v>
      </c>
      <c r="G102" s="117">
        <f t="shared" si="78"/>
        <v>4</v>
      </c>
      <c r="L102" s="117" t="str">
        <f t="shared" si="79"/>
        <v>ok</v>
      </c>
    </row>
    <row r="103">
      <c r="A103" s="1"/>
      <c r="B103" s="33" t="str">
        <f>IFERROR(__xludf.DUMMYFUNCTION("""COMPUTED_VALUE"""),"Nicole Ni")</f>
        <v>Nicole Ni</v>
      </c>
      <c r="C103" s="117">
        <f>IFERROR(__xludf.DUMMYFUNCTION("""COMPUTED_VALUE"""),5.0)</f>
        <v>5</v>
      </c>
      <c r="D103" s="117">
        <f t="shared" si="75"/>
        <v>30</v>
      </c>
      <c r="E103" s="117">
        <f t="shared" si="76"/>
        <v>25</v>
      </c>
      <c r="F103" s="117">
        <f t="shared" si="77"/>
        <v>17</v>
      </c>
      <c r="G103" s="117">
        <f t="shared" si="78"/>
        <v>4</v>
      </c>
      <c r="L103" s="117" t="str">
        <f t="shared" si="79"/>
        <v>ok</v>
      </c>
    </row>
    <row r="104">
      <c r="A104" s="1"/>
      <c r="B104" s="33" t="str">
        <f>IFERROR(__xludf.DUMMYFUNCTION("""COMPUTED_VALUE"""),"Matthew Huang")</f>
        <v>Matthew Huang</v>
      </c>
      <c r="C104" s="117">
        <f>IFERROR(__xludf.DUMMYFUNCTION("""COMPUTED_VALUE"""),4.0)</f>
        <v>4</v>
      </c>
      <c r="D104" s="117">
        <f t="shared" si="75"/>
        <v>12</v>
      </c>
      <c r="E104" s="117">
        <f t="shared" si="76"/>
        <v>8</v>
      </c>
      <c r="F104" s="117">
        <f t="shared" si="77"/>
        <v>17</v>
      </c>
      <c r="G104" s="117">
        <f t="shared" si="78"/>
        <v>2</v>
      </c>
      <c r="L104" s="117" t="str">
        <f t="shared" si="79"/>
        <v>ok</v>
      </c>
    </row>
    <row r="105">
      <c r="A105" s="1"/>
      <c r="B105" s="33" t="str">
        <f>IFERROR(__xludf.DUMMYFUNCTION("""COMPUTED_VALUE"""),"Hongyuan Wen")</f>
        <v>Hongyuan Wen</v>
      </c>
      <c r="C105" s="117">
        <f>IFERROR(__xludf.DUMMYFUNCTION("""COMPUTED_VALUE"""),4.0)</f>
        <v>4</v>
      </c>
      <c r="D105" s="117">
        <f t="shared" si="75"/>
        <v>21</v>
      </c>
      <c r="E105" s="117">
        <f t="shared" si="76"/>
        <v>17</v>
      </c>
      <c r="F105" s="117">
        <f t="shared" si="77"/>
        <v>15</v>
      </c>
      <c r="G105" s="117">
        <f t="shared" si="78"/>
        <v>3</v>
      </c>
      <c r="L105" s="117" t="str">
        <f t="shared" si="79"/>
        <v>ok</v>
      </c>
    </row>
    <row r="106">
      <c r="A106" s="1"/>
      <c r="B106" s="33" t="str">
        <f>IFERROR(__xludf.DUMMYFUNCTION("""COMPUTED_VALUE"""),"Jim Miao")</f>
        <v>Jim Miao</v>
      </c>
      <c r="C106" s="117">
        <f>IFERROR(__xludf.DUMMYFUNCTION("""COMPUTED_VALUE"""),4.0)</f>
        <v>4</v>
      </c>
      <c r="D106" s="117">
        <f t="shared" si="75"/>
        <v>36</v>
      </c>
      <c r="E106" s="117">
        <f t="shared" si="76"/>
        <v>32</v>
      </c>
      <c r="F106" s="117">
        <f t="shared" si="77"/>
        <v>19</v>
      </c>
      <c r="G106" s="117">
        <f t="shared" si="78"/>
        <v>5</v>
      </c>
      <c r="L106" s="117" t="str">
        <f t="shared" si="79"/>
        <v>ok</v>
      </c>
    </row>
    <row r="107">
      <c r="A107" s="1"/>
      <c r="B107" s="33" t="str">
        <f>IFERROR(__xludf.DUMMYFUNCTION("""COMPUTED_VALUE"""),"Naveen Raj")</f>
        <v>Naveen Raj</v>
      </c>
      <c r="C107" s="117">
        <f>IFERROR(__xludf.DUMMYFUNCTION("""COMPUTED_VALUE"""),4.0)</f>
        <v>4</v>
      </c>
      <c r="D107" s="117">
        <f t="shared" si="75"/>
        <v>38</v>
      </c>
      <c r="E107" s="117">
        <f t="shared" si="76"/>
        <v>34</v>
      </c>
      <c r="F107" s="117">
        <f t="shared" si="77"/>
        <v>18</v>
      </c>
      <c r="G107" s="117">
        <f t="shared" si="78"/>
        <v>6</v>
      </c>
      <c r="L107" s="117" t="str">
        <f t="shared" si="79"/>
        <v>ok</v>
      </c>
    </row>
    <row r="108">
      <c r="A108" s="1"/>
      <c r="B108" s="33" t="str">
        <f>IFERROR(__xludf.DUMMYFUNCTION("""COMPUTED_VALUE"""),"James Phan")</f>
        <v>James Phan</v>
      </c>
      <c r="C108" s="117">
        <f>IFERROR(__xludf.DUMMYFUNCTION("""COMPUTED_VALUE"""),3.0)</f>
        <v>3</v>
      </c>
      <c r="D108" s="117">
        <f t="shared" si="75"/>
        <v>52</v>
      </c>
      <c r="E108" s="117">
        <f t="shared" si="76"/>
        <v>49</v>
      </c>
      <c r="F108" s="117">
        <f t="shared" si="77"/>
        <v>15</v>
      </c>
      <c r="G108" s="117">
        <f t="shared" si="78"/>
        <v>7</v>
      </c>
      <c r="L108" s="117" t="str">
        <f t="shared" si="79"/>
        <v>ok</v>
      </c>
    </row>
    <row r="109">
      <c r="A109" s="1"/>
      <c r="B109" s="33" t="str">
        <f>IFERROR(__xludf.DUMMYFUNCTION("""COMPUTED_VALUE"""),"Lam Bui")</f>
        <v>Lam Bui</v>
      </c>
      <c r="C109" s="117">
        <f>IFERROR(__xludf.DUMMYFUNCTION("""COMPUTED_VALUE"""),2.0)</f>
        <v>2</v>
      </c>
      <c r="D109" s="117">
        <f t="shared" si="75"/>
        <v>6</v>
      </c>
      <c r="E109" s="117">
        <f t="shared" si="76"/>
        <v>4</v>
      </c>
      <c r="F109" s="117">
        <f t="shared" si="77"/>
        <v>13</v>
      </c>
      <c r="G109" s="117">
        <f t="shared" si="78"/>
        <v>1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18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260</v>
      </c>
      <c r="D118" s="117">
        <f t="shared" si="80"/>
        <v>33</v>
      </c>
      <c r="E118" s="117">
        <f t="shared" si="80"/>
        <v>17.16666667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238</v>
      </c>
      <c r="D119" s="117">
        <f t="shared" si="81"/>
        <v>27</v>
      </c>
      <c r="E119" s="117">
        <f t="shared" si="81"/>
        <v>15.33333333</v>
      </c>
      <c r="F119" s="1"/>
    </row>
    <row r="120">
      <c r="A120" s="117">
        <f t="shared" ref="A120:E120" si="82">A7</f>
        <v>3</v>
      </c>
      <c r="B120" s="33" t="str">
        <f t="shared" si="82"/>
        <v>Pulkit Mathur</v>
      </c>
      <c r="C120" s="117">
        <f t="shared" si="82"/>
        <v>234</v>
      </c>
      <c r="D120" s="117">
        <f t="shared" si="82"/>
        <v>24</v>
      </c>
      <c r="E120" s="117">
        <f t="shared" si="82"/>
        <v>14.53846154</v>
      </c>
      <c r="F120" s="1"/>
    </row>
    <row r="121">
      <c r="A121" s="117">
        <f t="shared" ref="A121:E121" si="83">A8</f>
        <v>4</v>
      </c>
      <c r="B121" s="33" t="str">
        <f t="shared" si="83"/>
        <v>Lam Bui</v>
      </c>
      <c r="C121" s="117">
        <f t="shared" si="83"/>
        <v>234</v>
      </c>
      <c r="D121" s="117">
        <f t="shared" si="83"/>
        <v>22</v>
      </c>
      <c r="E121" s="117">
        <f t="shared" si="83"/>
        <v>13.8</v>
      </c>
      <c r="F121" s="1"/>
    </row>
    <row r="122">
      <c r="A122" s="117">
        <f t="shared" ref="A122:E122" si="84">A9</f>
        <v>5</v>
      </c>
      <c r="B122" s="33" t="str">
        <f t="shared" si="84"/>
        <v>David Shin</v>
      </c>
      <c r="C122" s="117">
        <f t="shared" si="84"/>
        <v>233</v>
      </c>
      <c r="D122" s="117">
        <f t="shared" si="84"/>
        <v>22</v>
      </c>
      <c r="E122" s="117">
        <f t="shared" si="84"/>
        <v>13.4375</v>
      </c>
      <c r="F122" s="1"/>
    </row>
    <row r="123">
      <c r="A123" s="117">
        <f t="shared" ref="A123:E123" si="85">A10</f>
        <v>6</v>
      </c>
      <c r="B123" s="33" t="str">
        <f t="shared" si="85"/>
        <v>Rajasekar Ramasamy</v>
      </c>
      <c r="C123" s="117">
        <f t="shared" si="85"/>
        <v>232</v>
      </c>
      <c r="D123" s="117">
        <f t="shared" si="85"/>
        <v>26</v>
      </c>
      <c r="E123" s="117">
        <f t="shared" si="85"/>
        <v>13.125</v>
      </c>
      <c r="F123" s="1"/>
    </row>
    <row r="124">
      <c r="A124" s="117">
        <f t="shared" ref="A124:E124" si="86">A11</f>
        <v>7</v>
      </c>
      <c r="B124" s="33" t="str">
        <f t="shared" si="86"/>
        <v>Sandeep Kamalon</v>
      </c>
      <c r="C124" s="117">
        <f t="shared" si="86"/>
        <v>231</v>
      </c>
      <c r="D124" s="117">
        <f t="shared" si="86"/>
        <v>26</v>
      </c>
      <c r="E124" s="117">
        <f t="shared" si="86"/>
        <v>13.0625</v>
      </c>
      <c r="F124" s="1"/>
    </row>
    <row r="125">
      <c r="A125" s="117">
        <f t="shared" ref="A125:E125" si="87">A12</f>
        <v>8</v>
      </c>
      <c r="B125" s="33" t="str">
        <f t="shared" si="87"/>
        <v>Matthew Huang</v>
      </c>
      <c r="C125" s="117">
        <f t="shared" si="87"/>
        <v>231</v>
      </c>
      <c r="D125" s="117">
        <f t="shared" si="87"/>
        <v>24</v>
      </c>
      <c r="E125" s="117">
        <f t="shared" si="87"/>
        <v>15.27272727</v>
      </c>
      <c r="F125" s="1"/>
    </row>
    <row r="126">
      <c r="A126" s="117">
        <f t="shared" ref="A126:E126" si="88">A13</f>
        <v>9</v>
      </c>
      <c r="B126" s="33" t="str">
        <f t="shared" si="88"/>
        <v>Tom Le</v>
      </c>
      <c r="C126" s="117">
        <f t="shared" si="88"/>
        <v>230</v>
      </c>
      <c r="D126" s="117">
        <f t="shared" si="88"/>
        <v>23</v>
      </c>
      <c r="E126" s="117">
        <f t="shared" si="88"/>
        <v>14.33333333</v>
      </c>
      <c r="F126" s="1"/>
    </row>
    <row r="127">
      <c r="A127" s="117">
        <f t="shared" ref="A127:E127" si="89">A14</f>
        <v>10</v>
      </c>
      <c r="B127" s="33" t="str">
        <f t="shared" si="89"/>
        <v>Joe Luzzi</v>
      </c>
      <c r="C127" s="117">
        <f t="shared" si="89"/>
        <v>226</v>
      </c>
      <c r="D127" s="117">
        <f t="shared" si="89"/>
        <v>17</v>
      </c>
      <c r="E127" s="117">
        <f t="shared" si="89"/>
        <v>13.61538462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ASC"")"),"Nicole Ni")</f>
        <v>Nicole Ni</v>
      </c>
      <c r="C153" s="1"/>
      <c r="D153" s="1"/>
      <c r="E153" s="1"/>
      <c r="F153" s="1"/>
    </row>
    <row r="154">
      <c r="A154" s="117">
        <f t="shared" ref="A154:A168" si="90">if(B154&lt;&gt;"",A153+1,0)</f>
        <v>0</v>
      </c>
      <c r="B154" s="33"/>
      <c r="C154" s="1"/>
      <c r="D154" s="1"/>
      <c r="E154" s="1"/>
      <c r="F154" s="1"/>
      <c r="P154" s="33"/>
    </row>
    <row r="155">
      <c r="A155" s="117">
        <f t="shared" si="90"/>
        <v>0</v>
      </c>
      <c r="B155" s="33"/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10/25/25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IFERROR(__xludf.DUMMYFUNCTION("""COMPUTED_VALUE"""),"Adrian Tay")</f>
        <v>Adrian Tay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IFERROR(__xludf.DUMMYFUNCTION("""COMPUTED_VALUE"""),6.0)</f>
        <v>6</v>
      </c>
      <c r="F184" s="122">
        <f>IFERROR(__xludf.DUMMYFUNCTION("""COMPUTED_VALUE"""),18.0)</f>
        <v>18</v>
      </c>
      <c r="G184" s="122">
        <f>IFERROR(__xludf.DUMMYFUNCTION("""COMPUTED_VALUE"""),3.0)</f>
        <v>3</v>
      </c>
    </row>
    <row r="185">
      <c r="A185" s="117">
        <f>IFERROR(__xludf.DUMMYFUNCTION("""COMPUTED_VALUE"""),1.0)</f>
        <v>1</v>
      </c>
      <c r="B185" s="33" t="str">
        <f>IFERROR(__xludf.DUMMYFUNCTION("""COMPUTED_VALUE"""),"David Shin")</f>
        <v>David Shin</v>
      </c>
      <c r="C185" s="122">
        <f>IFERROR(__xludf.DUMMYFUNCTION("""COMPUTED_VALUE"""),4.0)</f>
        <v>4</v>
      </c>
      <c r="D185" s="122">
        <f>IFERROR(__xludf.DUMMYFUNCTION("""COMPUTED_VALUE"""),6.0)</f>
        <v>6</v>
      </c>
      <c r="E185" s="122">
        <f>IFERROR(__xludf.DUMMYFUNCTION("""COMPUTED_VALUE"""),1.0)</f>
        <v>1</v>
      </c>
      <c r="F185" s="122">
        <f>IFERROR(__xludf.DUMMYFUNCTION("""COMPUTED_VALUE"""),11.0)</f>
        <v>11</v>
      </c>
      <c r="G185" s="122">
        <f>IFERROR(__xludf.DUMMYFUNCTION("""COMPUTED_VALUE"""),1.0)</f>
        <v>1</v>
      </c>
    </row>
    <row r="186">
      <c r="A186" s="117">
        <f>IFERROR(__xludf.DUMMYFUNCTION("""COMPUTED_VALUE"""),1.0)</f>
        <v>1</v>
      </c>
      <c r="B186" s="33" t="str">
        <f>IFERROR(__xludf.DUMMYFUNCTION("""COMPUTED_VALUE"""),"Sandeep Kamalon")</f>
        <v>Sandeep Kamalon</v>
      </c>
      <c r="C186" s="122">
        <f>IFERROR(__xludf.DUMMYFUNCTION("""COMPUTED_VALUE"""),6.0)</f>
        <v>6</v>
      </c>
      <c r="D186" s="122">
        <f>IFERROR(__xludf.DUMMYFUNCTION("""COMPUTED_VALUE"""),3.0)</f>
        <v>3</v>
      </c>
      <c r="E186" s="122">
        <f>IFERROR(__xludf.DUMMYFUNCTION("""COMPUTED_VALUE"""),1.0)</f>
        <v>1</v>
      </c>
      <c r="F186" s="122">
        <f>IFERROR(__xludf.DUMMYFUNCTION("""COMPUTED_VALUE"""),10.0)</f>
        <v>10</v>
      </c>
      <c r="G186" s="122">
        <f>IFERROR(__xludf.DUMMYFUNCTION("""COMPUTED_VALUE"""),1.0)</f>
        <v>1</v>
      </c>
    </row>
    <row r="187">
      <c r="A187" s="117">
        <f>IFERROR(__xludf.DUMMYFUNCTION("""COMPUTED_VALUE"""),1.0)</f>
        <v>1</v>
      </c>
      <c r="B187" s="33" t="str">
        <f>IFERROR(__xludf.DUMMYFUNCTION("""COMPUTED_VALUE"""),"Lam Bui")</f>
        <v>Lam Bui</v>
      </c>
      <c r="C187" s="122">
        <f>IFERROR(__xludf.DUMMYFUNCTION("""COMPUTED_VALUE"""),4.0)</f>
        <v>4</v>
      </c>
      <c r="D187" s="122">
        <f>IFERROR(__xludf.DUMMYFUNCTION("""COMPUTED_VALUE"""),3.0)</f>
        <v>3</v>
      </c>
      <c r="E187" s="122">
        <f>IFERROR(__xludf.DUMMYFUNCTION("""COMPUTED_VALUE"""),6.0)</f>
        <v>6</v>
      </c>
      <c r="F187" s="122">
        <f>IFERROR(__xludf.DUMMYFUNCTION("""COMPUTED_VALUE"""),13.0)</f>
        <v>13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IFERROR(__xludf.DUMMYFUNCTION("""COMPUTED_VALUE"""),"Darren Wong")</f>
        <v>Darren Wong</v>
      </c>
      <c r="C188" s="125">
        <f>IFERROR(__xludf.DUMMYFUNCTION("""COMPUTED_VALUE"""),6.0)</f>
        <v>6</v>
      </c>
      <c r="D188" s="125">
        <f>IFERROR(__xludf.DUMMYFUNCTION("""COMPUTED_VALUE"""),6.0)</f>
        <v>6</v>
      </c>
      <c r="E188" s="125">
        <f>IFERROR(__xludf.DUMMYFUNCTION("""COMPUTED_VALUE"""),6.0)</f>
        <v>6</v>
      </c>
      <c r="F188" s="125">
        <f>IFERROR(__xludf.DUMMYFUNCTION("""COMPUTED_VALUE"""),18.0)</f>
        <v>18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IFERROR(__xludf.DUMMYFUNCTION("""COMPUTED_VALUE"""),"Rajasekar Ramasamy")</f>
        <v>Rajasekar Ramasamy</v>
      </c>
      <c r="C189" s="125">
        <f>IFERROR(__xludf.DUMMYFUNCTION("""COMPUTED_VALUE"""),7.0)</f>
        <v>7</v>
      </c>
      <c r="D189" s="125">
        <f>IFERROR(__xludf.DUMMYFUNCTION("""COMPUTED_VALUE"""),6.0)</f>
        <v>6</v>
      </c>
      <c r="E189" s="125">
        <f>IFERROR(__xludf.DUMMYFUNCTION("""COMPUTED_VALUE"""),2.0)</f>
        <v>2</v>
      </c>
      <c r="F189" s="125">
        <f>IFERROR(__xludf.DUMMYFUNCTION("""COMPUTED_VALUE"""),15.0)</f>
        <v>15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IFERROR(__xludf.DUMMYFUNCTION("""COMPUTED_VALUE"""),"Matthew Huang")</f>
        <v>Matthew Huang</v>
      </c>
      <c r="C190" s="125">
        <f>IFERROR(__xludf.DUMMYFUNCTION("""COMPUTED_VALUE"""),7.0)</f>
        <v>7</v>
      </c>
      <c r="D190" s="125">
        <f>IFERROR(__xludf.DUMMYFUNCTION("""COMPUTED_VALUE"""),4.0)</f>
        <v>4</v>
      </c>
      <c r="E190" s="125">
        <f>IFERROR(__xludf.DUMMYFUNCTION("""COMPUTED_VALUE"""),6.0)</f>
        <v>6</v>
      </c>
      <c r="F190" s="125">
        <f>IFERROR(__xludf.DUMMYFUNCTION("""COMPUTED_VALUE"""),17.0)</f>
        <v>17</v>
      </c>
      <c r="G190" s="125">
        <f>IFERROR(__xludf.DUMMYFUNCTION("""COMPUTED_VALUE"""),2.0)</f>
        <v>2</v>
      </c>
    </row>
    <row r="191">
      <c r="A191" s="123">
        <f>IFERROR(__xludf.DUMMYFUNCTION("""COMPUTED_VALUE"""),2.0)</f>
        <v>2</v>
      </c>
      <c r="B191" s="124" t="str">
        <f>IFERROR(__xludf.DUMMYFUNCTION("""COMPUTED_VALUE"""),"Ethan Gu")</f>
        <v>Ethan Gu</v>
      </c>
      <c r="C191" s="125">
        <f>IFERROR(__xludf.DUMMYFUNCTION("""COMPUTED_VALUE"""),6.0)</f>
        <v>6</v>
      </c>
      <c r="D191" s="125">
        <f>IFERROR(__xludf.DUMMYFUNCTION("""COMPUTED_VALUE"""),4.0)</f>
        <v>4</v>
      </c>
      <c r="E191" s="125">
        <f>IFERROR(__xludf.DUMMYFUNCTION("""COMPUTED_VALUE"""),2.0)</f>
        <v>2</v>
      </c>
      <c r="F191" s="125">
        <f>IFERROR(__xludf.DUMMYFUNCTION("""COMPUTED_VALUE"""),12.0)</f>
        <v>12</v>
      </c>
      <c r="G191" s="125">
        <f>IFERROR(__xludf.DUMMYFUNCTION("""COMPUTED_VALUE"""),0.0)</f>
        <v>0</v>
      </c>
    </row>
    <row r="192">
      <c r="A192" s="117">
        <f>IFERROR(__xludf.DUMMYFUNCTION("""COMPUTED_VALUE"""),3.0)</f>
        <v>3</v>
      </c>
      <c r="B192" s="33" t="str">
        <f>IFERROR(__xludf.DUMMYFUNCTION("""COMPUTED_VALUE"""),"Frank Moon")</f>
        <v>Frank Moon</v>
      </c>
      <c r="C192" s="122">
        <f>IFERROR(__xludf.DUMMYFUNCTION("""COMPUTED_VALUE"""),6.0)</f>
        <v>6</v>
      </c>
      <c r="D192" s="122">
        <f>IFERROR(__xludf.DUMMYFUNCTION("""COMPUTED_VALUE"""),6.0)</f>
        <v>6</v>
      </c>
      <c r="E192" s="122">
        <f>IFERROR(__xludf.DUMMYFUNCTION("""COMPUTED_VALUE"""),2.0)</f>
        <v>2</v>
      </c>
      <c r="F192" s="122">
        <f>IFERROR(__xludf.DUMMYFUNCTION("""COMPUTED_VALUE"""),14.0)</f>
        <v>14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IFERROR(__xludf.DUMMYFUNCTION("""COMPUTED_VALUE"""),"Tina Hanson")</f>
        <v>Tina Hanson</v>
      </c>
      <c r="C193" s="122">
        <f>IFERROR(__xludf.DUMMYFUNCTION("""COMPUTED_VALUE"""),3.0)</f>
        <v>3</v>
      </c>
      <c r="D193" s="122">
        <f>IFERROR(__xludf.DUMMYFUNCTION("""COMPUTED_VALUE"""),6.0)</f>
        <v>6</v>
      </c>
      <c r="E193" s="122">
        <f>IFERROR(__xludf.DUMMYFUNCTION("""COMPUTED_VALUE"""),6.0)</f>
        <v>6</v>
      </c>
      <c r="F193" s="122">
        <f>IFERROR(__xludf.DUMMYFUNCTION("""COMPUTED_VALUE"""),15.0)</f>
        <v>15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IFERROR(__xludf.DUMMYFUNCTION("""COMPUTED_VALUE"""),"Chinna Ponnaganti")</f>
        <v>Chinna Ponnaganti</v>
      </c>
      <c r="C194" s="122">
        <f>IFERROR(__xludf.DUMMYFUNCTION("""COMPUTED_VALUE"""),3.0)</f>
        <v>3</v>
      </c>
      <c r="D194" s="122">
        <f>IFERROR(__xludf.DUMMYFUNCTION("""COMPUTED_VALUE"""),3.0)</f>
        <v>3</v>
      </c>
      <c r="E194" s="122">
        <f>IFERROR(__xludf.DUMMYFUNCTION("""COMPUTED_VALUE"""),2.0)</f>
        <v>2</v>
      </c>
      <c r="F194" s="122">
        <f>IFERROR(__xludf.DUMMYFUNCTION("""COMPUTED_VALUE"""),8.0)</f>
        <v>8</v>
      </c>
      <c r="G194" s="122">
        <f>IFERROR(__xludf.DUMMYFUNCTION("""COMPUTED_VALUE"""),0.0)</f>
        <v>0</v>
      </c>
    </row>
    <row r="195">
      <c r="A195" s="117">
        <f>IFERROR(__xludf.DUMMYFUNCTION("""COMPUTED_VALUE"""),3.0)</f>
        <v>3</v>
      </c>
      <c r="B195" s="33" t="str">
        <f>IFERROR(__xludf.DUMMYFUNCTION("""COMPUTED_VALUE"""),"Hongyuan Wen")</f>
        <v>Hongyuan Wen</v>
      </c>
      <c r="C195" s="122">
        <f>IFERROR(__xludf.DUMMYFUNCTION("""COMPUTED_VALUE"""),6.0)</f>
        <v>6</v>
      </c>
      <c r="D195" s="122">
        <f>IFERROR(__xludf.DUMMYFUNCTION("""COMPUTED_VALUE"""),3.0)</f>
        <v>3</v>
      </c>
      <c r="E195" s="122">
        <f>IFERROR(__xludf.DUMMYFUNCTION("""COMPUTED_VALUE"""),6.0)</f>
        <v>6</v>
      </c>
      <c r="F195" s="122">
        <f>IFERROR(__xludf.DUMMYFUNCTION("""COMPUTED_VALUE"""),15.0)</f>
        <v>15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IFERROR(__xludf.DUMMYFUNCTION("""COMPUTED_VALUE"""),"Allen Zhang")</f>
        <v>Allen Zhang</v>
      </c>
      <c r="C196" s="125">
        <f>IFERROR(__xludf.DUMMYFUNCTION("""COMPUTED_VALUE"""),3.0)</f>
        <v>3</v>
      </c>
      <c r="D196" s="125">
        <f>IFERROR(__xludf.DUMMYFUNCTION("""COMPUTED_VALUE"""),7.0)</f>
        <v>7</v>
      </c>
      <c r="E196" s="125">
        <f>IFERROR(__xludf.DUMMYFUNCTION("""COMPUTED_VALUE"""),6.0)</f>
        <v>6</v>
      </c>
      <c r="F196" s="125">
        <f>IFERROR(__xludf.DUMMYFUNCTION("""COMPUTED_VALUE"""),16.0)</f>
        <v>16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IFERROR(__xludf.DUMMYFUNCTION("""COMPUTED_VALUE"""),"Herman Au")</f>
        <v>Herman Au</v>
      </c>
      <c r="C197" s="125">
        <f>IFERROR(__xludf.DUMMYFUNCTION("""COMPUTED_VALUE"""),6.0)</f>
        <v>6</v>
      </c>
      <c r="D197" s="125">
        <f>IFERROR(__xludf.DUMMYFUNCTION("""COMPUTED_VALUE"""),7.0)</f>
        <v>7</v>
      </c>
      <c r="E197" s="125">
        <f>IFERROR(__xludf.DUMMYFUNCTION("""COMPUTED_VALUE"""),4.0)</f>
        <v>4</v>
      </c>
      <c r="F197" s="125">
        <f>IFERROR(__xludf.DUMMYFUNCTION("""COMPUTED_VALUE"""),17.0)</f>
        <v>17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IFERROR(__xludf.DUMMYFUNCTION("""COMPUTED_VALUE"""),"Coco Yan")</f>
        <v>Coco Yan</v>
      </c>
      <c r="C198" s="125">
        <f>IFERROR(__xludf.DUMMYFUNCTION("""COMPUTED_VALUE"""),3.0)</f>
        <v>3</v>
      </c>
      <c r="D198" s="125">
        <f>IFERROR(__xludf.DUMMYFUNCTION("""COMPUTED_VALUE"""),5.0)</f>
        <v>5</v>
      </c>
      <c r="E198" s="125">
        <f>IFERROR(__xludf.DUMMYFUNCTION("""COMPUTED_VALUE"""),4.0)</f>
        <v>4</v>
      </c>
      <c r="F198" s="125">
        <f>IFERROR(__xludf.DUMMYFUNCTION("""COMPUTED_VALUE"""),12.0)</f>
        <v>12</v>
      </c>
      <c r="G198" s="125">
        <f>IFERROR(__xludf.DUMMYFUNCTION("""COMPUTED_VALUE"""),0.0)</f>
        <v>0</v>
      </c>
    </row>
    <row r="199">
      <c r="A199" s="123">
        <f>IFERROR(__xludf.DUMMYFUNCTION("""COMPUTED_VALUE"""),4.0)</f>
        <v>4</v>
      </c>
      <c r="B199" s="124" t="str">
        <f>IFERROR(__xludf.DUMMYFUNCTION("""COMPUTED_VALUE"""),"Nicole Ni")</f>
        <v>Nicole Ni</v>
      </c>
      <c r="C199" s="125">
        <f>IFERROR(__xludf.DUMMYFUNCTION("""COMPUTED_VALUE"""),6.0)</f>
        <v>6</v>
      </c>
      <c r="D199" s="125">
        <f>IFERROR(__xludf.DUMMYFUNCTION("""COMPUTED_VALUE"""),5.0)</f>
        <v>5</v>
      </c>
      <c r="E199" s="125">
        <f>IFERROR(__xludf.DUMMYFUNCTION("""COMPUTED_VALUE"""),6.0)</f>
        <v>6</v>
      </c>
      <c r="F199" s="125">
        <f>IFERROR(__xludf.DUMMYFUNCTION("""COMPUTED_VALUE"""),17.0)</f>
        <v>17</v>
      </c>
      <c r="G199" s="125">
        <f>IFERROR(__xludf.DUMMYFUNCTION("""COMPUTED_VALUE"""),2.0)</f>
        <v>2</v>
      </c>
    </row>
    <row r="200">
      <c r="A200" s="117">
        <f>IFERROR(__xludf.DUMMYFUNCTION("""COMPUTED_VALUE"""),5.0)</f>
        <v>5</v>
      </c>
      <c r="B200" s="33" t="str">
        <f>IFERROR(__xludf.DUMMYFUNCTION("""COMPUTED_VALUE"""),"Jimmy Awolesi")</f>
        <v>Jimmy Awolesi</v>
      </c>
      <c r="C200" s="122">
        <f>IFERROR(__xludf.DUMMYFUNCTION("""COMPUTED_VALUE"""),4.0)</f>
        <v>4</v>
      </c>
      <c r="D200" s="122">
        <f>IFERROR(__xludf.DUMMYFUNCTION("""COMPUTED_VALUE"""),7.0)</f>
        <v>7</v>
      </c>
      <c r="E200" s="122">
        <f>IFERROR(__xludf.DUMMYFUNCTION("""COMPUTED_VALUE"""),3.0)</f>
        <v>3</v>
      </c>
      <c r="F200" s="122">
        <f>IFERROR(__xludf.DUMMYFUNCTION("""COMPUTED_VALUE"""),14.0)</f>
        <v>14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IFERROR(__xludf.DUMMYFUNCTION("""COMPUTED_VALUE"""),"Suleman Alidina")</f>
        <v>Suleman Alidina</v>
      </c>
      <c r="C201" s="122">
        <f>IFERROR(__xludf.DUMMYFUNCTION("""COMPUTED_VALUE"""),4.0)</f>
        <v>4</v>
      </c>
      <c r="D201" s="122">
        <f>IFERROR(__xludf.DUMMYFUNCTION("""COMPUTED_VALUE"""),5.0)</f>
        <v>5</v>
      </c>
      <c r="E201" s="122">
        <f>IFERROR(__xludf.DUMMYFUNCTION("""COMPUTED_VALUE"""),6.0)</f>
        <v>6</v>
      </c>
      <c r="F201" s="122">
        <f>IFERROR(__xludf.DUMMYFUNCTION("""COMPUTED_VALUE"""),15.0)</f>
        <v>15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IFERROR(__xludf.DUMMYFUNCTION("""COMPUTED_VALUE"""),"Alex Hou")</f>
        <v>Alex Hou</v>
      </c>
      <c r="C202" s="122">
        <f>IFERROR(__xludf.DUMMYFUNCTION("""COMPUTED_VALUE"""),6.0)</f>
        <v>6</v>
      </c>
      <c r="D202" s="122">
        <f>IFERROR(__xludf.DUMMYFUNCTION("""COMPUTED_VALUE"""),5.0)</f>
        <v>5</v>
      </c>
      <c r="E202" s="122">
        <f>IFERROR(__xludf.DUMMYFUNCTION("""COMPUTED_VALUE"""),3.0)</f>
        <v>3</v>
      </c>
      <c r="F202" s="122">
        <f>IFERROR(__xludf.DUMMYFUNCTION("""COMPUTED_VALUE"""),14.0)</f>
        <v>14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IFERROR(__xludf.DUMMYFUNCTION("""COMPUTED_VALUE"""),"Jim Miao")</f>
        <v>Jim Miao</v>
      </c>
      <c r="C203" s="122">
        <f>IFERROR(__xludf.DUMMYFUNCTION("""COMPUTED_VALUE"""),6.0)</f>
        <v>6</v>
      </c>
      <c r="D203" s="122">
        <f>IFERROR(__xludf.DUMMYFUNCTION("""COMPUTED_VALUE"""),7.0)</f>
        <v>7</v>
      </c>
      <c r="E203" s="122">
        <f>IFERROR(__xludf.DUMMYFUNCTION("""COMPUTED_VALUE"""),6.0)</f>
        <v>6</v>
      </c>
      <c r="F203" s="122">
        <f>IFERROR(__xludf.DUMMYFUNCTION("""COMPUTED_VALUE"""),19.0)</f>
        <v>19</v>
      </c>
      <c r="G203" s="122">
        <f>IFERROR(__xludf.DUMMYFUNCTION("""COMPUTED_VALUE"""),3.0)</f>
        <v>3</v>
      </c>
    </row>
    <row r="204">
      <c r="A204" s="123">
        <f>IFERROR(__xludf.DUMMYFUNCTION("""COMPUTED_VALUE"""),6.0)</f>
        <v>6</v>
      </c>
      <c r="B204" s="124" t="str">
        <f>IFERROR(__xludf.DUMMYFUNCTION("""COMPUTED_VALUE"""),"Naveen Raj")</f>
        <v>Naveen Raj</v>
      </c>
      <c r="C204" s="125">
        <f>IFERROR(__xludf.DUMMYFUNCTION("""COMPUTED_VALUE"""),6.0)</f>
        <v>6</v>
      </c>
      <c r="D204" s="125">
        <f>IFERROR(__xludf.DUMMYFUNCTION("""COMPUTED_VALUE"""),6.0)</f>
        <v>6</v>
      </c>
      <c r="E204" s="125">
        <f>IFERROR(__xludf.DUMMYFUNCTION("""COMPUTED_VALUE"""),6.0)</f>
        <v>6</v>
      </c>
      <c r="F204" s="125">
        <f>IFERROR(__xludf.DUMMYFUNCTION("""COMPUTED_VALUE"""),18.0)</f>
        <v>18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IFERROR(__xludf.DUMMYFUNCTION("""COMPUTED_VALUE"""),"Kumar Palakeel")</f>
        <v>Kumar Palakeel</v>
      </c>
      <c r="C205" s="125">
        <f>IFERROR(__xludf.DUMMYFUNCTION("""COMPUTED_VALUE"""),6.0)</f>
        <v>6</v>
      </c>
      <c r="D205" s="125">
        <f>IFERROR(__xludf.DUMMYFUNCTION("""COMPUTED_VALUE"""),3.0)</f>
        <v>3</v>
      </c>
      <c r="E205" s="125">
        <f>IFERROR(__xludf.DUMMYFUNCTION("""COMPUTED_VALUE"""),4.0)</f>
        <v>4</v>
      </c>
      <c r="F205" s="125">
        <f>IFERROR(__xludf.DUMMYFUNCTION("""COMPUTED_VALUE"""),13.0)</f>
        <v>13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IFERROR(__xludf.DUMMYFUNCTION("""COMPUTED_VALUE"""),"Rajesh Dorairaj")</f>
        <v>Rajesh Dorairaj</v>
      </c>
      <c r="C206" s="125">
        <f>IFERROR(__xludf.DUMMYFUNCTION("""COMPUTED_VALUE"""),1.0)</f>
        <v>1</v>
      </c>
      <c r="D206" s="125">
        <f>IFERROR(__xludf.DUMMYFUNCTION("""COMPUTED_VALUE"""),3.0)</f>
        <v>3</v>
      </c>
      <c r="E206" s="125">
        <f>IFERROR(__xludf.DUMMYFUNCTION("""COMPUTED_VALUE"""),6.0)</f>
        <v>6</v>
      </c>
      <c r="F206" s="125">
        <f>IFERROR(__xludf.DUMMYFUNCTION("""COMPUTED_VALUE"""),10.0)</f>
        <v>10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IFERROR(__xludf.DUMMYFUNCTION("""COMPUTED_VALUE"""),"Vinaya Kajla")</f>
        <v>Vinaya Kajla</v>
      </c>
      <c r="C207" s="125">
        <f>IFERROR(__xludf.DUMMYFUNCTION("""COMPUTED_VALUE"""),1.0)</f>
        <v>1</v>
      </c>
      <c r="D207" s="125">
        <f>IFERROR(__xludf.DUMMYFUNCTION("""COMPUTED_VALUE"""),6.0)</f>
        <v>6</v>
      </c>
      <c r="E207" s="125">
        <f>IFERROR(__xludf.DUMMYFUNCTION("""COMPUTED_VALUE"""),4.0)</f>
        <v>4</v>
      </c>
      <c r="F207" s="125">
        <f>IFERROR(__xludf.DUMMYFUNCTION("""COMPUTED_VALUE"""),11.0)</f>
        <v>11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IFERROR(__xludf.DUMMYFUNCTION("""COMPUTED_VALUE"""),"Robert Chang")</f>
        <v>Robert Chang</v>
      </c>
      <c r="C208" s="122">
        <f>IFERROR(__xludf.DUMMYFUNCTION("""COMPUTED_VALUE"""),1.0)</f>
        <v>1</v>
      </c>
      <c r="D208" s="122">
        <f>IFERROR(__xludf.DUMMYFUNCTION("""COMPUTED_VALUE"""),6.0)</f>
        <v>6</v>
      </c>
      <c r="E208" s="122">
        <f>IFERROR(__xludf.DUMMYFUNCTION("""COMPUTED_VALUE"""),6.0)</f>
        <v>6</v>
      </c>
      <c r="F208" s="122">
        <f>IFERROR(__xludf.DUMMYFUNCTION("""COMPUTED_VALUE"""),13.0)</f>
        <v>13</v>
      </c>
      <c r="G208" s="122">
        <f>IFERROR(__xludf.DUMMYFUNCTION("""COMPUTED_VALUE"""),2.0)</f>
        <v>2</v>
      </c>
    </row>
    <row r="209">
      <c r="A209" s="117">
        <f>IFERROR(__xludf.DUMMYFUNCTION("""COMPUTED_VALUE"""),7.0)</f>
        <v>7</v>
      </c>
      <c r="B209" s="33" t="str">
        <f>IFERROR(__xludf.DUMMYFUNCTION("""COMPUTED_VALUE"""),"James Phan")</f>
        <v>James Phan</v>
      </c>
      <c r="C209" s="122">
        <f>IFERROR(__xludf.DUMMYFUNCTION("""COMPUTED_VALUE"""),6.0)</f>
        <v>6</v>
      </c>
      <c r="D209" s="122">
        <f>IFERROR(__xludf.DUMMYFUNCTION("""COMPUTED_VALUE"""),3.0)</f>
        <v>3</v>
      </c>
      <c r="E209" s="122">
        <f>IFERROR(__xludf.DUMMYFUNCTION("""COMPUTED_VALUE"""),6.0)</f>
        <v>6</v>
      </c>
      <c r="F209" s="122">
        <f>IFERROR(__xludf.DUMMYFUNCTION("""COMPUTED_VALUE"""),15.0)</f>
        <v>15</v>
      </c>
      <c r="G209" s="122">
        <f>IFERROR(__xludf.DUMMYFUNCTION("""COMPUTED_VALUE"""),2.0)</f>
        <v>2</v>
      </c>
    </row>
    <row r="210">
      <c r="A210" s="117">
        <f>IFERROR(__xludf.DUMMYFUNCTION("""COMPUTED_VALUE"""),7.0)</f>
        <v>7</v>
      </c>
      <c r="B210" s="33" t="str">
        <f>IFERROR(__xludf.DUMMYFUNCTION("""COMPUTED_VALUE"""),"Joyce Zhu")</f>
        <v>Joyce Zhu</v>
      </c>
      <c r="C210" s="122">
        <f>IFERROR(__xludf.DUMMYFUNCTION("""COMPUTED_VALUE"""),1.0)</f>
        <v>1</v>
      </c>
      <c r="D210" s="122">
        <f>IFERROR(__xludf.DUMMYFUNCTION("""COMPUTED_VALUE"""),3.0)</f>
        <v>3</v>
      </c>
      <c r="E210" s="122">
        <f>IFERROR(__xludf.DUMMYFUNCTION("""COMPUTED_VALUE"""),0.0)</f>
        <v>0</v>
      </c>
      <c r="F210" s="122">
        <f>IFERROR(__xludf.DUMMYFUNCTION("""COMPUTED_VALUE"""),4.0)</f>
        <v>4</v>
      </c>
      <c r="G210" s="122">
        <f>IFERROR(__xludf.DUMMYFUNCTION("""COMPUTED_VALUE"""),0.0)</f>
        <v>0</v>
      </c>
    </row>
    <row r="211">
      <c r="A211" s="117">
        <f>IFERROR(__xludf.DUMMYFUNCTION("""COMPUTED_VALUE"""),7.0)</f>
        <v>7</v>
      </c>
      <c r="B211" s="33" t="str">
        <f>IFERROR(__xludf.DUMMYFUNCTION("""COMPUTED_VALUE"""),"Vishnu Amarnath")</f>
        <v>Vishnu Amarnath</v>
      </c>
      <c r="C211" s="122">
        <f>IFERROR(__xludf.DUMMYFUNCTION("""COMPUTED_VALUE"""),6.0)</f>
        <v>6</v>
      </c>
      <c r="D211" s="122">
        <f>IFERROR(__xludf.DUMMYFUNCTION("""COMPUTED_VALUE"""),6.0)</f>
        <v>6</v>
      </c>
      <c r="E211" s="122">
        <f>IFERROR(__xludf.DUMMYFUNCTION("""COMPUTED_VALUE"""),0.0)</f>
        <v>0</v>
      </c>
      <c r="F211" s="122">
        <f>IFERROR(__xludf.DUMMYFUNCTION("""COMPUTED_VALUE"""),12.0)</f>
        <v>12</v>
      </c>
      <c r="G211" s="122">
        <f>IFERROR(__xludf.DUMMYFUNCTION("""COMPUTED_VALUE"""),2.0)</f>
        <v>2</v>
      </c>
    </row>
    <row r="212">
      <c r="A212" s="123"/>
      <c r="B212" s="124"/>
      <c r="C212" s="125"/>
      <c r="D212" s="125"/>
      <c r="E212" s="125"/>
      <c r="F212" s="125"/>
      <c r="G212" s="125"/>
    </row>
    <row r="213">
      <c r="A213" s="123"/>
      <c r="B213" s="124"/>
      <c r="C213" s="125"/>
      <c r="D213" s="125"/>
      <c r="E213" s="125"/>
      <c r="F213" s="125"/>
      <c r="G213" s="125"/>
    </row>
    <row r="214">
      <c r="A214" s="123"/>
      <c r="B214" s="124"/>
      <c r="C214" s="125"/>
      <c r="D214" s="125"/>
      <c r="E214" s="125"/>
      <c r="F214" s="125"/>
      <c r="G214" s="125"/>
    </row>
    <row r="215">
      <c r="A215" s="123"/>
      <c r="B215" s="124"/>
      <c r="C215" s="125"/>
      <c r="D215" s="125"/>
      <c r="E215" s="125"/>
      <c r="F215" s="125"/>
      <c r="G215" s="125"/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45955.0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17.0</v>
      </c>
      <c r="E2" s="1"/>
      <c r="F2" s="1"/>
      <c r="R2" s="17"/>
      <c r="AC2" s="21" t="str">
        <f>text(C1-7,"mm/dd/yy")</f>
        <v>10/18/25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242.0</v>
      </c>
      <c r="D5" s="34">
        <v>30.0</v>
      </c>
      <c r="E5" s="35">
        <f t="shared" ref="E5:E69" si="2">if(S5&gt;0,(C5-(V5*9)-(T5*13))/S5,0)</f>
        <v>16.41666667</v>
      </c>
      <c r="F5" s="95">
        <v>2.0</v>
      </c>
      <c r="G5" s="96">
        <v>1.0</v>
      </c>
      <c r="H5" s="97">
        <v>0.0</v>
      </c>
      <c r="I5" s="96">
        <v>6.0</v>
      </c>
      <c r="J5" s="96">
        <v>6.0</v>
      </c>
      <c r="K5" s="96">
        <v>6.0</v>
      </c>
      <c r="L5" s="98">
        <v>18.0</v>
      </c>
      <c r="M5" s="96">
        <v>3.0</v>
      </c>
      <c r="N5" s="34">
        <f t="shared" ref="N5:O5" si="1">C5+L5</f>
        <v>260</v>
      </c>
      <c r="O5" s="34">
        <f t="shared" si="1"/>
        <v>33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12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5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84</v>
      </c>
      <c r="C6" s="34">
        <v>225.0</v>
      </c>
      <c r="D6" s="34">
        <v>24.0</v>
      </c>
      <c r="E6" s="35">
        <f t="shared" si="2"/>
        <v>14.53846154</v>
      </c>
      <c r="F6" s="95">
        <v>3.0</v>
      </c>
      <c r="G6" s="96">
        <v>0.0</v>
      </c>
      <c r="H6" s="97">
        <v>9.0</v>
      </c>
      <c r="I6" s="96">
        <v>0.0</v>
      </c>
      <c r="J6" s="96">
        <v>0.0</v>
      </c>
      <c r="K6" s="96">
        <v>0.0</v>
      </c>
      <c r="L6" s="98">
        <v>9.0</v>
      </c>
      <c r="M6" s="96">
        <v>0.0</v>
      </c>
      <c r="N6" s="34">
        <f t="shared" ref="N6:O6" si="3">C6+L6</f>
        <v>234</v>
      </c>
      <c r="O6" s="34">
        <f t="shared" si="3"/>
        <v>24</v>
      </c>
      <c r="P6" s="49" t="s">
        <v>58</v>
      </c>
      <c r="Q6" s="49" t="s">
        <v>58</v>
      </c>
      <c r="R6" s="49"/>
      <c r="S6" s="50">
        <f t="shared" si="4"/>
        <v>13</v>
      </c>
      <c r="T6" s="52">
        <f t="shared" si="5"/>
        <v>0</v>
      </c>
      <c r="U6" s="52"/>
      <c r="V6" s="50">
        <f t="shared" si="6"/>
        <v>4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94</v>
      </c>
      <c r="C7" s="34">
        <v>222.0</v>
      </c>
      <c r="D7" s="34">
        <v>21.0</v>
      </c>
      <c r="E7" s="35">
        <f t="shared" si="2"/>
        <v>13.3125</v>
      </c>
      <c r="F7" s="95">
        <v>1.0</v>
      </c>
      <c r="G7" s="96">
        <v>1.0</v>
      </c>
      <c r="H7" s="97">
        <v>0.0</v>
      </c>
      <c r="I7" s="96">
        <v>4.0</v>
      </c>
      <c r="J7" s="96">
        <v>6.0</v>
      </c>
      <c r="K7" s="96">
        <v>1.0</v>
      </c>
      <c r="L7" s="98">
        <v>11.0</v>
      </c>
      <c r="M7" s="96">
        <v>1.0</v>
      </c>
      <c r="N7" s="34">
        <f t="shared" ref="N7:O7" si="11">C7+L7</f>
        <v>233</v>
      </c>
      <c r="O7" s="34">
        <f t="shared" si="11"/>
        <v>22</v>
      </c>
      <c r="P7" s="49" t="s">
        <v>58</v>
      </c>
      <c r="Q7" s="49" t="s">
        <v>58</v>
      </c>
      <c r="R7" s="49"/>
      <c r="S7" s="50">
        <f t="shared" si="4"/>
        <v>16</v>
      </c>
      <c r="T7" s="52">
        <f t="shared" si="5"/>
        <v>0</v>
      </c>
      <c r="U7" s="52"/>
      <c r="V7" s="50">
        <f t="shared" si="6"/>
        <v>1</v>
      </c>
      <c r="W7" s="52">
        <f t="shared" si="7"/>
        <v>1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90</v>
      </c>
      <c r="C8" s="34">
        <v>221.0</v>
      </c>
      <c r="D8" s="34">
        <v>25.0</v>
      </c>
      <c r="E8" s="35">
        <f t="shared" si="2"/>
        <v>13.26666667</v>
      </c>
      <c r="F8" s="95">
        <v>1.0</v>
      </c>
      <c r="G8" s="96">
        <v>1.0</v>
      </c>
      <c r="H8" s="97">
        <v>0.0</v>
      </c>
      <c r="I8" s="96">
        <v>6.0</v>
      </c>
      <c r="J8" s="96">
        <v>3.0</v>
      </c>
      <c r="K8" s="96">
        <v>1.0</v>
      </c>
      <c r="L8" s="98">
        <v>10.0</v>
      </c>
      <c r="M8" s="96">
        <v>1.0</v>
      </c>
      <c r="N8" s="34">
        <f t="shared" ref="N8:O8" si="13">C8+L8</f>
        <v>231</v>
      </c>
      <c r="O8" s="34">
        <f t="shared" si="13"/>
        <v>26</v>
      </c>
      <c r="P8" s="49" t="s">
        <v>58</v>
      </c>
      <c r="Q8" s="49" t="s">
        <v>58</v>
      </c>
      <c r="R8" s="49"/>
      <c r="S8" s="50">
        <f t="shared" si="4"/>
        <v>15</v>
      </c>
      <c r="T8" s="52">
        <f t="shared" si="5"/>
        <v>1</v>
      </c>
      <c r="U8" s="52"/>
      <c r="V8" s="50">
        <f t="shared" si="6"/>
        <v>1</v>
      </c>
      <c r="W8" s="52">
        <f t="shared" si="7"/>
        <v>4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107</v>
      </c>
      <c r="C9" s="34">
        <v>221.0</v>
      </c>
      <c r="D9" s="34">
        <v>23.0</v>
      </c>
      <c r="E9" s="35">
        <f t="shared" si="2"/>
        <v>14.33333333</v>
      </c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4">C9+L9</f>
        <v>230</v>
      </c>
      <c r="O9" s="34">
        <f t="shared" si="14"/>
        <v>23</v>
      </c>
      <c r="P9" s="49" t="s">
        <v>58</v>
      </c>
      <c r="Q9" s="49" t="s">
        <v>58</v>
      </c>
      <c r="R9" s="49"/>
      <c r="S9" s="50">
        <f t="shared" si="4"/>
        <v>12</v>
      </c>
      <c r="T9" s="52">
        <f t="shared" si="5"/>
        <v>1</v>
      </c>
      <c r="U9" s="52"/>
      <c r="V9" s="50">
        <f t="shared" si="6"/>
        <v>4</v>
      </c>
      <c r="W9" s="52">
        <f t="shared" si="7"/>
        <v>-2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73</v>
      </c>
      <c r="C10" s="34">
        <v>221.0</v>
      </c>
      <c r="D10" s="34">
        <v>21.0</v>
      </c>
      <c r="E10" s="35">
        <f t="shared" si="2"/>
        <v>13.85714286</v>
      </c>
      <c r="F10" s="95">
        <v>1.0</v>
      </c>
      <c r="G10" s="96">
        <v>1.0</v>
      </c>
      <c r="H10" s="97">
        <v>0.0</v>
      </c>
      <c r="I10" s="96">
        <v>4.0</v>
      </c>
      <c r="J10" s="96">
        <v>3.0</v>
      </c>
      <c r="K10" s="96">
        <v>6.0</v>
      </c>
      <c r="L10" s="98">
        <v>13.0</v>
      </c>
      <c r="M10" s="96">
        <v>1.0</v>
      </c>
      <c r="N10" s="34">
        <f t="shared" ref="N10:O10" si="15">C10+L10</f>
        <v>234</v>
      </c>
      <c r="O10" s="34">
        <f t="shared" si="15"/>
        <v>22</v>
      </c>
      <c r="P10" s="49" t="s">
        <v>58</v>
      </c>
      <c r="Q10" s="49" t="s">
        <v>58</v>
      </c>
      <c r="R10" s="49"/>
      <c r="S10" s="50">
        <f t="shared" si="4"/>
        <v>14</v>
      </c>
      <c r="T10" s="52">
        <f t="shared" si="5"/>
        <v>0</v>
      </c>
      <c r="U10" s="52"/>
      <c r="V10" s="50">
        <f t="shared" si="6"/>
        <v>3</v>
      </c>
      <c r="W10" s="52">
        <f t="shared" si="7"/>
        <v>-1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67</v>
      </c>
      <c r="C11" s="34">
        <v>220.0</v>
      </c>
      <c r="D11" s="34">
        <v>25.0</v>
      </c>
      <c r="E11" s="35">
        <f t="shared" si="2"/>
        <v>15.09090909</v>
      </c>
      <c r="F11" s="95">
        <v>2.0</v>
      </c>
      <c r="G11" s="96">
        <v>2.0</v>
      </c>
      <c r="H11" s="97">
        <v>0.0</v>
      </c>
      <c r="I11" s="96">
        <v>6.0</v>
      </c>
      <c r="J11" s="96">
        <v>6.0</v>
      </c>
      <c r="K11" s="96">
        <v>6.0</v>
      </c>
      <c r="L11" s="98">
        <v>18.0</v>
      </c>
      <c r="M11" s="96">
        <v>2.0</v>
      </c>
      <c r="N11" s="34">
        <f t="shared" ref="N11:O11" si="16">C11+L11</f>
        <v>238</v>
      </c>
      <c r="O11" s="34">
        <f t="shared" si="16"/>
        <v>27</v>
      </c>
      <c r="P11" s="49" t="s">
        <v>58</v>
      </c>
      <c r="Q11" s="49" t="s">
        <v>58</v>
      </c>
      <c r="R11" s="49"/>
      <c r="S11" s="50">
        <f t="shared" si="4"/>
        <v>11</v>
      </c>
      <c r="T11" s="52">
        <f t="shared" si="5"/>
        <v>0</v>
      </c>
      <c r="U11" s="52"/>
      <c r="V11" s="50">
        <f t="shared" si="6"/>
        <v>6</v>
      </c>
      <c r="W11" s="52">
        <f t="shared" si="7"/>
        <v>3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91</v>
      </c>
      <c r="C12" s="34">
        <v>217.0</v>
      </c>
      <c r="D12" s="34">
        <v>24.0</v>
      </c>
      <c r="E12" s="35">
        <f t="shared" si="2"/>
        <v>13</v>
      </c>
      <c r="F12" s="95">
        <v>1.0</v>
      </c>
      <c r="G12" s="96">
        <v>2.0</v>
      </c>
      <c r="H12" s="97">
        <v>0.0</v>
      </c>
      <c r="I12" s="96">
        <v>7.0</v>
      </c>
      <c r="J12" s="96">
        <v>6.0</v>
      </c>
      <c r="K12" s="96">
        <v>2.0</v>
      </c>
      <c r="L12" s="98">
        <v>15.0</v>
      </c>
      <c r="M12" s="96">
        <v>2.0</v>
      </c>
      <c r="N12" s="34">
        <f t="shared" ref="N12:O12" si="17">C12+L12</f>
        <v>232</v>
      </c>
      <c r="O12" s="34">
        <f t="shared" si="17"/>
        <v>26</v>
      </c>
      <c r="P12" s="49" t="s">
        <v>58</v>
      </c>
      <c r="Q12" s="49" t="s">
        <v>58</v>
      </c>
      <c r="R12" s="49"/>
      <c r="S12" s="50">
        <f t="shared" si="4"/>
        <v>15</v>
      </c>
      <c r="T12" s="52">
        <f t="shared" si="5"/>
        <v>1</v>
      </c>
      <c r="U12" s="52"/>
      <c r="V12" s="50">
        <f t="shared" si="6"/>
        <v>1</v>
      </c>
      <c r="W12" s="52">
        <f t="shared" si="7"/>
        <v>-2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103</v>
      </c>
      <c r="C13" s="34">
        <v>217.0</v>
      </c>
      <c r="D13" s="34">
        <v>17.0</v>
      </c>
      <c r="E13" s="35">
        <f t="shared" si="2"/>
        <v>13.61538462</v>
      </c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8">C13+L13</f>
        <v>226</v>
      </c>
      <c r="O13" s="34">
        <f t="shared" si="18"/>
        <v>17</v>
      </c>
      <c r="P13" s="49" t="s">
        <v>58</v>
      </c>
      <c r="Q13" s="49" t="s">
        <v>58</v>
      </c>
      <c r="R13" s="49"/>
      <c r="S13" s="50">
        <f t="shared" si="4"/>
        <v>13</v>
      </c>
      <c r="T13" s="52">
        <f t="shared" si="5"/>
        <v>1</v>
      </c>
      <c r="U13" s="52"/>
      <c r="V13" s="50">
        <f t="shared" si="6"/>
        <v>3</v>
      </c>
      <c r="W13" s="52">
        <f t="shared" si="7"/>
        <v>4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128</v>
      </c>
      <c r="C14" s="34">
        <v>216.0</v>
      </c>
      <c r="D14" s="34">
        <v>21.0</v>
      </c>
      <c r="E14" s="35">
        <f t="shared" si="2"/>
        <v>13.5</v>
      </c>
      <c r="F14" s="95">
        <v>3.0</v>
      </c>
      <c r="G14" s="96">
        <v>0.0</v>
      </c>
      <c r="H14" s="97">
        <v>9.0</v>
      </c>
      <c r="I14" s="96">
        <v>0.0</v>
      </c>
      <c r="J14" s="96">
        <v>0.0</v>
      </c>
      <c r="K14" s="96">
        <v>0.0</v>
      </c>
      <c r="L14" s="98">
        <v>9.0</v>
      </c>
      <c r="M14" s="96">
        <v>0.0</v>
      </c>
      <c r="N14" s="34">
        <f t="shared" ref="N14:O14" si="19">C14+L14</f>
        <v>225</v>
      </c>
      <c r="O14" s="34">
        <f t="shared" si="19"/>
        <v>21</v>
      </c>
      <c r="P14" s="49" t="s">
        <v>58</v>
      </c>
      <c r="Q14" s="49" t="s">
        <v>58</v>
      </c>
      <c r="R14" s="49"/>
      <c r="S14" s="50">
        <f t="shared" si="4"/>
        <v>14</v>
      </c>
      <c r="T14" s="52">
        <f t="shared" si="5"/>
        <v>0</v>
      </c>
      <c r="U14" s="52"/>
      <c r="V14" s="50">
        <f t="shared" si="6"/>
        <v>3</v>
      </c>
      <c r="W14" s="52">
        <f t="shared" si="7"/>
        <v>-3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113</v>
      </c>
      <c r="C15" s="34">
        <v>216.0</v>
      </c>
      <c r="D15" s="34">
        <v>19.0</v>
      </c>
      <c r="E15" s="35">
        <f t="shared" si="2"/>
        <v>14.25</v>
      </c>
      <c r="F15" s="95">
        <v>3.0</v>
      </c>
      <c r="G15" s="96">
        <v>0.0</v>
      </c>
      <c r="H15" s="97">
        <v>9.0</v>
      </c>
      <c r="I15" s="96">
        <v>0.0</v>
      </c>
      <c r="J15" s="96">
        <v>0.0</v>
      </c>
      <c r="K15" s="96">
        <v>0.0</v>
      </c>
      <c r="L15" s="98">
        <v>9.0</v>
      </c>
      <c r="M15" s="96">
        <v>0.0</v>
      </c>
      <c r="N15" s="34">
        <f t="shared" ref="N15:O15" si="20">C15+L15</f>
        <v>225</v>
      </c>
      <c r="O15" s="34">
        <f t="shared" si="20"/>
        <v>19</v>
      </c>
      <c r="P15" s="49" t="s">
        <v>58</v>
      </c>
      <c r="Q15" s="49" t="s">
        <v>58</v>
      </c>
      <c r="R15" s="49"/>
      <c r="S15" s="50">
        <f t="shared" si="4"/>
        <v>12</v>
      </c>
      <c r="T15" s="52">
        <f t="shared" si="5"/>
        <v>0</v>
      </c>
      <c r="U15" s="52"/>
      <c r="V15" s="50">
        <f t="shared" si="6"/>
        <v>5</v>
      </c>
      <c r="W15" s="52">
        <f t="shared" si="7"/>
        <v>-2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134</v>
      </c>
      <c r="C16" s="34">
        <v>214.0</v>
      </c>
      <c r="D16" s="34">
        <v>22.0</v>
      </c>
      <c r="E16" s="35">
        <f t="shared" si="2"/>
        <v>15.1</v>
      </c>
      <c r="F16" s="95">
        <v>1.0</v>
      </c>
      <c r="G16" s="96">
        <v>2.0</v>
      </c>
      <c r="H16" s="97">
        <v>0.0</v>
      </c>
      <c r="I16" s="96">
        <v>7.0</v>
      </c>
      <c r="J16" s="96">
        <v>4.0</v>
      </c>
      <c r="K16" s="96">
        <v>6.0</v>
      </c>
      <c r="L16" s="98">
        <v>17.0</v>
      </c>
      <c r="M16" s="96">
        <v>2.0</v>
      </c>
      <c r="N16" s="34">
        <f t="shared" ref="N16:O16" si="21">C16+L16</f>
        <v>231</v>
      </c>
      <c r="O16" s="34">
        <f t="shared" si="21"/>
        <v>24</v>
      </c>
      <c r="P16" s="49" t="s">
        <v>58</v>
      </c>
      <c r="Q16" s="49" t="s">
        <v>58</v>
      </c>
      <c r="R16" s="49"/>
      <c r="S16" s="50">
        <f t="shared" si="4"/>
        <v>10</v>
      </c>
      <c r="T16" s="52">
        <f t="shared" si="5"/>
        <v>0</v>
      </c>
      <c r="U16" s="52"/>
      <c r="V16" s="50">
        <f t="shared" si="6"/>
        <v>7</v>
      </c>
      <c r="W16" s="52">
        <f t="shared" si="7"/>
        <v>-1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109</v>
      </c>
      <c r="C17" s="34">
        <v>214.0</v>
      </c>
      <c r="D17" s="34">
        <v>20.0</v>
      </c>
      <c r="E17" s="35">
        <f t="shared" si="2"/>
        <v>13.69230769</v>
      </c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22">C17+L17</f>
        <v>223</v>
      </c>
      <c r="O17" s="34">
        <f t="shared" si="22"/>
        <v>20</v>
      </c>
      <c r="P17" s="49" t="s">
        <v>58</v>
      </c>
      <c r="Q17" s="49" t="s">
        <v>58</v>
      </c>
      <c r="R17" s="49"/>
      <c r="S17" s="50">
        <f t="shared" si="4"/>
        <v>13</v>
      </c>
      <c r="T17" s="52">
        <f t="shared" si="5"/>
        <v>0</v>
      </c>
      <c r="U17" s="52"/>
      <c r="V17" s="50">
        <f t="shared" si="6"/>
        <v>4</v>
      </c>
      <c r="W17" s="52">
        <f t="shared" si="7"/>
        <v>1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98</v>
      </c>
      <c r="C18" s="34">
        <v>211.0</v>
      </c>
      <c r="D18" s="34">
        <v>25.0</v>
      </c>
      <c r="E18" s="35">
        <f t="shared" si="2"/>
        <v>12.625</v>
      </c>
      <c r="F18" s="95">
        <v>1.0</v>
      </c>
      <c r="G18" s="96">
        <v>2.0</v>
      </c>
      <c r="H18" s="97">
        <v>0.0</v>
      </c>
      <c r="I18" s="96">
        <v>6.0</v>
      </c>
      <c r="J18" s="96">
        <v>4.0</v>
      </c>
      <c r="K18" s="96">
        <v>2.0</v>
      </c>
      <c r="L18" s="98">
        <v>12.0</v>
      </c>
      <c r="M18" s="96">
        <v>0.0</v>
      </c>
      <c r="N18" s="34">
        <f t="shared" ref="N18:O18" si="23">C18+L18</f>
        <v>223</v>
      </c>
      <c r="O18" s="34">
        <f t="shared" si="23"/>
        <v>25</v>
      </c>
      <c r="P18" s="49" t="s">
        <v>58</v>
      </c>
      <c r="Q18" s="49" t="s">
        <v>58</v>
      </c>
      <c r="R18" s="49"/>
      <c r="S18" s="50">
        <f t="shared" si="4"/>
        <v>16</v>
      </c>
      <c r="T18" s="52">
        <f t="shared" si="5"/>
        <v>0</v>
      </c>
      <c r="U18" s="52"/>
      <c r="V18" s="50">
        <f t="shared" si="6"/>
        <v>1</v>
      </c>
      <c r="W18" s="52">
        <f t="shared" si="7"/>
        <v>-2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110</v>
      </c>
      <c r="C19" s="34">
        <v>205.0</v>
      </c>
      <c r="D19" s="34">
        <v>20.0</v>
      </c>
      <c r="E19" s="35">
        <f t="shared" si="2"/>
        <v>12.05882353</v>
      </c>
      <c r="F19" s="95">
        <v>1.0</v>
      </c>
      <c r="G19" s="96">
        <v>3.0</v>
      </c>
      <c r="H19" s="97">
        <v>0.0</v>
      </c>
      <c r="I19" s="96">
        <v>6.0</v>
      </c>
      <c r="J19" s="96">
        <v>6.0</v>
      </c>
      <c r="K19" s="96">
        <v>2.0</v>
      </c>
      <c r="L19" s="98">
        <v>14.0</v>
      </c>
      <c r="M19" s="96">
        <v>2.0</v>
      </c>
      <c r="N19" s="34">
        <f t="shared" ref="N19:O19" si="24">C19+L19</f>
        <v>219</v>
      </c>
      <c r="O19" s="34">
        <f t="shared" si="24"/>
        <v>22</v>
      </c>
      <c r="P19" s="49" t="s">
        <v>58</v>
      </c>
      <c r="Q19" s="49" t="s">
        <v>58</v>
      </c>
      <c r="R19" s="49"/>
      <c r="S19" s="50">
        <f t="shared" si="4"/>
        <v>17</v>
      </c>
      <c r="T19" s="52">
        <f t="shared" si="5"/>
        <v>0</v>
      </c>
      <c r="U19" s="52"/>
      <c r="V19" s="50">
        <f t="shared" si="6"/>
        <v>0</v>
      </c>
      <c r="W19" s="52">
        <f t="shared" si="7"/>
        <v>2</v>
      </c>
      <c r="X19" s="32">
        <f t="shared" si="12"/>
        <v>15</v>
      </c>
      <c r="Y19" s="32" t="str">
        <f t="shared" si="8"/>
        <v>Y</v>
      </c>
      <c r="Z19" s="16" t="str">
        <f t="shared" si="9"/>
        <v/>
      </c>
    </row>
    <row r="20">
      <c r="A20" s="32">
        <f t="shared" si="10"/>
        <v>16</v>
      </c>
      <c r="B20" s="33" t="s">
        <v>83</v>
      </c>
      <c r="C20" s="34">
        <v>205.0</v>
      </c>
      <c r="D20" s="34">
        <v>17.0</v>
      </c>
      <c r="E20" s="35">
        <f t="shared" si="2"/>
        <v>15</v>
      </c>
      <c r="F20" s="95">
        <v>3.0</v>
      </c>
      <c r="G20" s="96">
        <v>0.0</v>
      </c>
      <c r="H20" s="97">
        <v>9.0</v>
      </c>
      <c r="I20" s="96">
        <v>0.0</v>
      </c>
      <c r="J20" s="96">
        <v>0.0</v>
      </c>
      <c r="K20" s="96">
        <v>0.0</v>
      </c>
      <c r="L20" s="98">
        <v>9.0</v>
      </c>
      <c r="M20" s="96">
        <v>0.0</v>
      </c>
      <c r="N20" s="34">
        <f t="shared" ref="N20:O20" si="25">C20+L20</f>
        <v>214</v>
      </c>
      <c r="O20" s="34">
        <f t="shared" si="25"/>
        <v>17</v>
      </c>
      <c r="P20" s="49" t="s">
        <v>58</v>
      </c>
      <c r="Q20" s="49" t="s">
        <v>58</v>
      </c>
      <c r="R20" s="49"/>
      <c r="S20" s="50">
        <f t="shared" si="4"/>
        <v>8</v>
      </c>
      <c r="T20" s="52">
        <f t="shared" si="5"/>
        <v>1</v>
      </c>
      <c r="U20" s="52"/>
      <c r="V20" s="50">
        <f t="shared" si="6"/>
        <v>8</v>
      </c>
      <c r="W20" s="52">
        <f t="shared" si="7"/>
        <v>0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133</v>
      </c>
      <c r="C21" s="34">
        <v>203.0</v>
      </c>
      <c r="D21" s="34">
        <v>20.0</v>
      </c>
      <c r="E21" s="35">
        <f t="shared" si="2"/>
        <v>13.16666667</v>
      </c>
      <c r="F21" s="95">
        <v>1.0</v>
      </c>
      <c r="G21" s="96">
        <v>3.0</v>
      </c>
      <c r="H21" s="97">
        <v>0.0</v>
      </c>
      <c r="I21" s="96">
        <v>3.0</v>
      </c>
      <c r="J21" s="96">
        <v>6.0</v>
      </c>
      <c r="K21" s="96">
        <v>6.0</v>
      </c>
      <c r="L21" s="98">
        <v>15.0</v>
      </c>
      <c r="M21" s="96">
        <v>2.0</v>
      </c>
      <c r="N21" s="34">
        <f t="shared" ref="N21:O21" si="26">C21+L21</f>
        <v>218</v>
      </c>
      <c r="O21" s="34">
        <f t="shared" si="26"/>
        <v>22</v>
      </c>
      <c r="P21" s="49" t="s">
        <v>58</v>
      </c>
      <c r="Q21" s="49" t="s">
        <v>58</v>
      </c>
      <c r="R21" s="49"/>
      <c r="S21" s="50">
        <f t="shared" si="4"/>
        <v>12</v>
      </c>
      <c r="T21" s="52">
        <f t="shared" si="5"/>
        <v>0</v>
      </c>
      <c r="U21" s="52"/>
      <c r="V21" s="50">
        <f t="shared" si="6"/>
        <v>5</v>
      </c>
      <c r="W21" s="52">
        <f t="shared" si="7"/>
        <v>3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125</v>
      </c>
      <c r="C22" s="34">
        <v>203.0</v>
      </c>
      <c r="D22" s="34">
        <v>17.0</v>
      </c>
      <c r="E22" s="35">
        <f t="shared" si="2"/>
        <v>13.54545455</v>
      </c>
      <c r="F22" s="95">
        <v>3.0</v>
      </c>
      <c r="G22" s="96">
        <v>0.0</v>
      </c>
      <c r="H22" s="97">
        <v>9.0</v>
      </c>
      <c r="I22" s="96">
        <v>0.0</v>
      </c>
      <c r="J22" s="96">
        <v>0.0</v>
      </c>
      <c r="K22" s="96">
        <v>0.0</v>
      </c>
      <c r="L22" s="98">
        <v>9.0</v>
      </c>
      <c r="M22" s="96">
        <v>0.0</v>
      </c>
      <c r="N22" s="34">
        <f t="shared" ref="N22:O22" si="27">C22+L22</f>
        <v>212</v>
      </c>
      <c r="O22" s="34">
        <f t="shared" si="27"/>
        <v>17</v>
      </c>
      <c r="P22" s="49" t="s">
        <v>58</v>
      </c>
      <c r="Q22" s="49" t="s">
        <v>58</v>
      </c>
      <c r="R22" s="49"/>
      <c r="S22" s="50">
        <f t="shared" si="4"/>
        <v>11</v>
      </c>
      <c r="T22" s="52">
        <f t="shared" si="5"/>
        <v>0</v>
      </c>
      <c r="U22" s="52"/>
      <c r="V22" s="50">
        <f t="shared" si="6"/>
        <v>6</v>
      </c>
      <c r="W22" s="52">
        <f t="shared" si="7"/>
        <v>3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87</v>
      </c>
      <c r="C23" s="34">
        <v>201.0</v>
      </c>
      <c r="D23" s="34">
        <v>20.0</v>
      </c>
      <c r="E23" s="35">
        <f t="shared" si="2"/>
        <v>11.93333333</v>
      </c>
      <c r="F23" s="95">
        <v>5.0</v>
      </c>
      <c r="G23" s="96">
        <v>0.0</v>
      </c>
      <c r="H23" s="97">
        <v>13.0</v>
      </c>
      <c r="I23" s="96">
        <v>0.0</v>
      </c>
      <c r="J23" s="96">
        <v>0.0</v>
      </c>
      <c r="K23" s="96">
        <v>0.0</v>
      </c>
      <c r="L23" s="98">
        <v>13.0</v>
      </c>
      <c r="M23" s="96">
        <v>0.0</v>
      </c>
      <c r="N23" s="34">
        <f t="shared" ref="N23:O23" si="28">C23+L23</f>
        <v>214</v>
      </c>
      <c r="O23" s="34">
        <f t="shared" si="28"/>
        <v>20</v>
      </c>
      <c r="P23" s="49" t="s">
        <v>58</v>
      </c>
      <c r="Q23" s="49" t="s">
        <v>58</v>
      </c>
      <c r="R23" s="49"/>
      <c r="S23" s="50">
        <f t="shared" si="4"/>
        <v>15</v>
      </c>
      <c r="T23" s="52">
        <f t="shared" si="5"/>
        <v>1</v>
      </c>
      <c r="U23" s="52"/>
      <c r="V23" s="50">
        <f t="shared" si="6"/>
        <v>1</v>
      </c>
      <c r="W23" s="52">
        <f t="shared" si="7"/>
        <v>-4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50</v>
      </c>
      <c r="C24" s="34">
        <v>201.0</v>
      </c>
      <c r="D24" s="34">
        <v>20.0</v>
      </c>
      <c r="E24" s="35">
        <f t="shared" si="2"/>
        <v>12</v>
      </c>
      <c r="F24" s="95">
        <v>1.0</v>
      </c>
      <c r="G24" s="96">
        <v>3.0</v>
      </c>
      <c r="H24" s="97">
        <v>0.0</v>
      </c>
      <c r="I24" s="96">
        <v>3.0</v>
      </c>
      <c r="J24" s="96">
        <v>3.0</v>
      </c>
      <c r="K24" s="96">
        <v>2.0</v>
      </c>
      <c r="L24" s="98">
        <v>8.0</v>
      </c>
      <c r="M24" s="96">
        <v>0.0</v>
      </c>
      <c r="N24" s="34">
        <f t="shared" ref="N24:O24" si="29">C24+L24</f>
        <v>209</v>
      </c>
      <c r="O24" s="34">
        <f t="shared" si="29"/>
        <v>20</v>
      </c>
      <c r="P24" s="49" t="s">
        <v>58</v>
      </c>
      <c r="Q24" s="49" t="s">
        <v>58</v>
      </c>
      <c r="R24" s="49"/>
      <c r="S24" s="50">
        <f t="shared" si="4"/>
        <v>16</v>
      </c>
      <c r="T24" s="52">
        <f t="shared" si="5"/>
        <v>0</v>
      </c>
      <c r="U24" s="52"/>
      <c r="V24" s="50">
        <f t="shared" si="6"/>
        <v>1</v>
      </c>
      <c r="W24" s="52">
        <f t="shared" si="7"/>
        <v>4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114</v>
      </c>
      <c r="C25" s="34">
        <v>201.0</v>
      </c>
      <c r="D25" s="34">
        <v>14.0</v>
      </c>
      <c r="E25" s="35">
        <f t="shared" si="2"/>
        <v>12.14285714</v>
      </c>
      <c r="F25" s="95">
        <v>1.0</v>
      </c>
      <c r="G25" s="96">
        <v>3.0</v>
      </c>
      <c r="H25" s="97">
        <v>0.0</v>
      </c>
      <c r="I25" s="96">
        <v>6.0</v>
      </c>
      <c r="J25" s="96">
        <v>3.0</v>
      </c>
      <c r="K25" s="96">
        <v>6.0</v>
      </c>
      <c r="L25" s="98">
        <v>15.0</v>
      </c>
      <c r="M25" s="96">
        <v>2.0</v>
      </c>
      <c r="N25" s="34">
        <f t="shared" ref="N25:O25" si="30">C25+L25</f>
        <v>216</v>
      </c>
      <c r="O25" s="34">
        <f t="shared" si="30"/>
        <v>16</v>
      </c>
      <c r="P25" s="49" t="s">
        <v>58</v>
      </c>
      <c r="Q25" s="49" t="s">
        <v>58</v>
      </c>
      <c r="R25" s="49"/>
      <c r="S25" s="50">
        <f t="shared" si="4"/>
        <v>14</v>
      </c>
      <c r="T25" s="52">
        <f t="shared" si="5"/>
        <v>1</v>
      </c>
      <c r="U25" s="52"/>
      <c r="V25" s="50">
        <f t="shared" si="6"/>
        <v>2</v>
      </c>
      <c r="W25" s="52">
        <f t="shared" si="7"/>
        <v>1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93</v>
      </c>
      <c r="C26" s="34">
        <v>200.0</v>
      </c>
      <c r="D26" s="34">
        <v>18.0</v>
      </c>
      <c r="E26" s="35">
        <f t="shared" si="2"/>
        <v>14.875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31">C26+L26</f>
        <v>209</v>
      </c>
      <c r="O26" s="34">
        <f t="shared" si="31"/>
        <v>18</v>
      </c>
      <c r="P26" s="49" t="s">
        <v>58</v>
      </c>
      <c r="Q26" s="49" t="s">
        <v>58</v>
      </c>
      <c r="R26" s="49"/>
      <c r="S26" s="50">
        <f t="shared" si="4"/>
        <v>8</v>
      </c>
      <c r="T26" s="52">
        <f t="shared" si="5"/>
        <v>0</v>
      </c>
      <c r="U26" s="52"/>
      <c r="V26" s="50">
        <f t="shared" si="6"/>
        <v>9</v>
      </c>
      <c r="W26" s="52">
        <f t="shared" si="7"/>
        <v>3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89</v>
      </c>
      <c r="C27" s="34">
        <v>199.0</v>
      </c>
      <c r="D27" s="34">
        <v>18.0</v>
      </c>
      <c r="E27" s="35">
        <f t="shared" si="2"/>
        <v>13.6</v>
      </c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2">C27+L27</f>
        <v>208</v>
      </c>
      <c r="O27" s="34">
        <f t="shared" si="32"/>
        <v>18</v>
      </c>
      <c r="P27" s="49" t="s">
        <v>58</v>
      </c>
      <c r="Q27" s="49" t="s">
        <v>58</v>
      </c>
      <c r="R27" s="49"/>
      <c r="S27" s="50">
        <f t="shared" si="4"/>
        <v>10</v>
      </c>
      <c r="T27" s="52">
        <f t="shared" si="5"/>
        <v>0</v>
      </c>
      <c r="U27" s="52"/>
      <c r="V27" s="50">
        <f t="shared" si="6"/>
        <v>7</v>
      </c>
      <c r="W27" s="52">
        <f t="shared" si="7"/>
        <v>3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97</v>
      </c>
      <c r="C28" s="34">
        <v>198.0</v>
      </c>
      <c r="D28" s="34">
        <v>20.0</v>
      </c>
      <c r="E28" s="35">
        <f t="shared" si="2"/>
        <v>13.09090909</v>
      </c>
      <c r="F28" s="95">
        <v>3.0</v>
      </c>
      <c r="G28" s="96">
        <v>0.0</v>
      </c>
      <c r="H28" s="97">
        <v>9.0</v>
      </c>
      <c r="I28" s="96">
        <v>0.0</v>
      </c>
      <c r="J28" s="96">
        <v>0.0</v>
      </c>
      <c r="K28" s="96">
        <v>0.0</v>
      </c>
      <c r="L28" s="98">
        <v>9.0</v>
      </c>
      <c r="M28" s="96">
        <v>0.0</v>
      </c>
      <c r="N28" s="34">
        <f t="shared" ref="N28:O28" si="33">C28+L28</f>
        <v>207</v>
      </c>
      <c r="O28" s="34">
        <f t="shared" si="33"/>
        <v>20</v>
      </c>
      <c r="P28" s="49" t="s">
        <v>58</v>
      </c>
      <c r="Q28" s="49" t="s">
        <v>58</v>
      </c>
      <c r="R28" s="49"/>
      <c r="S28" s="50">
        <f t="shared" si="4"/>
        <v>11</v>
      </c>
      <c r="T28" s="52">
        <f t="shared" si="5"/>
        <v>0</v>
      </c>
      <c r="U28" s="52"/>
      <c r="V28" s="50">
        <f t="shared" si="6"/>
        <v>6</v>
      </c>
      <c r="W28" s="52">
        <f t="shared" si="7"/>
        <v>-5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66</v>
      </c>
      <c r="C29" s="34">
        <v>198.0</v>
      </c>
      <c r="D29" s="34">
        <v>18.0</v>
      </c>
      <c r="E29" s="35">
        <f t="shared" si="2"/>
        <v>11.64705882</v>
      </c>
      <c r="F29" s="95">
        <v>1.0</v>
      </c>
      <c r="G29" s="96">
        <v>4.0</v>
      </c>
      <c r="H29" s="97">
        <v>0.0</v>
      </c>
      <c r="I29" s="96">
        <v>3.0</v>
      </c>
      <c r="J29" s="96">
        <v>7.0</v>
      </c>
      <c r="K29" s="96">
        <v>6.0</v>
      </c>
      <c r="L29" s="98">
        <v>16.0</v>
      </c>
      <c r="M29" s="96">
        <v>2.0</v>
      </c>
      <c r="N29" s="34">
        <f t="shared" ref="N29:O29" si="34">C29+L29</f>
        <v>214</v>
      </c>
      <c r="O29" s="34">
        <f t="shared" si="34"/>
        <v>20</v>
      </c>
      <c r="P29" s="49" t="s">
        <v>58</v>
      </c>
      <c r="Q29" s="49" t="s">
        <v>58</v>
      </c>
      <c r="R29" s="49"/>
      <c r="S29" s="50">
        <f t="shared" si="4"/>
        <v>17</v>
      </c>
      <c r="T29" s="52">
        <f t="shared" si="5"/>
        <v>0</v>
      </c>
      <c r="U29" s="52"/>
      <c r="V29" s="50">
        <f t="shared" si="6"/>
        <v>0</v>
      </c>
      <c r="W29" s="52">
        <f t="shared" si="7"/>
        <v>-7</v>
      </c>
      <c r="X29" s="32">
        <f t="shared" si="12"/>
        <v>25</v>
      </c>
      <c r="Y29" s="32" t="str">
        <f t="shared" si="8"/>
        <v>Y</v>
      </c>
      <c r="Z29" s="16" t="str">
        <f t="shared" si="9"/>
        <v/>
      </c>
    </row>
    <row r="30">
      <c r="A30" s="32">
        <f t="shared" si="10"/>
        <v>26</v>
      </c>
      <c r="B30" s="33" t="s">
        <v>100</v>
      </c>
      <c r="C30" s="34">
        <v>197.0</v>
      </c>
      <c r="D30" s="34">
        <v>16.0</v>
      </c>
      <c r="E30" s="35">
        <f t="shared" si="2"/>
        <v>13.88888889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206</v>
      </c>
      <c r="O30" s="34">
        <f t="shared" si="35"/>
        <v>16</v>
      </c>
      <c r="P30" s="49" t="s">
        <v>58</v>
      </c>
      <c r="Q30" s="49" t="s">
        <v>58</v>
      </c>
      <c r="R30" s="49"/>
      <c r="S30" s="50">
        <f t="shared" si="4"/>
        <v>9</v>
      </c>
      <c r="T30" s="52">
        <f t="shared" si="5"/>
        <v>0</v>
      </c>
      <c r="U30" s="52"/>
      <c r="V30" s="50">
        <f t="shared" si="6"/>
        <v>8</v>
      </c>
      <c r="W30" s="52">
        <f t="shared" si="7"/>
        <v>4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111</v>
      </c>
      <c r="C31" s="34">
        <v>195.0</v>
      </c>
      <c r="D31" s="34">
        <v>14.0</v>
      </c>
      <c r="E31" s="35">
        <f t="shared" si="2"/>
        <v>12.16666667</v>
      </c>
      <c r="F31" s="95">
        <v>2.0</v>
      </c>
      <c r="G31" s="96">
        <v>4.0</v>
      </c>
      <c r="H31" s="97">
        <v>0.0</v>
      </c>
      <c r="I31" s="96">
        <v>6.0</v>
      </c>
      <c r="J31" s="96">
        <v>7.0</v>
      </c>
      <c r="K31" s="96">
        <v>4.0</v>
      </c>
      <c r="L31" s="98">
        <v>17.0</v>
      </c>
      <c r="M31" s="96">
        <v>2.0</v>
      </c>
      <c r="N31" s="34">
        <f t="shared" ref="N31:O31" si="36">C31+L31</f>
        <v>212</v>
      </c>
      <c r="O31" s="34">
        <f t="shared" si="36"/>
        <v>16</v>
      </c>
      <c r="P31" s="49" t="s">
        <v>58</v>
      </c>
      <c r="Q31" s="49" t="s">
        <v>58</v>
      </c>
      <c r="R31" s="49"/>
      <c r="S31" s="50">
        <f t="shared" si="4"/>
        <v>12</v>
      </c>
      <c r="T31" s="52">
        <f t="shared" si="5"/>
        <v>1</v>
      </c>
      <c r="U31" s="52"/>
      <c r="V31" s="50">
        <f t="shared" si="6"/>
        <v>4</v>
      </c>
      <c r="W31" s="52">
        <f t="shared" si="7"/>
        <v>-4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106</v>
      </c>
      <c r="C32" s="34">
        <v>193.0</v>
      </c>
      <c r="D32" s="34">
        <v>18.0</v>
      </c>
      <c r="E32" s="35">
        <f t="shared" si="2"/>
        <v>12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7">C32+L32</f>
        <v>202</v>
      </c>
      <c r="O32" s="34">
        <f t="shared" si="37"/>
        <v>18</v>
      </c>
      <c r="P32" s="49" t="s">
        <v>58</v>
      </c>
      <c r="Q32" s="49" t="s">
        <v>58</v>
      </c>
      <c r="R32" s="49"/>
      <c r="S32" s="50">
        <f t="shared" si="4"/>
        <v>12</v>
      </c>
      <c r="T32" s="52">
        <f t="shared" si="5"/>
        <v>1</v>
      </c>
      <c r="U32" s="52"/>
      <c r="V32" s="50">
        <f t="shared" si="6"/>
        <v>4</v>
      </c>
      <c r="W32" s="52">
        <f t="shared" si="7"/>
        <v>-1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96</v>
      </c>
      <c r="C33" s="34">
        <v>193.0</v>
      </c>
      <c r="D33" s="34">
        <v>17.0</v>
      </c>
      <c r="E33" s="35">
        <f t="shared" si="2"/>
        <v>11.66666667</v>
      </c>
      <c r="F33" s="95">
        <v>1.0</v>
      </c>
      <c r="G33" s="96">
        <v>4.0</v>
      </c>
      <c r="H33" s="97">
        <v>0.0</v>
      </c>
      <c r="I33" s="96">
        <v>3.0</v>
      </c>
      <c r="J33" s="96">
        <v>5.0</v>
      </c>
      <c r="K33" s="96">
        <v>4.0</v>
      </c>
      <c r="L33" s="98">
        <v>12.0</v>
      </c>
      <c r="M33" s="96">
        <v>0.0</v>
      </c>
      <c r="N33" s="34">
        <f t="shared" ref="N33:O33" si="38">C33+L33</f>
        <v>205</v>
      </c>
      <c r="O33" s="34">
        <f t="shared" si="38"/>
        <v>17</v>
      </c>
      <c r="P33" s="49" t="s">
        <v>58</v>
      </c>
      <c r="Q33" s="49" t="s">
        <v>58</v>
      </c>
      <c r="R33" s="49"/>
      <c r="S33" s="50">
        <f t="shared" si="4"/>
        <v>15</v>
      </c>
      <c r="T33" s="52">
        <f t="shared" si="5"/>
        <v>0</v>
      </c>
      <c r="U33" s="52"/>
      <c r="V33" s="50">
        <f t="shared" si="6"/>
        <v>2</v>
      </c>
      <c r="W33" s="52">
        <f t="shared" si="7"/>
        <v>7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136</v>
      </c>
      <c r="C34" s="34">
        <v>192.0</v>
      </c>
      <c r="D34" s="34">
        <v>16.0</v>
      </c>
      <c r="E34" s="35">
        <f t="shared" si="2"/>
        <v>11.29411765</v>
      </c>
      <c r="F34" s="95">
        <v>1.0</v>
      </c>
      <c r="G34" s="96">
        <v>4.0</v>
      </c>
      <c r="H34" s="97">
        <v>0.0</v>
      </c>
      <c r="I34" s="96">
        <v>6.0</v>
      </c>
      <c r="J34" s="96">
        <v>5.0</v>
      </c>
      <c r="K34" s="96">
        <v>6.0</v>
      </c>
      <c r="L34" s="98">
        <v>17.0</v>
      </c>
      <c r="M34" s="96">
        <v>2.0</v>
      </c>
      <c r="N34" s="34">
        <f t="shared" ref="N34:O34" si="39">C34+L34</f>
        <v>209</v>
      </c>
      <c r="O34" s="34">
        <f t="shared" si="39"/>
        <v>18</v>
      </c>
      <c r="P34" s="49" t="s">
        <v>58</v>
      </c>
      <c r="Q34" s="49" t="s">
        <v>58</v>
      </c>
      <c r="R34" s="49"/>
      <c r="S34" s="50">
        <f t="shared" si="4"/>
        <v>17</v>
      </c>
      <c r="T34" s="52">
        <f t="shared" si="5"/>
        <v>0</v>
      </c>
      <c r="U34" s="52"/>
      <c r="V34" s="50">
        <f t="shared" si="6"/>
        <v>0</v>
      </c>
      <c r="W34" s="52">
        <f t="shared" si="7"/>
        <v>-2</v>
      </c>
      <c r="X34" s="32">
        <f t="shared" si="12"/>
        <v>30</v>
      </c>
      <c r="Y34" s="32" t="str">
        <f t="shared" si="8"/>
        <v>Y</v>
      </c>
      <c r="Z34" s="16" t="str">
        <f t="shared" si="9"/>
        <v/>
      </c>
    </row>
    <row r="35">
      <c r="A35" s="32">
        <f t="shared" si="10"/>
        <v>31</v>
      </c>
      <c r="B35" s="33" t="s">
        <v>49</v>
      </c>
      <c r="C35" s="34">
        <v>191.0</v>
      </c>
      <c r="D35" s="34">
        <v>18.0</v>
      </c>
      <c r="E35" s="35">
        <f t="shared" si="2"/>
        <v>11.71428571</v>
      </c>
      <c r="F35" s="95">
        <v>1.0</v>
      </c>
      <c r="G35" s="96">
        <v>5.0</v>
      </c>
      <c r="H35" s="97">
        <v>0.0</v>
      </c>
      <c r="I35" s="96">
        <v>4.0</v>
      </c>
      <c r="J35" s="96">
        <v>7.0</v>
      </c>
      <c r="K35" s="96">
        <v>3.0</v>
      </c>
      <c r="L35" s="98">
        <v>14.0</v>
      </c>
      <c r="M35" s="96">
        <v>1.0</v>
      </c>
      <c r="N35" s="34">
        <f t="shared" ref="N35:O35" si="40">C35+L35</f>
        <v>205</v>
      </c>
      <c r="O35" s="34">
        <f t="shared" si="40"/>
        <v>19</v>
      </c>
      <c r="P35" s="49" t="s">
        <v>58</v>
      </c>
      <c r="Q35" s="49" t="s">
        <v>58</v>
      </c>
      <c r="R35" s="49"/>
      <c r="S35" s="50">
        <f t="shared" si="4"/>
        <v>14</v>
      </c>
      <c r="T35" s="52">
        <f t="shared" si="5"/>
        <v>0</v>
      </c>
      <c r="U35" s="52"/>
      <c r="V35" s="50">
        <f t="shared" si="6"/>
        <v>3</v>
      </c>
      <c r="W35" s="52">
        <f t="shared" si="7"/>
        <v>2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65</v>
      </c>
      <c r="C36" s="34">
        <v>189.0</v>
      </c>
      <c r="D36" s="34">
        <v>17.0</v>
      </c>
      <c r="E36" s="35">
        <f t="shared" si="2"/>
        <v>13.5</v>
      </c>
      <c r="F36" s="95">
        <v>1.0</v>
      </c>
      <c r="G36" s="96">
        <v>5.0</v>
      </c>
      <c r="H36" s="97">
        <v>0.0</v>
      </c>
      <c r="I36" s="96">
        <v>4.0</v>
      </c>
      <c r="J36" s="96">
        <v>5.0</v>
      </c>
      <c r="K36" s="96">
        <v>6.0</v>
      </c>
      <c r="L36" s="98">
        <v>15.0</v>
      </c>
      <c r="M36" s="96">
        <v>1.0</v>
      </c>
      <c r="N36" s="34">
        <f t="shared" ref="N36:O36" si="41">C36+L36</f>
        <v>204</v>
      </c>
      <c r="O36" s="34">
        <f t="shared" si="41"/>
        <v>18</v>
      </c>
      <c r="P36" s="49" t="s">
        <v>58</v>
      </c>
      <c r="Q36" s="49" t="s">
        <v>58</v>
      </c>
      <c r="R36" s="49"/>
      <c r="S36" s="50">
        <f t="shared" si="4"/>
        <v>8</v>
      </c>
      <c r="T36" s="52">
        <f t="shared" si="5"/>
        <v>0</v>
      </c>
      <c r="U36" s="52"/>
      <c r="V36" s="50">
        <f t="shared" si="6"/>
        <v>9</v>
      </c>
      <c r="W36" s="52">
        <f t="shared" si="7"/>
        <v>-3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99</v>
      </c>
      <c r="C37" s="34">
        <v>189.0</v>
      </c>
      <c r="D37" s="34">
        <v>12.0</v>
      </c>
      <c r="E37" s="35">
        <f t="shared" si="2"/>
        <v>12.55555556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2">C37+L37</f>
        <v>198</v>
      </c>
      <c r="O37" s="34">
        <f t="shared" si="42"/>
        <v>12</v>
      </c>
      <c r="P37" s="49" t="s">
        <v>58</v>
      </c>
      <c r="Q37" s="49" t="s">
        <v>58</v>
      </c>
      <c r="R37" s="49"/>
      <c r="S37" s="50">
        <f t="shared" si="4"/>
        <v>9</v>
      </c>
      <c r="T37" s="52">
        <f t="shared" si="5"/>
        <v>1</v>
      </c>
      <c r="U37" s="52"/>
      <c r="V37" s="50">
        <f t="shared" si="6"/>
        <v>7</v>
      </c>
      <c r="W37" s="52">
        <f t="shared" si="7"/>
        <v>4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60</v>
      </c>
      <c r="C38" s="34">
        <v>185.0</v>
      </c>
      <c r="D38" s="34">
        <v>19.0</v>
      </c>
      <c r="E38" s="35">
        <f t="shared" si="2"/>
        <v>11.13333333</v>
      </c>
      <c r="F38" s="95">
        <v>1.0</v>
      </c>
      <c r="G38" s="96">
        <v>5.0</v>
      </c>
      <c r="H38" s="97">
        <v>0.0</v>
      </c>
      <c r="I38" s="96">
        <v>6.0</v>
      </c>
      <c r="J38" s="96">
        <v>5.0</v>
      </c>
      <c r="K38" s="96">
        <v>3.0</v>
      </c>
      <c r="L38" s="98">
        <v>14.0</v>
      </c>
      <c r="M38" s="96">
        <v>1.0</v>
      </c>
      <c r="N38" s="34">
        <f t="shared" ref="N38:O38" si="43">C38+L38</f>
        <v>199</v>
      </c>
      <c r="O38" s="34">
        <f t="shared" si="43"/>
        <v>20</v>
      </c>
      <c r="P38" s="49" t="s">
        <v>58</v>
      </c>
      <c r="Q38" s="49" t="s">
        <v>58</v>
      </c>
      <c r="R38" s="49"/>
      <c r="S38" s="50">
        <f t="shared" si="4"/>
        <v>15</v>
      </c>
      <c r="T38" s="52">
        <f t="shared" si="5"/>
        <v>0</v>
      </c>
      <c r="U38" s="52"/>
      <c r="V38" s="50">
        <f t="shared" si="6"/>
        <v>2</v>
      </c>
      <c r="W38" s="52">
        <f t="shared" si="7"/>
        <v>-3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138</v>
      </c>
      <c r="C39" s="34">
        <v>185.0</v>
      </c>
      <c r="D39" s="34">
        <v>13.0</v>
      </c>
      <c r="E39" s="35">
        <f t="shared" si="2"/>
        <v>12.55555556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4">C39+L39</f>
        <v>194</v>
      </c>
      <c r="O39" s="34">
        <f t="shared" si="44"/>
        <v>13</v>
      </c>
      <c r="P39" s="49" t="s">
        <v>58</v>
      </c>
      <c r="Q39" s="49" t="s">
        <v>58</v>
      </c>
      <c r="R39" s="49"/>
      <c r="S39" s="50">
        <f t="shared" si="4"/>
        <v>9</v>
      </c>
      <c r="T39" s="52">
        <f t="shared" si="5"/>
        <v>0</v>
      </c>
      <c r="U39" s="52"/>
      <c r="V39" s="50">
        <f t="shared" si="6"/>
        <v>8</v>
      </c>
      <c r="W39" s="52">
        <f t="shared" si="7"/>
        <v>-3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122</v>
      </c>
      <c r="C40" s="34">
        <v>184.0</v>
      </c>
      <c r="D40" s="34">
        <v>12.0</v>
      </c>
      <c r="E40" s="35">
        <f t="shared" si="2"/>
        <v>12.875</v>
      </c>
      <c r="F40" s="95">
        <v>1.0</v>
      </c>
      <c r="G40" s="96">
        <v>5.0</v>
      </c>
      <c r="H40" s="97">
        <v>0.0</v>
      </c>
      <c r="I40" s="96">
        <v>6.0</v>
      </c>
      <c r="J40" s="96">
        <v>7.0</v>
      </c>
      <c r="K40" s="96">
        <v>6.0</v>
      </c>
      <c r="L40" s="98">
        <v>19.0</v>
      </c>
      <c r="M40" s="96">
        <v>3.0</v>
      </c>
      <c r="N40" s="34">
        <f t="shared" ref="N40:O40" si="45">C40+L40</f>
        <v>203</v>
      </c>
      <c r="O40" s="34">
        <f t="shared" si="45"/>
        <v>15</v>
      </c>
      <c r="P40" s="49" t="s">
        <v>58</v>
      </c>
      <c r="Q40" s="49" t="s">
        <v>58</v>
      </c>
      <c r="R40" s="49"/>
      <c r="S40" s="50">
        <f t="shared" si="4"/>
        <v>8</v>
      </c>
      <c r="T40" s="52">
        <f t="shared" si="5"/>
        <v>0</v>
      </c>
      <c r="U40" s="52"/>
      <c r="V40" s="50">
        <f t="shared" si="6"/>
        <v>9</v>
      </c>
      <c r="W40" s="52">
        <f t="shared" si="7"/>
        <v>-2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132</v>
      </c>
      <c r="C41" s="34">
        <v>184.0</v>
      </c>
      <c r="D41" s="34">
        <v>12.0</v>
      </c>
      <c r="E41" s="35">
        <f t="shared" si="2"/>
        <v>13.42857143</v>
      </c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6">C41+L41</f>
        <v>193</v>
      </c>
      <c r="O41" s="34">
        <f t="shared" si="46"/>
        <v>12</v>
      </c>
      <c r="P41" s="49" t="s">
        <v>58</v>
      </c>
      <c r="Q41" s="49" t="s">
        <v>58</v>
      </c>
      <c r="R41" s="49"/>
      <c r="S41" s="50">
        <f t="shared" si="4"/>
        <v>7</v>
      </c>
      <c r="T41" s="52">
        <f t="shared" si="5"/>
        <v>0</v>
      </c>
      <c r="U41" s="52"/>
      <c r="V41" s="50">
        <f t="shared" si="6"/>
        <v>10</v>
      </c>
      <c r="W41" s="52">
        <f t="shared" si="7"/>
        <v>-2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135</v>
      </c>
      <c r="C42" s="34">
        <v>182.0</v>
      </c>
      <c r="D42" s="34">
        <v>15.0</v>
      </c>
      <c r="E42" s="35">
        <f t="shared" si="2"/>
        <v>11.63636364</v>
      </c>
      <c r="F42" s="95">
        <v>1.0</v>
      </c>
      <c r="G42" s="96">
        <v>6.0</v>
      </c>
      <c r="H42" s="97">
        <v>0.0</v>
      </c>
      <c r="I42" s="96">
        <v>6.0</v>
      </c>
      <c r="J42" s="96">
        <v>6.0</v>
      </c>
      <c r="K42" s="96">
        <v>6.0</v>
      </c>
      <c r="L42" s="98">
        <v>18.0</v>
      </c>
      <c r="M42" s="96">
        <v>3.0</v>
      </c>
      <c r="N42" s="34">
        <f t="shared" ref="N42:O42" si="47">C42+L42</f>
        <v>200</v>
      </c>
      <c r="O42" s="34">
        <f t="shared" si="47"/>
        <v>18</v>
      </c>
      <c r="P42" s="49" t="s">
        <v>58</v>
      </c>
      <c r="Q42" s="49" t="s">
        <v>58</v>
      </c>
      <c r="R42" s="49"/>
      <c r="S42" s="50">
        <f t="shared" si="4"/>
        <v>11</v>
      </c>
      <c r="T42" s="52">
        <f t="shared" si="5"/>
        <v>0</v>
      </c>
      <c r="U42" s="52"/>
      <c r="V42" s="50">
        <f t="shared" si="6"/>
        <v>6</v>
      </c>
      <c r="W42" s="52">
        <f t="shared" si="7"/>
        <v>1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72</v>
      </c>
      <c r="C43" s="34">
        <v>181.0</v>
      </c>
      <c r="D43" s="34">
        <v>11.0</v>
      </c>
      <c r="E43" s="35">
        <f t="shared" si="2"/>
        <v>11.66666667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190</v>
      </c>
      <c r="O43" s="34">
        <f t="shared" si="48"/>
        <v>11</v>
      </c>
      <c r="P43" s="49" t="s">
        <v>58</v>
      </c>
      <c r="Q43" s="49" t="s">
        <v>58</v>
      </c>
      <c r="R43" s="49"/>
      <c r="S43" s="50">
        <f t="shared" si="4"/>
        <v>9</v>
      </c>
      <c r="T43" s="52">
        <f t="shared" si="5"/>
        <v>1</v>
      </c>
      <c r="U43" s="52"/>
      <c r="V43" s="50">
        <f t="shared" si="6"/>
        <v>7</v>
      </c>
      <c r="W43" s="52">
        <f t="shared" si="7"/>
        <v>1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129</v>
      </c>
      <c r="C44" s="34">
        <v>180.0</v>
      </c>
      <c r="D44" s="34">
        <v>18.0</v>
      </c>
      <c r="E44" s="35">
        <f t="shared" si="2"/>
        <v>10.92857143</v>
      </c>
      <c r="F44" s="95">
        <v>1.0</v>
      </c>
      <c r="G44" s="96">
        <v>6.0</v>
      </c>
      <c r="H44" s="97">
        <v>0.0</v>
      </c>
      <c r="I44" s="96">
        <v>6.0</v>
      </c>
      <c r="J44" s="96">
        <v>3.0</v>
      </c>
      <c r="K44" s="96">
        <v>4.0</v>
      </c>
      <c r="L44" s="98">
        <v>13.0</v>
      </c>
      <c r="M44" s="96">
        <v>1.0</v>
      </c>
      <c r="N44" s="34">
        <f t="shared" ref="N44:O44" si="49">C44+L44</f>
        <v>193</v>
      </c>
      <c r="O44" s="34">
        <f t="shared" si="49"/>
        <v>19</v>
      </c>
      <c r="P44" s="49" t="s">
        <v>58</v>
      </c>
      <c r="Q44" s="49" t="s">
        <v>58</v>
      </c>
      <c r="R44" s="49"/>
      <c r="S44" s="50">
        <f t="shared" si="4"/>
        <v>14</v>
      </c>
      <c r="T44" s="52">
        <f t="shared" si="5"/>
        <v>0</v>
      </c>
      <c r="U44" s="52"/>
      <c r="V44" s="50">
        <f t="shared" si="6"/>
        <v>3</v>
      </c>
      <c r="W44" s="52">
        <f t="shared" si="7"/>
        <v>4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137</v>
      </c>
      <c r="C45" s="34">
        <v>178.0</v>
      </c>
      <c r="D45" s="34">
        <v>12.0</v>
      </c>
      <c r="E45" s="35">
        <f t="shared" si="2"/>
        <v>11.27272727</v>
      </c>
      <c r="F45" s="95">
        <v>1.0</v>
      </c>
      <c r="G45" s="96">
        <v>6.0</v>
      </c>
      <c r="H45" s="97">
        <v>0.0</v>
      </c>
      <c r="I45" s="96">
        <v>1.0</v>
      </c>
      <c r="J45" s="96">
        <v>3.0</v>
      </c>
      <c r="K45" s="96">
        <v>6.0</v>
      </c>
      <c r="L45" s="98">
        <v>10.0</v>
      </c>
      <c r="M45" s="96">
        <v>1.0</v>
      </c>
      <c r="N45" s="34">
        <f t="shared" ref="N45:O45" si="50">C45+L45</f>
        <v>188</v>
      </c>
      <c r="O45" s="34">
        <f t="shared" si="50"/>
        <v>13</v>
      </c>
      <c r="P45" s="49" t="s">
        <v>58</v>
      </c>
      <c r="Q45" s="49" t="s">
        <v>58</v>
      </c>
      <c r="R45" s="49"/>
      <c r="S45" s="50">
        <f t="shared" si="4"/>
        <v>11</v>
      </c>
      <c r="T45" s="52">
        <f t="shared" si="5"/>
        <v>0</v>
      </c>
      <c r="U45" s="52"/>
      <c r="V45" s="50">
        <f t="shared" si="6"/>
        <v>6</v>
      </c>
      <c r="W45" s="52">
        <f t="shared" si="7"/>
        <v>-3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139</v>
      </c>
      <c r="C46" s="34">
        <v>177.0</v>
      </c>
      <c r="D46" s="34">
        <v>14.0</v>
      </c>
      <c r="E46" s="35">
        <f t="shared" si="2"/>
        <v>11.18181818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186</v>
      </c>
      <c r="O46" s="34">
        <f t="shared" si="51"/>
        <v>14</v>
      </c>
      <c r="P46" s="49" t="s">
        <v>58</v>
      </c>
      <c r="Q46" s="49" t="s">
        <v>58</v>
      </c>
      <c r="R46" s="49"/>
      <c r="S46" s="50">
        <f t="shared" si="4"/>
        <v>11</v>
      </c>
      <c r="T46" s="52">
        <f t="shared" si="5"/>
        <v>0</v>
      </c>
      <c r="U46" s="52"/>
      <c r="V46" s="50">
        <f t="shared" si="6"/>
        <v>6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54</v>
      </c>
      <c r="C47" s="34">
        <v>174.0</v>
      </c>
      <c r="D47" s="34">
        <v>15.0</v>
      </c>
      <c r="E47" s="35">
        <f t="shared" si="2"/>
        <v>10.5</v>
      </c>
      <c r="F47" s="95">
        <v>1.0</v>
      </c>
      <c r="G47" s="96">
        <v>6.0</v>
      </c>
      <c r="H47" s="97">
        <v>0.0</v>
      </c>
      <c r="I47" s="96">
        <v>1.0</v>
      </c>
      <c r="J47" s="96">
        <v>6.0</v>
      </c>
      <c r="K47" s="96">
        <v>4.0</v>
      </c>
      <c r="L47" s="98">
        <v>11.0</v>
      </c>
      <c r="M47" s="96">
        <v>1.0</v>
      </c>
      <c r="N47" s="34">
        <f t="shared" ref="N47:O47" si="52">C47+L47</f>
        <v>185</v>
      </c>
      <c r="O47" s="34">
        <f t="shared" si="52"/>
        <v>16</v>
      </c>
      <c r="P47" s="49" t="s">
        <v>58</v>
      </c>
      <c r="Q47" s="49" t="s">
        <v>58</v>
      </c>
      <c r="R47" s="49"/>
      <c r="S47" s="50">
        <f t="shared" si="4"/>
        <v>14</v>
      </c>
      <c r="T47" s="52">
        <f t="shared" si="5"/>
        <v>0</v>
      </c>
      <c r="U47" s="52"/>
      <c r="V47" s="50">
        <f t="shared" si="6"/>
        <v>3</v>
      </c>
      <c r="W47" s="52">
        <f t="shared" si="7"/>
        <v>2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75</v>
      </c>
      <c r="C48" s="34">
        <v>172.0</v>
      </c>
      <c r="D48" s="34">
        <v>7.0</v>
      </c>
      <c r="E48" s="35">
        <f t="shared" si="2"/>
        <v>12.8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3">C48+L48</f>
        <v>181</v>
      </c>
      <c r="O48" s="34">
        <f t="shared" si="53"/>
        <v>7</v>
      </c>
      <c r="P48" s="49" t="s">
        <v>58</v>
      </c>
      <c r="Q48" s="49" t="s">
        <v>58</v>
      </c>
      <c r="R48" s="49"/>
      <c r="S48" s="50">
        <f t="shared" si="4"/>
        <v>5</v>
      </c>
      <c r="T48" s="52">
        <f t="shared" si="5"/>
        <v>0</v>
      </c>
      <c r="U48" s="52"/>
      <c r="V48" s="50">
        <f t="shared" si="6"/>
        <v>12</v>
      </c>
      <c r="W48" s="52">
        <f t="shared" si="7"/>
        <v>-2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108</v>
      </c>
      <c r="C49" s="34">
        <v>171.0</v>
      </c>
      <c r="D49" s="34">
        <v>7.0</v>
      </c>
      <c r="E49" s="35">
        <f t="shared" si="2"/>
        <v>10.63636364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4">C49+L49</f>
        <v>180</v>
      </c>
      <c r="O49" s="34">
        <f t="shared" si="54"/>
        <v>7</v>
      </c>
      <c r="P49" s="49" t="s">
        <v>58</v>
      </c>
      <c r="Q49" s="49" t="s">
        <v>58</v>
      </c>
      <c r="R49" s="49"/>
      <c r="S49" s="50">
        <f t="shared" si="4"/>
        <v>11</v>
      </c>
      <c r="T49" s="52">
        <f t="shared" si="5"/>
        <v>0</v>
      </c>
      <c r="U49" s="52"/>
      <c r="V49" s="50">
        <f t="shared" si="6"/>
        <v>6</v>
      </c>
      <c r="W49" s="52">
        <f t="shared" si="7"/>
        <v>-2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47</v>
      </c>
      <c r="C50" s="34">
        <v>169.0</v>
      </c>
      <c r="D50" s="34">
        <v>8.0</v>
      </c>
      <c r="E50" s="35">
        <f t="shared" si="2"/>
        <v>14.33333333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178</v>
      </c>
      <c r="O50" s="34">
        <f t="shared" si="55"/>
        <v>8</v>
      </c>
      <c r="P50" s="49" t="s">
        <v>58</v>
      </c>
      <c r="Q50" s="49" t="s">
        <v>58</v>
      </c>
      <c r="R50" s="49"/>
      <c r="S50" s="50">
        <f t="shared" si="4"/>
        <v>3</v>
      </c>
      <c r="T50" s="52">
        <f t="shared" si="5"/>
        <v>0</v>
      </c>
      <c r="U50" s="52"/>
      <c r="V50" s="50">
        <f t="shared" si="6"/>
        <v>14</v>
      </c>
      <c r="W50" s="52">
        <f t="shared" si="7"/>
        <v>0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143</v>
      </c>
      <c r="C51" s="34">
        <v>169.0</v>
      </c>
      <c r="D51" s="34">
        <v>7.0</v>
      </c>
      <c r="E51" s="35">
        <f t="shared" si="2"/>
        <v>13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178</v>
      </c>
      <c r="O51" s="34">
        <f t="shared" si="56"/>
        <v>7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13</v>
      </c>
      <c r="W51" s="52">
        <f t="shared" si="7"/>
        <v>0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144</v>
      </c>
      <c r="C52" s="34">
        <v>166.0</v>
      </c>
      <c r="D52" s="34">
        <v>9.0</v>
      </c>
      <c r="E52" s="35">
        <f t="shared" si="2"/>
        <v>10.28571429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175</v>
      </c>
      <c r="O52" s="34">
        <f t="shared" si="57"/>
        <v>9</v>
      </c>
      <c r="P52" s="49" t="s">
        <v>58</v>
      </c>
      <c r="Q52" s="49" t="s">
        <v>58</v>
      </c>
      <c r="R52" s="49"/>
      <c r="S52" s="50">
        <f t="shared" si="4"/>
        <v>7</v>
      </c>
      <c r="T52" s="52">
        <f t="shared" si="5"/>
        <v>1</v>
      </c>
      <c r="U52" s="52"/>
      <c r="V52" s="50">
        <f t="shared" si="6"/>
        <v>9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95</v>
      </c>
      <c r="C53" s="34">
        <v>164.0</v>
      </c>
      <c r="D53" s="34">
        <v>7.0</v>
      </c>
      <c r="E53" s="35">
        <f t="shared" si="2"/>
        <v>10.75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173</v>
      </c>
      <c r="O53" s="34">
        <f t="shared" si="58"/>
        <v>7</v>
      </c>
      <c r="P53" s="49" t="s">
        <v>58</v>
      </c>
      <c r="Q53" s="49" t="s">
        <v>58</v>
      </c>
      <c r="R53" s="49"/>
      <c r="S53" s="50">
        <f t="shared" si="4"/>
        <v>4</v>
      </c>
      <c r="T53" s="52">
        <f t="shared" si="5"/>
        <v>1</v>
      </c>
      <c r="U53" s="52"/>
      <c r="V53" s="50">
        <f t="shared" si="6"/>
        <v>12</v>
      </c>
      <c r="W53" s="52">
        <f t="shared" si="7"/>
        <v>4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69</v>
      </c>
      <c r="C54" s="34">
        <v>161.0</v>
      </c>
      <c r="D54" s="34">
        <v>7.0</v>
      </c>
      <c r="E54" s="35">
        <f t="shared" si="2"/>
        <v>11.66666667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170</v>
      </c>
      <c r="O54" s="34">
        <f t="shared" si="59"/>
        <v>7</v>
      </c>
      <c r="P54" s="49" t="s">
        <v>58</v>
      </c>
      <c r="Q54" s="49" t="s">
        <v>58</v>
      </c>
      <c r="R54" s="49"/>
      <c r="S54" s="50">
        <f t="shared" si="4"/>
        <v>3</v>
      </c>
      <c r="T54" s="52">
        <f t="shared" si="5"/>
        <v>0</v>
      </c>
      <c r="U54" s="52"/>
      <c r="V54" s="50">
        <f t="shared" si="6"/>
        <v>14</v>
      </c>
      <c r="W54" s="52">
        <f t="shared" si="7"/>
        <v>-1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105</v>
      </c>
      <c r="C55" s="34">
        <v>160.0</v>
      </c>
      <c r="D55" s="34">
        <v>6.0</v>
      </c>
      <c r="E55" s="35">
        <f t="shared" si="2"/>
        <v>10.75</v>
      </c>
      <c r="F55" s="95">
        <v>1.0</v>
      </c>
      <c r="G55" s="96">
        <v>7.0</v>
      </c>
      <c r="H55" s="97">
        <v>0.0</v>
      </c>
      <c r="I55" s="96">
        <v>1.0</v>
      </c>
      <c r="J55" s="96">
        <v>6.0</v>
      </c>
      <c r="K55" s="96">
        <v>6.0</v>
      </c>
      <c r="L55" s="98">
        <v>13.0</v>
      </c>
      <c r="M55" s="96">
        <v>2.0</v>
      </c>
      <c r="N55" s="34">
        <f t="shared" ref="N55:O55" si="60">C55+L55</f>
        <v>173</v>
      </c>
      <c r="O55" s="34">
        <f t="shared" si="60"/>
        <v>8</v>
      </c>
      <c r="P55" s="49" t="s">
        <v>58</v>
      </c>
      <c r="Q55" s="49" t="s">
        <v>58</v>
      </c>
      <c r="R55" s="49"/>
      <c r="S55" s="50">
        <f t="shared" si="4"/>
        <v>4</v>
      </c>
      <c r="T55" s="52">
        <f t="shared" si="5"/>
        <v>0</v>
      </c>
      <c r="U55" s="52"/>
      <c r="V55" s="50">
        <f t="shared" si="6"/>
        <v>13</v>
      </c>
      <c r="W55" s="52">
        <f t="shared" si="7"/>
        <v>-1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121</v>
      </c>
      <c r="C56" s="34">
        <v>160.0</v>
      </c>
      <c r="D56" s="34">
        <v>5.0</v>
      </c>
      <c r="E56" s="35">
        <f t="shared" si="2"/>
        <v>10</v>
      </c>
      <c r="F56" s="95">
        <v>1.0</v>
      </c>
      <c r="G56" s="96">
        <v>7.0</v>
      </c>
      <c r="H56" s="97">
        <v>0.0</v>
      </c>
      <c r="I56" s="96">
        <v>6.0</v>
      </c>
      <c r="J56" s="96">
        <v>3.0</v>
      </c>
      <c r="K56" s="96">
        <v>6.0</v>
      </c>
      <c r="L56" s="98">
        <v>15.0</v>
      </c>
      <c r="M56" s="96">
        <v>2.0</v>
      </c>
      <c r="N56" s="34">
        <f t="shared" ref="N56:O56" si="61">C56+L56</f>
        <v>175</v>
      </c>
      <c r="O56" s="34">
        <f t="shared" si="61"/>
        <v>7</v>
      </c>
      <c r="P56" s="49" t="s">
        <v>58</v>
      </c>
      <c r="Q56" s="49" t="s">
        <v>58</v>
      </c>
      <c r="R56" s="49"/>
      <c r="S56" s="50">
        <f t="shared" si="4"/>
        <v>3</v>
      </c>
      <c r="T56" s="52">
        <f t="shared" si="5"/>
        <v>1</v>
      </c>
      <c r="U56" s="52"/>
      <c r="V56" s="50">
        <f t="shared" si="6"/>
        <v>13</v>
      </c>
      <c r="W56" s="52">
        <f t="shared" si="7"/>
        <v>-1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145</v>
      </c>
      <c r="C57" s="34">
        <v>159.0</v>
      </c>
      <c r="D57" s="34">
        <v>9.0</v>
      </c>
      <c r="E57" s="35">
        <f t="shared" si="2"/>
        <v>9.75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168</v>
      </c>
      <c r="O57" s="34">
        <f t="shared" si="62"/>
        <v>9</v>
      </c>
      <c r="P57" s="49" t="s">
        <v>58</v>
      </c>
      <c r="Q57" s="49" t="s">
        <v>58</v>
      </c>
      <c r="R57" s="49"/>
      <c r="S57" s="50">
        <f t="shared" si="4"/>
        <v>8</v>
      </c>
      <c r="T57" s="52">
        <f t="shared" si="5"/>
        <v>0</v>
      </c>
      <c r="U57" s="52"/>
      <c r="V57" s="50">
        <f t="shared" si="6"/>
        <v>9</v>
      </c>
      <c r="W57" s="52">
        <f t="shared" si="7"/>
        <v>-1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142</v>
      </c>
      <c r="C58" s="34">
        <v>158.0</v>
      </c>
      <c r="D58" s="34">
        <v>10.0</v>
      </c>
      <c r="E58" s="35">
        <f t="shared" si="2"/>
        <v>9.555555556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167</v>
      </c>
      <c r="O58" s="34">
        <f t="shared" si="63"/>
        <v>10</v>
      </c>
      <c r="P58" s="49" t="s">
        <v>58</v>
      </c>
      <c r="Q58" s="49" t="s">
        <v>58</v>
      </c>
      <c r="R58" s="49"/>
      <c r="S58" s="50">
        <f t="shared" si="4"/>
        <v>9</v>
      </c>
      <c r="T58" s="52">
        <f t="shared" si="5"/>
        <v>0</v>
      </c>
      <c r="U58" s="52"/>
      <c r="V58" s="50">
        <f t="shared" si="6"/>
        <v>8</v>
      </c>
      <c r="W58" s="52">
        <f t="shared" si="7"/>
        <v>0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140</v>
      </c>
      <c r="C59" s="34">
        <v>155.0</v>
      </c>
      <c r="D59" s="34">
        <v>4.0</v>
      </c>
      <c r="E59" s="35">
        <f t="shared" si="2"/>
        <v>10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164</v>
      </c>
      <c r="O59" s="34">
        <f t="shared" si="64"/>
        <v>4</v>
      </c>
      <c r="P59" s="49" t="s">
        <v>58</v>
      </c>
      <c r="Q59" s="49" t="s">
        <v>58</v>
      </c>
      <c r="R59" s="49"/>
      <c r="S59" s="50">
        <f t="shared" si="4"/>
        <v>2</v>
      </c>
      <c r="T59" s="52">
        <f t="shared" si="5"/>
        <v>0</v>
      </c>
      <c r="U59" s="52"/>
      <c r="V59" s="50">
        <f t="shared" si="6"/>
        <v>15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153.0</v>
      </c>
      <c r="D60" s="34">
        <v>5.0</v>
      </c>
      <c r="E60" s="35">
        <f t="shared" si="2"/>
        <v>9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162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3</v>
      </c>
      <c r="T60" s="52">
        <f t="shared" si="5"/>
        <v>0</v>
      </c>
      <c r="U60" s="52"/>
      <c r="V60" s="50">
        <f t="shared" si="6"/>
        <v>14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147</v>
      </c>
      <c r="C61" s="34">
        <v>149.0</v>
      </c>
      <c r="D61" s="34">
        <v>4.0</v>
      </c>
      <c r="E61" s="35">
        <f t="shared" si="2"/>
        <v>7.666666667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158</v>
      </c>
      <c r="O61" s="34">
        <f t="shared" si="66"/>
        <v>4</v>
      </c>
      <c r="P61" s="49" t="s">
        <v>58</v>
      </c>
      <c r="Q61" s="49" t="s">
        <v>58</v>
      </c>
      <c r="R61" s="49"/>
      <c r="S61" s="50">
        <f t="shared" si="4"/>
        <v>3</v>
      </c>
      <c r="T61" s="52">
        <f t="shared" si="5"/>
        <v>0</v>
      </c>
      <c r="U61" s="52"/>
      <c r="V61" s="50">
        <f t="shared" si="6"/>
        <v>14</v>
      </c>
      <c r="W61" s="52">
        <f t="shared" si="7"/>
        <v>1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148</v>
      </c>
      <c r="C62" s="34">
        <v>149.0</v>
      </c>
      <c r="D62" s="34">
        <v>1.0</v>
      </c>
      <c r="E62" s="35">
        <f t="shared" si="2"/>
        <v>7.4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158</v>
      </c>
      <c r="O62" s="34">
        <f t="shared" si="67"/>
        <v>1</v>
      </c>
      <c r="P62" s="49" t="s">
        <v>58</v>
      </c>
      <c r="Q62" s="49" t="s">
        <v>58</v>
      </c>
      <c r="R62" s="49"/>
      <c r="S62" s="50">
        <f t="shared" si="4"/>
        <v>5</v>
      </c>
      <c r="T62" s="52">
        <f t="shared" si="5"/>
        <v>1</v>
      </c>
      <c r="U62" s="52"/>
      <c r="V62" s="50">
        <f t="shared" si="6"/>
        <v>11</v>
      </c>
      <c r="W62" s="52">
        <f t="shared" si="7"/>
        <v>-1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101</v>
      </c>
      <c r="C63" s="34">
        <v>146.0</v>
      </c>
      <c r="D63" s="34">
        <v>7.0</v>
      </c>
      <c r="E63" s="35">
        <f t="shared" si="2"/>
        <v>8.363636364</v>
      </c>
      <c r="F63" s="95">
        <v>1.0</v>
      </c>
      <c r="G63" s="96">
        <v>7.0</v>
      </c>
      <c r="H63" s="97">
        <v>0.0</v>
      </c>
      <c r="I63" s="96">
        <v>1.0</v>
      </c>
      <c r="J63" s="96">
        <v>3.0</v>
      </c>
      <c r="K63" s="96">
        <v>0.0</v>
      </c>
      <c r="L63" s="98">
        <v>4.0</v>
      </c>
      <c r="M63" s="96">
        <v>0.0</v>
      </c>
      <c r="N63" s="34">
        <f t="shared" ref="N63:O63" si="68">C63+L63</f>
        <v>150</v>
      </c>
      <c r="O63" s="34">
        <f t="shared" si="68"/>
        <v>7</v>
      </c>
      <c r="P63" s="49" t="s">
        <v>58</v>
      </c>
      <c r="Q63" s="49" t="s">
        <v>58</v>
      </c>
      <c r="R63" s="49"/>
      <c r="S63" s="50">
        <f t="shared" si="4"/>
        <v>11</v>
      </c>
      <c r="T63" s="52">
        <f t="shared" si="5"/>
        <v>0</v>
      </c>
      <c r="U63" s="52"/>
      <c r="V63" s="50">
        <f t="shared" si="6"/>
        <v>6</v>
      </c>
      <c r="W63" s="52">
        <f t="shared" si="7"/>
        <v>4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146</v>
      </c>
      <c r="C64" s="34">
        <v>145.0</v>
      </c>
      <c r="D64" s="34">
        <v>2.0</v>
      </c>
      <c r="E64" s="35">
        <f t="shared" si="2"/>
        <v>5</v>
      </c>
      <c r="F64" s="95">
        <v>1.0</v>
      </c>
      <c r="G64" s="96">
        <v>7.0</v>
      </c>
      <c r="H64" s="97">
        <v>0.0</v>
      </c>
      <c r="I64" s="96">
        <v>6.0</v>
      </c>
      <c r="J64" s="96">
        <v>6.0</v>
      </c>
      <c r="K64" s="96">
        <v>0.0</v>
      </c>
      <c r="L64" s="98">
        <v>12.0</v>
      </c>
      <c r="M64" s="96">
        <v>2.0</v>
      </c>
      <c r="N64" s="34">
        <f t="shared" ref="N64:O64" si="69">C64+L64</f>
        <v>157</v>
      </c>
      <c r="O64" s="34">
        <f t="shared" si="69"/>
        <v>4</v>
      </c>
      <c r="P64" s="49" t="s">
        <v>58</v>
      </c>
      <c r="Q64" s="49" t="s">
        <v>58</v>
      </c>
      <c r="R64" s="49"/>
      <c r="S64" s="50">
        <f t="shared" si="4"/>
        <v>3</v>
      </c>
      <c r="T64" s="52">
        <f t="shared" si="5"/>
        <v>1</v>
      </c>
      <c r="U64" s="52"/>
      <c r="V64" s="50">
        <f t="shared" si="6"/>
        <v>13</v>
      </c>
      <c r="W64" s="52">
        <f t="shared" si="7"/>
        <v>-1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130</v>
      </c>
      <c r="C65" s="34">
        <v>144.0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153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17</v>
      </c>
      <c r="W65" s="52">
        <f t="shared" si="7"/>
        <v>-1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104</v>
      </c>
      <c r="C66" s="34">
        <v>144.0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153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17</v>
      </c>
      <c r="W66" s="52">
        <f t="shared" si="7"/>
        <v>-1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131</v>
      </c>
      <c r="C67" s="34">
        <v>144.0</v>
      </c>
      <c r="D67" s="34">
        <v>0.0</v>
      </c>
      <c r="E67" s="35">
        <f t="shared" si="2"/>
        <v>0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153</v>
      </c>
      <c r="O67" s="34">
        <f t="shared" si="72"/>
        <v>0</v>
      </c>
      <c r="P67" s="49" t="s">
        <v>58</v>
      </c>
      <c r="Q67" s="49" t="s">
        <v>58</v>
      </c>
      <c r="R67" s="49"/>
      <c r="S67" s="50">
        <f t="shared" si="4"/>
        <v>0</v>
      </c>
      <c r="T67" s="52">
        <f t="shared" si="5"/>
        <v>0</v>
      </c>
      <c r="U67" s="52"/>
      <c r="V67" s="50">
        <f t="shared" si="6"/>
        <v>17</v>
      </c>
      <c r="W67" s="52">
        <f t="shared" si="7"/>
        <v>-1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138.0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147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15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130.0</v>
      </c>
      <c r="D69" s="34">
        <v>1.0</v>
      </c>
      <c r="E69" s="35">
        <f t="shared" si="2"/>
        <v>3.25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139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4</v>
      </c>
      <c r="T69" s="52">
        <f t="shared" si="5"/>
        <v>0</v>
      </c>
      <c r="U69" s="52"/>
      <c r="V69" s="50">
        <f t="shared" si="6"/>
        <v>13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10/18/25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desc"",0)"),"Coco Yan")</f>
        <v>Coco Yan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IFERROR(__xludf.DUMMYFUNCTION("""COMPUTED_VALUE"""),6.0)</f>
        <v>6</v>
      </c>
      <c r="F81" s="1"/>
    </row>
    <row r="82">
      <c r="A82" s="1"/>
      <c r="B82" s="33" t="str">
        <f>IFERROR(__xludf.DUMMYFUNCTION("""COMPUTED_VALUE"""),"Kumar Palakeel")</f>
        <v>Kumar Palakeel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IFERROR(__xludf.DUMMYFUNCTION("""COMPUTED_VALUE"""),7.0)</f>
        <v>7</v>
      </c>
      <c r="F82" s="1"/>
    </row>
    <row r="83">
      <c r="A83" s="1"/>
      <c r="B83" s="33" t="str">
        <f>IFERROR(__xludf.DUMMYFUNCTION("""COMPUTED_VALUE"""),"Adrian Tay")</f>
        <v>Adrian Tay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IFERROR(__xludf.DUMMYFUNCTION("""COMPUTED_VALUE"""),1.0)</f>
        <v>1</v>
      </c>
      <c r="F83" s="1"/>
    </row>
    <row r="84">
      <c r="A84" s="1"/>
      <c r="B84" s="33" t="str">
        <f>IFERROR(__xludf.DUMMYFUNCTION("""COMPUTED_VALUE"""),"Sandeep Kamalon")</f>
        <v>Sandeep Kamalon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IFERROR(__xludf.DUMMYFUNCTION("""COMPUTED_VALUE"""),2.0)</f>
        <v>2</v>
      </c>
      <c r="F84" s="1"/>
    </row>
    <row r="85">
      <c r="A85" s="1"/>
      <c r="B85" s="33" t="str">
        <f>IFERROR(__xludf.DUMMYFUNCTION("""COMPUTED_VALUE"""),"Darren Wong")</f>
        <v>Darren Wong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IFERROR(__xludf.DUMMYFUNCTION("""COMPUTED_VALUE"""),9.0)</f>
        <v>9</v>
      </c>
      <c r="F85" s="1"/>
    </row>
    <row r="86">
      <c r="A86" s="1"/>
      <c r="B86" s="33" t="str">
        <f>IFERROR(__xludf.DUMMYFUNCTION("""COMPUTED_VALUE"""),"Mauricio Palacios")</f>
        <v>Mauricio Palacios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IFERROR(__xludf.DUMMYFUNCTION("""COMPUTED_VALUE"""),5.0)</f>
        <v>5</v>
      </c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10"")"),"Coco Yan")</f>
        <v>Coco Yan</v>
      </c>
      <c r="C100" s="117">
        <f>IFERROR(__xludf.DUMMYFUNCTION("""COMPUTED_VALUE"""),7.0)</f>
        <v>7</v>
      </c>
      <c r="D100" s="117">
        <f t="shared" ref="D100:D109" si="75">VLOOKUP(B100,indirect($AC$2&amp;"!B$5:X$69"),23, false)</f>
        <v>36</v>
      </c>
      <c r="E100" s="117">
        <f t="shared" ref="E100:E109" si="76">VLOOKUP(B100,B$5:X$69,23, false)</f>
        <v>29</v>
      </c>
      <c r="F100" s="117">
        <f t="shared" ref="F100:F109" si="77">VLOOKUP(B100,indirect($AC$2&amp;"!B$5:U$70"),11, false)</f>
        <v>19</v>
      </c>
      <c r="G100" s="117">
        <f t="shared" ref="G100:G109" si="78">VLOOKUP(B100,indirect($AC$2&amp;"!B$5:U$70"),6, false)</f>
        <v>6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IFERROR(__xludf.DUMMYFUNCTION("""COMPUTED_VALUE"""),"Sandeep Kamalon")</f>
        <v>Sandeep Kamalon</v>
      </c>
      <c r="C101" s="117">
        <f>IFERROR(__xludf.DUMMYFUNCTION("""COMPUTED_VALUE"""),4.0)</f>
        <v>4</v>
      </c>
      <c r="D101" s="117">
        <f t="shared" si="75"/>
        <v>8</v>
      </c>
      <c r="E101" s="117">
        <f t="shared" si="76"/>
        <v>4</v>
      </c>
      <c r="F101" s="117">
        <f t="shared" si="77"/>
        <v>18</v>
      </c>
      <c r="G101" s="117">
        <f t="shared" si="78"/>
        <v>2</v>
      </c>
      <c r="L101" s="117" t="str">
        <f t="shared" si="79"/>
        <v>ok</v>
      </c>
    </row>
    <row r="102">
      <c r="A102" s="1"/>
      <c r="B102" s="33" t="str">
        <f>IFERROR(__xludf.DUMMYFUNCTION("""COMPUTED_VALUE"""),"Joe Luzzi")</f>
        <v>Joe Luzzi</v>
      </c>
      <c r="C102" s="117">
        <f>IFERROR(__xludf.DUMMYFUNCTION("""COMPUTED_VALUE"""),4.0)</f>
        <v>4</v>
      </c>
      <c r="D102" s="117">
        <f t="shared" si="75"/>
        <v>13</v>
      </c>
      <c r="E102" s="117">
        <f t="shared" si="76"/>
        <v>9</v>
      </c>
      <c r="F102" s="117">
        <f t="shared" si="77"/>
        <v>17</v>
      </c>
      <c r="G102" s="117">
        <f t="shared" si="78"/>
        <v>3</v>
      </c>
      <c r="L102" s="117" t="str">
        <f t="shared" si="79"/>
        <v>ok</v>
      </c>
    </row>
    <row r="103">
      <c r="A103" s="1"/>
      <c r="B103" s="33" t="str">
        <f>IFERROR(__xludf.DUMMYFUNCTION("""COMPUTED_VALUE"""),"Chinna Ponnaganti")</f>
        <v>Chinna Ponnaganti</v>
      </c>
      <c r="C103" s="117">
        <f>IFERROR(__xludf.DUMMYFUNCTION("""COMPUTED_VALUE"""),4.0)</f>
        <v>4</v>
      </c>
      <c r="D103" s="117">
        <f t="shared" si="75"/>
        <v>24</v>
      </c>
      <c r="E103" s="117">
        <f t="shared" si="76"/>
        <v>20</v>
      </c>
      <c r="F103" s="117">
        <f t="shared" si="77"/>
        <v>16</v>
      </c>
      <c r="G103" s="117">
        <f t="shared" si="78"/>
        <v>10</v>
      </c>
      <c r="L103" s="117" t="str">
        <f t="shared" si="79"/>
        <v>ok</v>
      </c>
    </row>
    <row r="104">
      <c r="A104" s="1"/>
      <c r="B104" s="33" t="str">
        <f>IFERROR(__xludf.DUMMYFUNCTION("""COMPUTED_VALUE"""),"Mauricio Palacios")</f>
        <v>Mauricio Palacios</v>
      </c>
      <c r="C104" s="117">
        <f>IFERROR(__xludf.DUMMYFUNCTION("""COMPUTED_VALUE"""),4.0)</f>
        <v>4</v>
      </c>
      <c r="D104" s="117">
        <f t="shared" si="75"/>
        <v>30</v>
      </c>
      <c r="E104" s="117">
        <f t="shared" si="76"/>
        <v>26</v>
      </c>
      <c r="F104" s="117">
        <f t="shared" si="77"/>
        <v>18</v>
      </c>
      <c r="G104" s="117">
        <f t="shared" si="78"/>
        <v>5</v>
      </c>
      <c r="L104" s="117" t="str">
        <f t="shared" si="79"/>
        <v>ok</v>
      </c>
    </row>
    <row r="105">
      <c r="A105" s="1"/>
      <c r="B105" s="33" t="str">
        <f>IFERROR(__xludf.DUMMYFUNCTION("""COMPUTED_VALUE"""),"Elayaraja Thangaraj")</f>
        <v>Elayaraja Thangaraj</v>
      </c>
      <c r="C105" s="117">
        <f>IFERROR(__xludf.DUMMYFUNCTION("""COMPUTED_VALUE"""),4.0)</f>
        <v>4</v>
      </c>
      <c r="D105" s="117">
        <f t="shared" si="75"/>
        <v>37</v>
      </c>
      <c r="E105" s="117">
        <f t="shared" si="76"/>
        <v>33</v>
      </c>
      <c r="F105" s="117">
        <f t="shared" si="77"/>
        <v>15</v>
      </c>
      <c r="G105" s="117">
        <f t="shared" si="78"/>
        <v>6</v>
      </c>
      <c r="L105" s="117" t="str">
        <f t="shared" si="79"/>
        <v>ok</v>
      </c>
    </row>
    <row r="106">
      <c r="A106" s="1"/>
      <c r="B106" s="33" t="str">
        <f>IFERROR(__xludf.DUMMYFUNCTION("""COMPUTED_VALUE"""),"Kumar Palakeel")</f>
        <v>Kumar Palakeel</v>
      </c>
      <c r="C106" s="117">
        <f>IFERROR(__xludf.DUMMYFUNCTION("""COMPUTED_VALUE"""),4.0)</f>
        <v>4</v>
      </c>
      <c r="D106" s="117">
        <f t="shared" si="75"/>
        <v>44</v>
      </c>
      <c r="E106" s="117">
        <f t="shared" si="76"/>
        <v>40</v>
      </c>
      <c r="F106" s="117">
        <f t="shared" si="77"/>
        <v>19</v>
      </c>
      <c r="G106" s="117">
        <f t="shared" si="78"/>
        <v>7</v>
      </c>
      <c r="L106" s="117" t="str">
        <f t="shared" si="79"/>
        <v>ok</v>
      </c>
    </row>
    <row r="107">
      <c r="A107" s="1"/>
      <c r="B107" s="33" t="str">
        <f>IFERROR(__xludf.DUMMYFUNCTION("""COMPUTED_VALUE"""),"Manuel Rivera")</f>
        <v>Manuel Rivera</v>
      </c>
      <c r="C107" s="117">
        <f>IFERROR(__xludf.DUMMYFUNCTION("""COMPUTED_VALUE"""),4.0)</f>
        <v>4</v>
      </c>
      <c r="D107" s="117">
        <f t="shared" si="75"/>
        <v>53</v>
      </c>
      <c r="E107" s="117">
        <f t="shared" si="76"/>
        <v>49</v>
      </c>
      <c r="F107" s="117">
        <f t="shared" si="77"/>
        <v>14</v>
      </c>
      <c r="G107" s="117">
        <f t="shared" si="78"/>
        <v>8</v>
      </c>
      <c r="L107" s="117" t="str">
        <f t="shared" si="79"/>
        <v>ok</v>
      </c>
    </row>
    <row r="108">
      <c r="A108" s="1"/>
      <c r="B108" s="33" t="str">
        <f>IFERROR(__xludf.DUMMYFUNCTION("""COMPUTED_VALUE"""),"Joyce Zhu")</f>
        <v>Joyce Zhu</v>
      </c>
      <c r="C108" s="117">
        <f>IFERROR(__xludf.DUMMYFUNCTION("""COMPUTED_VALUE"""),4.0)</f>
        <v>4</v>
      </c>
      <c r="D108" s="117">
        <f t="shared" si="75"/>
        <v>63</v>
      </c>
      <c r="E108" s="117">
        <f t="shared" si="76"/>
        <v>59</v>
      </c>
      <c r="F108" s="117">
        <f t="shared" si="77"/>
        <v>13</v>
      </c>
      <c r="G108" s="117">
        <f t="shared" si="78"/>
        <v>8</v>
      </c>
      <c r="L108" s="117" t="str">
        <f t="shared" si="79"/>
        <v>ok</v>
      </c>
    </row>
    <row r="109">
      <c r="A109" s="1"/>
      <c r="B109" s="33" t="str">
        <f>IFERROR(__xludf.DUMMYFUNCTION("""COMPUTED_VALUE"""),"Darren Wong")</f>
        <v>Darren Wong</v>
      </c>
      <c r="C109" s="117">
        <f>IFERROR(__xludf.DUMMYFUNCTION("""COMPUTED_VALUE"""),3.0)</f>
        <v>3</v>
      </c>
      <c r="D109" s="117">
        <f t="shared" si="75"/>
        <v>10</v>
      </c>
      <c r="E109" s="117">
        <f t="shared" si="76"/>
        <v>7</v>
      </c>
      <c r="F109" s="117">
        <f t="shared" si="77"/>
        <v>18</v>
      </c>
      <c r="G109" s="117">
        <f t="shared" si="78"/>
        <v>9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17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242</v>
      </c>
      <c r="D118" s="117">
        <f t="shared" si="80"/>
        <v>30</v>
      </c>
      <c r="E118" s="117">
        <f t="shared" si="80"/>
        <v>16.41666667</v>
      </c>
      <c r="F118" s="1"/>
    </row>
    <row r="119">
      <c r="A119" s="117">
        <f t="shared" ref="A119:E119" si="81">A6</f>
        <v>2</v>
      </c>
      <c r="B119" s="33" t="str">
        <f t="shared" si="81"/>
        <v>Pulkit Mathur</v>
      </c>
      <c r="C119" s="117">
        <f t="shared" si="81"/>
        <v>225</v>
      </c>
      <c r="D119" s="117">
        <f t="shared" si="81"/>
        <v>24</v>
      </c>
      <c r="E119" s="117">
        <f t="shared" si="81"/>
        <v>14.53846154</v>
      </c>
      <c r="F119" s="1"/>
    </row>
    <row r="120">
      <c r="A120" s="117">
        <f t="shared" ref="A120:E120" si="82">A7</f>
        <v>3</v>
      </c>
      <c r="B120" s="33" t="str">
        <f t="shared" si="82"/>
        <v>David Shin</v>
      </c>
      <c r="C120" s="117">
        <f t="shared" si="82"/>
        <v>222</v>
      </c>
      <c r="D120" s="117">
        <f t="shared" si="82"/>
        <v>21</v>
      </c>
      <c r="E120" s="117">
        <f t="shared" si="82"/>
        <v>13.3125</v>
      </c>
      <c r="F120" s="1"/>
    </row>
    <row r="121">
      <c r="A121" s="117">
        <f t="shared" ref="A121:E121" si="83">A8</f>
        <v>4</v>
      </c>
      <c r="B121" s="33" t="str">
        <f t="shared" si="83"/>
        <v>Sandeep Kamalon</v>
      </c>
      <c r="C121" s="117">
        <f t="shared" si="83"/>
        <v>221</v>
      </c>
      <c r="D121" s="117">
        <f t="shared" si="83"/>
        <v>25</v>
      </c>
      <c r="E121" s="117">
        <f t="shared" si="83"/>
        <v>13.26666667</v>
      </c>
      <c r="F121" s="1"/>
    </row>
    <row r="122">
      <c r="A122" s="117">
        <f t="shared" ref="A122:E122" si="84">A9</f>
        <v>5</v>
      </c>
      <c r="B122" s="33" t="str">
        <f t="shared" si="84"/>
        <v>Tom Le</v>
      </c>
      <c r="C122" s="117">
        <f t="shared" si="84"/>
        <v>221</v>
      </c>
      <c r="D122" s="117">
        <f t="shared" si="84"/>
        <v>23</v>
      </c>
      <c r="E122" s="117">
        <f t="shared" si="84"/>
        <v>14.33333333</v>
      </c>
      <c r="F122" s="1"/>
    </row>
    <row r="123">
      <c r="A123" s="117">
        <f t="shared" ref="A123:E123" si="85">A10</f>
        <v>6</v>
      </c>
      <c r="B123" s="33" t="str">
        <f t="shared" si="85"/>
        <v>Lam Bui</v>
      </c>
      <c r="C123" s="117">
        <f t="shared" si="85"/>
        <v>221</v>
      </c>
      <c r="D123" s="117">
        <f t="shared" si="85"/>
        <v>21</v>
      </c>
      <c r="E123" s="117">
        <f t="shared" si="85"/>
        <v>13.85714286</v>
      </c>
      <c r="F123" s="1"/>
    </row>
    <row r="124">
      <c r="A124" s="117">
        <f t="shared" ref="A124:E124" si="86">A11</f>
        <v>7</v>
      </c>
      <c r="B124" s="33" t="str">
        <f t="shared" si="86"/>
        <v>Darren Wong</v>
      </c>
      <c r="C124" s="117">
        <f t="shared" si="86"/>
        <v>220</v>
      </c>
      <c r="D124" s="117">
        <f t="shared" si="86"/>
        <v>25</v>
      </c>
      <c r="E124" s="117">
        <f t="shared" si="86"/>
        <v>15.09090909</v>
      </c>
      <c r="F124" s="1"/>
    </row>
    <row r="125">
      <c r="A125" s="117">
        <f t="shared" ref="A125:E125" si="87">A12</f>
        <v>8</v>
      </c>
      <c r="B125" s="33" t="str">
        <f t="shared" si="87"/>
        <v>Rajasekar Ramasamy</v>
      </c>
      <c r="C125" s="117">
        <f t="shared" si="87"/>
        <v>217</v>
      </c>
      <c r="D125" s="117">
        <f t="shared" si="87"/>
        <v>24</v>
      </c>
      <c r="E125" s="117">
        <f t="shared" si="87"/>
        <v>13</v>
      </c>
      <c r="F125" s="1"/>
    </row>
    <row r="126">
      <c r="A126" s="117">
        <f t="shared" ref="A126:E126" si="88">A13</f>
        <v>9</v>
      </c>
      <c r="B126" s="33" t="str">
        <f t="shared" si="88"/>
        <v>Joe Luzzi</v>
      </c>
      <c r="C126" s="117">
        <f t="shared" si="88"/>
        <v>217</v>
      </c>
      <c r="D126" s="117">
        <f t="shared" si="88"/>
        <v>17</v>
      </c>
      <c r="E126" s="117">
        <f t="shared" si="88"/>
        <v>13.61538462</v>
      </c>
      <c r="F126" s="1"/>
    </row>
    <row r="127">
      <c r="A127" s="117">
        <f t="shared" ref="A127:E127" si="89">A14</f>
        <v>10</v>
      </c>
      <c r="B127" s="33" t="str">
        <f t="shared" si="89"/>
        <v>Jonathan Phan</v>
      </c>
      <c r="C127" s="117">
        <f t="shared" si="89"/>
        <v>216</v>
      </c>
      <c r="D127" s="117">
        <f t="shared" si="89"/>
        <v>21</v>
      </c>
      <c r="E127" s="117">
        <f t="shared" si="89"/>
        <v>13.5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IFERROR(__xludf.DUMMYFUNCTION("""COMPUTED_VALUE"""),"Frank Moon")</f>
        <v>Frank Moon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IFERROR(__xludf.DUMMYFUNCTION("""COMPUTED_VALUE"""),"Nicole Ni")</f>
        <v>Nicole Ni</v>
      </c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10/18/25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IFERROR(__xludf.DUMMYFUNCTION("""COMPUTED_VALUE"""),"Adrian Tay")</f>
        <v>Adrian Tay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IFERROR(__xludf.DUMMYFUNCTION("""COMPUTED_VALUE"""),6.0)</f>
        <v>6</v>
      </c>
      <c r="F184" s="122">
        <f>IFERROR(__xludf.DUMMYFUNCTION("""COMPUTED_VALUE"""),18.0)</f>
        <v>18</v>
      </c>
      <c r="G184" s="122">
        <f>IFERROR(__xludf.DUMMYFUNCTION("""COMPUTED_VALUE"""),3.0)</f>
        <v>3</v>
      </c>
    </row>
    <row r="185">
      <c r="A185" s="117">
        <f>IFERROR(__xludf.DUMMYFUNCTION("""COMPUTED_VALUE"""),1.0)</f>
        <v>1</v>
      </c>
      <c r="B185" s="33" t="str">
        <f>IFERROR(__xludf.DUMMYFUNCTION("""COMPUTED_VALUE"""),"Pulkit Mathur")</f>
        <v>Pulkit Mathur</v>
      </c>
      <c r="C185" s="122">
        <f>IFERROR(__xludf.DUMMYFUNCTION("""COMPUTED_VALUE"""),6.0)</f>
        <v>6</v>
      </c>
      <c r="D185" s="122">
        <f>IFERROR(__xludf.DUMMYFUNCTION("""COMPUTED_VALUE"""),4.0)</f>
        <v>4</v>
      </c>
      <c r="E185" s="122">
        <f>IFERROR(__xludf.DUMMYFUNCTION("""COMPUTED_VALUE"""),3.0)</f>
        <v>3</v>
      </c>
      <c r="F185" s="122">
        <f>IFERROR(__xludf.DUMMYFUNCTION("""COMPUTED_VALUE"""),13.0)</f>
        <v>13</v>
      </c>
      <c r="G185" s="122">
        <f>IFERROR(__xludf.DUMMYFUNCTION("""COMPUTED_VALUE"""),1.0)</f>
        <v>1</v>
      </c>
    </row>
    <row r="186">
      <c r="A186" s="117">
        <f>IFERROR(__xludf.DUMMYFUNCTION("""COMPUTED_VALUE"""),1.0)</f>
        <v>1</v>
      </c>
      <c r="B186" s="33" t="str">
        <f>IFERROR(__xludf.DUMMYFUNCTION("""COMPUTED_VALUE"""),"Tom Le")</f>
        <v>Tom Le</v>
      </c>
      <c r="C186" s="122">
        <f>IFERROR(__xludf.DUMMYFUNCTION("""COMPUTED_VALUE"""),3.0)</f>
        <v>3</v>
      </c>
      <c r="D186" s="122">
        <f>IFERROR(__xludf.DUMMYFUNCTION("""COMPUTED_VALUE"""),6.0)</f>
        <v>6</v>
      </c>
      <c r="E186" s="122">
        <f>IFERROR(__xludf.DUMMYFUNCTION("""COMPUTED_VALUE"""),3.0)</f>
        <v>3</v>
      </c>
      <c r="F186" s="122">
        <f>IFERROR(__xludf.DUMMYFUNCTION("""COMPUTED_VALUE"""),12.0)</f>
        <v>12</v>
      </c>
      <c r="G186" s="122">
        <f>IFERROR(__xludf.DUMMYFUNCTION("""COMPUTED_VALUE"""),1.0)</f>
        <v>1</v>
      </c>
    </row>
    <row r="187">
      <c r="A187" s="117">
        <f>IFERROR(__xludf.DUMMYFUNCTION("""COMPUTED_VALUE"""),1.0)</f>
        <v>1</v>
      </c>
      <c r="B187" s="33" t="str">
        <f>IFERROR(__xludf.DUMMYFUNCTION("""COMPUTED_VALUE"""),"David Shin")</f>
        <v>David Shin</v>
      </c>
      <c r="C187" s="122">
        <f>IFERROR(__xludf.DUMMYFUNCTION("""COMPUTED_VALUE"""),3.0)</f>
        <v>3</v>
      </c>
      <c r="D187" s="122">
        <f>IFERROR(__xludf.DUMMYFUNCTION("""COMPUTED_VALUE"""),4.0)</f>
        <v>4</v>
      </c>
      <c r="E187" s="122">
        <f>IFERROR(__xludf.DUMMYFUNCTION("""COMPUTED_VALUE"""),6.0)</f>
        <v>6</v>
      </c>
      <c r="F187" s="122">
        <f>IFERROR(__xludf.DUMMYFUNCTION("""COMPUTED_VALUE"""),13.0)</f>
        <v>13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IFERROR(__xludf.DUMMYFUNCTION("""COMPUTED_VALUE"""),"Lam Bui")</f>
        <v>Lam Bui</v>
      </c>
      <c r="C188" s="125">
        <f>IFERROR(__xludf.DUMMYFUNCTION("""COMPUTED_VALUE"""),6.0)</f>
        <v>6</v>
      </c>
      <c r="D188" s="125">
        <f>IFERROR(__xludf.DUMMYFUNCTION("""COMPUTED_VALUE"""),4.0)</f>
        <v>4</v>
      </c>
      <c r="E188" s="125">
        <f>IFERROR(__xludf.DUMMYFUNCTION("""COMPUTED_VALUE"""),3.0)</f>
        <v>3</v>
      </c>
      <c r="F188" s="125">
        <f>IFERROR(__xludf.DUMMYFUNCTION("""COMPUTED_VALUE"""),13.0)</f>
        <v>13</v>
      </c>
      <c r="G188" s="125">
        <f>IFERROR(__xludf.DUMMYFUNCTION("""COMPUTED_VALUE"""),1.0)</f>
        <v>1</v>
      </c>
    </row>
    <row r="189">
      <c r="A189" s="123">
        <f>IFERROR(__xludf.DUMMYFUNCTION("""COMPUTED_VALUE"""),2.0)</f>
        <v>2</v>
      </c>
      <c r="B189" s="124" t="str">
        <f>IFERROR(__xludf.DUMMYFUNCTION("""COMPUTED_VALUE"""),"Rajasekar Ramasamy")</f>
        <v>Rajasekar Ramasamy</v>
      </c>
      <c r="C189" s="125">
        <f>IFERROR(__xludf.DUMMYFUNCTION("""COMPUTED_VALUE"""),3.0)</f>
        <v>3</v>
      </c>
      <c r="D189" s="125">
        <f>IFERROR(__xludf.DUMMYFUNCTION("""COMPUTED_VALUE"""),4.0)</f>
        <v>4</v>
      </c>
      <c r="E189" s="125">
        <f>IFERROR(__xludf.DUMMYFUNCTION("""COMPUTED_VALUE"""),6.0)</f>
        <v>6</v>
      </c>
      <c r="F189" s="125">
        <f>IFERROR(__xludf.DUMMYFUNCTION("""COMPUTED_VALUE"""),13.0)</f>
        <v>13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IFERROR(__xludf.DUMMYFUNCTION("""COMPUTED_VALUE"""),"Jonathan Phan")</f>
        <v>Jonathan Phan</v>
      </c>
      <c r="C190" s="125">
        <f>IFERROR(__xludf.DUMMYFUNCTION("""COMPUTED_VALUE"""),3.0)</f>
        <v>3</v>
      </c>
      <c r="D190" s="125">
        <f>IFERROR(__xludf.DUMMYFUNCTION("""COMPUTED_VALUE"""),6.0)</f>
        <v>6</v>
      </c>
      <c r="E190" s="125">
        <f>IFERROR(__xludf.DUMMYFUNCTION("""COMPUTED_VALUE"""),3.0)</f>
        <v>3</v>
      </c>
      <c r="F190" s="125">
        <f>IFERROR(__xludf.DUMMYFUNCTION("""COMPUTED_VALUE"""),12.0)</f>
        <v>12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IFERROR(__xludf.DUMMYFUNCTION("""COMPUTED_VALUE"""),"Sandeep Kamalon")</f>
        <v>Sandeep Kamalon</v>
      </c>
      <c r="C191" s="125">
        <f>IFERROR(__xludf.DUMMYFUNCTION("""COMPUTED_VALUE"""),6.0)</f>
        <v>6</v>
      </c>
      <c r="D191" s="125">
        <f>IFERROR(__xludf.DUMMYFUNCTION("""COMPUTED_VALUE"""),6.0)</f>
        <v>6</v>
      </c>
      <c r="E191" s="125">
        <f>IFERROR(__xludf.DUMMYFUNCTION("""COMPUTED_VALUE"""),6.0)</f>
        <v>6</v>
      </c>
      <c r="F191" s="125">
        <f>IFERROR(__xludf.DUMMYFUNCTION("""COMPUTED_VALUE"""),18.0)</f>
        <v>18</v>
      </c>
      <c r="G191" s="125">
        <f>IFERROR(__xludf.DUMMYFUNCTION("""COMPUTED_VALUE"""),3.0)</f>
        <v>3</v>
      </c>
    </row>
    <row r="192">
      <c r="A192" s="117">
        <f>IFERROR(__xludf.DUMMYFUNCTION("""COMPUTED_VALUE"""),3.0)</f>
        <v>3</v>
      </c>
      <c r="B192" s="33" t="str">
        <f>IFERROR(__xludf.DUMMYFUNCTION("""COMPUTED_VALUE"""),"Joe Luzzi")</f>
        <v>Joe Luzzi</v>
      </c>
      <c r="C192" s="122">
        <f>IFERROR(__xludf.DUMMYFUNCTION("""COMPUTED_VALUE"""),6.0)</f>
        <v>6</v>
      </c>
      <c r="D192" s="122">
        <f>IFERROR(__xludf.DUMMYFUNCTION("""COMPUTED_VALUE"""),5.0)</f>
        <v>5</v>
      </c>
      <c r="E192" s="122">
        <f>IFERROR(__xludf.DUMMYFUNCTION("""COMPUTED_VALUE"""),6.0)</f>
        <v>6</v>
      </c>
      <c r="F192" s="122">
        <f>IFERROR(__xludf.DUMMYFUNCTION("""COMPUTED_VALUE"""),17.0)</f>
        <v>17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IFERROR(__xludf.DUMMYFUNCTION("""COMPUTED_VALUE"""),"Erik Hoeckmann")</f>
        <v>Erik Hoeckmann</v>
      </c>
      <c r="C193" s="122">
        <f>IFERROR(__xludf.DUMMYFUNCTION("""COMPUTED_VALUE"""),3.0)</f>
        <v>3</v>
      </c>
      <c r="D193" s="122">
        <f>IFERROR(__xludf.DUMMYFUNCTION("""COMPUTED_VALUE"""),7.0)</f>
        <v>7</v>
      </c>
      <c r="E193" s="122">
        <f>IFERROR(__xludf.DUMMYFUNCTION("""COMPUTED_VALUE"""),6.0)</f>
        <v>6</v>
      </c>
      <c r="F193" s="122">
        <f>IFERROR(__xludf.DUMMYFUNCTION("""COMPUTED_VALUE"""),16.0)</f>
        <v>16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IFERROR(__xludf.DUMMYFUNCTION("""COMPUTED_VALUE"""),"Scott Li")</f>
        <v>Scott Li</v>
      </c>
      <c r="C194" s="122">
        <f>IFERROR(__xludf.DUMMYFUNCTION("""COMPUTED_VALUE"""),3.0)</f>
        <v>3</v>
      </c>
      <c r="D194" s="122">
        <f>IFERROR(__xludf.DUMMYFUNCTION("""COMPUTED_VALUE"""),5.0)</f>
        <v>5</v>
      </c>
      <c r="E194" s="122">
        <f>IFERROR(__xludf.DUMMYFUNCTION("""COMPUTED_VALUE"""),1.0)</f>
        <v>1</v>
      </c>
      <c r="F194" s="122">
        <f>IFERROR(__xludf.DUMMYFUNCTION("""COMPUTED_VALUE"""),9.0)</f>
        <v>9</v>
      </c>
      <c r="G194" s="122">
        <f>IFERROR(__xludf.DUMMYFUNCTION("""COMPUTED_VALUE"""),0.0)</f>
        <v>0</v>
      </c>
    </row>
    <row r="195">
      <c r="A195" s="117">
        <f>IFERROR(__xludf.DUMMYFUNCTION("""COMPUTED_VALUE"""),3.0)</f>
        <v>3</v>
      </c>
      <c r="B195" s="33" t="str">
        <f>IFERROR(__xludf.DUMMYFUNCTION("""COMPUTED_VALUE"""),"Frank Moon")</f>
        <v>Frank Moon</v>
      </c>
      <c r="C195" s="122">
        <f>IFERROR(__xludf.DUMMYFUNCTION("""COMPUTED_VALUE"""),6.0)</f>
        <v>6</v>
      </c>
      <c r="D195" s="122">
        <f>IFERROR(__xludf.DUMMYFUNCTION("""COMPUTED_VALUE"""),7.0)</f>
        <v>7</v>
      </c>
      <c r="E195" s="122">
        <f>IFERROR(__xludf.DUMMYFUNCTION("""COMPUTED_VALUE"""),1.0)</f>
        <v>1</v>
      </c>
      <c r="F195" s="122">
        <f>IFERROR(__xludf.DUMMYFUNCTION("""COMPUTED_VALUE"""),14.0)</f>
        <v>14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IFERROR(__xludf.DUMMYFUNCTION("""COMPUTED_VALUE"""),"Allen Zhang")</f>
        <v>Allen Zhang</v>
      </c>
      <c r="C196" s="125">
        <f>IFERROR(__xludf.DUMMYFUNCTION("""COMPUTED_VALUE"""),3.0)</f>
        <v>3</v>
      </c>
      <c r="D196" s="125">
        <f>IFERROR(__xludf.DUMMYFUNCTION("""COMPUTED_VALUE"""),3.0)</f>
        <v>3</v>
      </c>
      <c r="E196" s="125">
        <f>IFERROR(__xludf.DUMMYFUNCTION("""COMPUTED_VALUE"""),1.0)</f>
        <v>1</v>
      </c>
      <c r="F196" s="125">
        <f>IFERROR(__xludf.DUMMYFUNCTION("""COMPUTED_VALUE"""),7.0)</f>
        <v>7</v>
      </c>
      <c r="G196" s="125">
        <f>IFERROR(__xludf.DUMMYFUNCTION("""COMPUTED_VALUE"""),0.0)</f>
        <v>0</v>
      </c>
    </row>
    <row r="197">
      <c r="A197" s="123">
        <f>IFERROR(__xludf.DUMMYFUNCTION("""COMPUTED_VALUE"""),4.0)</f>
        <v>4</v>
      </c>
      <c r="B197" s="124" t="str">
        <f>IFERROR(__xludf.DUMMYFUNCTION("""COMPUTED_VALUE"""),"Tina Hanson")</f>
        <v>Tina Hanson</v>
      </c>
      <c r="C197" s="125">
        <f>IFERROR(__xludf.DUMMYFUNCTION("""COMPUTED_VALUE"""),3.0)</f>
        <v>3</v>
      </c>
      <c r="D197" s="125">
        <f>IFERROR(__xludf.DUMMYFUNCTION("""COMPUTED_VALUE"""),6.0)</f>
        <v>6</v>
      </c>
      <c r="E197" s="125">
        <f>IFERROR(__xludf.DUMMYFUNCTION("""COMPUTED_VALUE"""),6.0)</f>
        <v>6</v>
      </c>
      <c r="F197" s="125">
        <f>IFERROR(__xludf.DUMMYFUNCTION("""COMPUTED_VALUE"""),15.0)</f>
        <v>15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IFERROR(__xludf.DUMMYFUNCTION("""COMPUTED_VALUE"""),"Oscar Bonilla")</f>
        <v>Oscar Bonilla</v>
      </c>
      <c r="C198" s="125">
        <f>IFERROR(__xludf.DUMMYFUNCTION("""COMPUTED_VALUE"""),6.0)</f>
        <v>6</v>
      </c>
      <c r="D198" s="125">
        <f>IFERROR(__xludf.DUMMYFUNCTION("""COMPUTED_VALUE"""),3.0)</f>
        <v>3</v>
      </c>
      <c r="E198" s="125">
        <f>IFERROR(__xludf.DUMMYFUNCTION("""COMPUTED_VALUE"""),6.0)</f>
        <v>6</v>
      </c>
      <c r="F198" s="125">
        <f>IFERROR(__xludf.DUMMYFUNCTION("""COMPUTED_VALUE"""),15.0)</f>
        <v>15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IFERROR(__xludf.DUMMYFUNCTION("""COMPUTED_VALUE"""),"Hongyuan Wen")</f>
        <v>Hongyuan Wen</v>
      </c>
      <c r="C199" s="125">
        <f>IFERROR(__xludf.DUMMYFUNCTION("""COMPUTED_VALUE"""),6.0)</f>
        <v>6</v>
      </c>
      <c r="D199" s="125">
        <f>IFERROR(__xludf.DUMMYFUNCTION("""COMPUTED_VALUE"""),6.0)</f>
        <v>6</v>
      </c>
      <c r="E199" s="125">
        <f>IFERROR(__xludf.DUMMYFUNCTION("""COMPUTED_VALUE"""),1.0)</f>
        <v>1</v>
      </c>
      <c r="F199" s="125">
        <f>IFERROR(__xludf.DUMMYFUNCTION("""COMPUTED_VALUE"""),13.0)</f>
        <v>13</v>
      </c>
      <c r="G199" s="125">
        <f>IFERROR(__xludf.DUMMYFUNCTION("""COMPUTED_VALUE"""),2.0)</f>
        <v>2</v>
      </c>
    </row>
    <row r="200">
      <c r="A200" s="117">
        <f>IFERROR(__xludf.DUMMYFUNCTION("""COMPUTED_VALUE"""),5.0)</f>
        <v>5</v>
      </c>
      <c r="B200" s="33" t="str">
        <f>IFERROR(__xludf.DUMMYFUNCTION("""COMPUTED_VALUE"""),"Nicole Ni")</f>
        <v>Nicole Ni</v>
      </c>
      <c r="C200" s="122">
        <f>IFERROR(__xludf.DUMMYFUNCTION("""COMPUTED_VALUE"""),6.0)</f>
        <v>6</v>
      </c>
      <c r="D200" s="122">
        <f>IFERROR(__xludf.DUMMYFUNCTION("""COMPUTED_VALUE"""),2.0)</f>
        <v>2</v>
      </c>
      <c r="E200" s="122">
        <f>IFERROR(__xludf.DUMMYFUNCTION("""COMPUTED_VALUE"""),2.0)</f>
        <v>2</v>
      </c>
      <c r="F200" s="122">
        <f>IFERROR(__xludf.DUMMYFUNCTION("""COMPUTED_VALUE"""),10.0)</f>
        <v>10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IFERROR(__xludf.DUMMYFUNCTION("""COMPUTED_VALUE"""),"Suleman Alidina")</f>
        <v>Suleman Alidina</v>
      </c>
      <c r="C201" s="122">
        <f>IFERROR(__xludf.DUMMYFUNCTION("""COMPUTED_VALUE"""),1.0)</f>
        <v>1</v>
      </c>
      <c r="D201" s="122">
        <f>IFERROR(__xludf.DUMMYFUNCTION("""COMPUTED_VALUE"""),6.0)</f>
        <v>6</v>
      </c>
      <c r="E201" s="122">
        <f>IFERROR(__xludf.DUMMYFUNCTION("""COMPUTED_VALUE"""),2.0)</f>
        <v>2</v>
      </c>
      <c r="F201" s="122">
        <f>IFERROR(__xludf.DUMMYFUNCTION("""COMPUTED_VALUE"""),9.0)</f>
        <v>9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IFERROR(__xludf.DUMMYFUNCTION("""COMPUTED_VALUE"""),"Mauricio Palacios")</f>
        <v>Mauricio Palacios</v>
      </c>
      <c r="C202" s="122">
        <f>IFERROR(__xludf.DUMMYFUNCTION("""COMPUTED_VALUE"""),6.0)</f>
        <v>6</v>
      </c>
      <c r="D202" s="122">
        <f>IFERROR(__xludf.DUMMYFUNCTION("""COMPUTED_VALUE"""),6.0)</f>
        <v>6</v>
      </c>
      <c r="E202" s="122">
        <f>IFERROR(__xludf.DUMMYFUNCTION("""COMPUTED_VALUE"""),6.0)</f>
        <v>6</v>
      </c>
      <c r="F202" s="122">
        <f>IFERROR(__xludf.DUMMYFUNCTION("""COMPUTED_VALUE"""),18.0)</f>
        <v>18</v>
      </c>
      <c r="G202" s="122">
        <f>IFERROR(__xludf.DUMMYFUNCTION("""COMPUTED_VALUE"""),3.0)</f>
        <v>3</v>
      </c>
    </row>
    <row r="203">
      <c r="A203" s="117">
        <f>IFERROR(__xludf.DUMMYFUNCTION("""COMPUTED_VALUE"""),5.0)</f>
        <v>5</v>
      </c>
      <c r="B203" s="33" t="str">
        <f>IFERROR(__xludf.DUMMYFUNCTION("""COMPUTED_VALUE"""),"Alex Hou")</f>
        <v>Alex Hou</v>
      </c>
      <c r="C203" s="122">
        <f>IFERROR(__xludf.DUMMYFUNCTION("""COMPUTED_VALUE"""),1.0)</f>
        <v>1</v>
      </c>
      <c r="D203" s="122">
        <f>IFERROR(__xludf.DUMMYFUNCTION("""COMPUTED_VALUE"""),2.0)</f>
        <v>2</v>
      </c>
      <c r="E203" s="122">
        <f>IFERROR(__xludf.DUMMYFUNCTION("""COMPUTED_VALUE"""),6.0)</f>
        <v>6</v>
      </c>
      <c r="F203" s="122">
        <f>IFERROR(__xludf.DUMMYFUNCTION("""COMPUTED_VALUE"""),9.0)</f>
        <v>9</v>
      </c>
      <c r="G203" s="122">
        <f>IFERROR(__xludf.DUMMYFUNCTION("""COMPUTED_VALUE"""),1.0)</f>
        <v>1</v>
      </c>
    </row>
    <row r="204">
      <c r="A204" s="123">
        <f>IFERROR(__xludf.DUMMYFUNCTION("""COMPUTED_VALUE"""),6.0)</f>
        <v>6</v>
      </c>
      <c r="B204" s="124" t="str">
        <f>IFERROR(__xludf.DUMMYFUNCTION("""COMPUTED_VALUE"""),"Jimmy Awolesi")</f>
        <v>Jimmy Awolesi</v>
      </c>
      <c r="C204" s="125">
        <f>IFERROR(__xludf.DUMMYFUNCTION("""COMPUTED_VALUE"""),6.0)</f>
        <v>6</v>
      </c>
      <c r="D204" s="125">
        <f>IFERROR(__xludf.DUMMYFUNCTION("""COMPUTED_VALUE"""),6.0)</f>
        <v>6</v>
      </c>
      <c r="E204" s="125">
        <f>IFERROR(__xludf.DUMMYFUNCTION("""COMPUTED_VALUE"""),4.0)</f>
        <v>4</v>
      </c>
      <c r="F204" s="125">
        <f>IFERROR(__xludf.DUMMYFUNCTION("""COMPUTED_VALUE"""),16.0)</f>
        <v>16</v>
      </c>
      <c r="G204" s="125">
        <f>IFERROR(__xludf.DUMMYFUNCTION("""COMPUTED_VALUE"""),1.0)</f>
        <v>1</v>
      </c>
    </row>
    <row r="205">
      <c r="A205" s="123">
        <f>IFERROR(__xludf.DUMMYFUNCTION("""COMPUTED_VALUE"""),6.0)</f>
        <v>6</v>
      </c>
      <c r="B205" s="124" t="str">
        <f>IFERROR(__xludf.DUMMYFUNCTION("""COMPUTED_VALUE"""),"Coco Yan")</f>
        <v>Coco Yan</v>
      </c>
      <c r="C205" s="125">
        <f>IFERROR(__xludf.DUMMYFUNCTION("""COMPUTED_VALUE"""),6.0)</f>
        <v>6</v>
      </c>
      <c r="D205" s="125">
        <f>IFERROR(__xludf.DUMMYFUNCTION("""COMPUTED_VALUE"""),7.0)</f>
        <v>7</v>
      </c>
      <c r="E205" s="125">
        <f>IFERROR(__xludf.DUMMYFUNCTION("""COMPUTED_VALUE"""),6.0)</f>
        <v>6</v>
      </c>
      <c r="F205" s="125">
        <f>IFERROR(__xludf.DUMMYFUNCTION("""COMPUTED_VALUE"""),19.0)</f>
        <v>19</v>
      </c>
      <c r="G205" s="125">
        <f>IFERROR(__xludf.DUMMYFUNCTION("""COMPUTED_VALUE"""),3.0)</f>
        <v>3</v>
      </c>
    </row>
    <row r="206">
      <c r="A206" s="123">
        <f>IFERROR(__xludf.DUMMYFUNCTION("""COMPUTED_VALUE"""),6.0)</f>
        <v>6</v>
      </c>
      <c r="B206" s="124" t="str">
        <f>IFERROR(__xludf.DUMMYFUNCTION("""COMPUTED_VALUE"""),"Elayaraja Thangaraj")</f>
        <v>Elayaraja Thangaraj</v>
      </c>
      <c r="C206" s="125">
        <f>IFERROR(__xludf.DUMMYFUNCTION("""COMPUTED_VALUE"""),3.0)</f>
        <v>3</v>
      </c>
      <c r="D206" s="125">
        <f>IFERROR(__xludf.DUMMYFUNCTION("""COMPUTED_VALUE"""),6.0)</f>
        <v>6</v>
      </c>
      <c r="E206" s="125">
        <f>IFERROR(__xludf.DUMMYFUNCTION("""COMPUTED_VALUE"""),6.0)</f>
        <v>6</v>
      </c>
      <c r="F206" s="125">
        <f>IFERROR(__xludf.DUMMYFUNCTION("""COMPUTED_VALUE"""),15.0)</f>
        <v>15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IFERROR(__xludf.DUMMYFUNCTION("""COMPUTED_VALUE"""),"Naveen Raj")</f>
        <v>Naveen Raj</v>
      </c>
      <c r="C207" s="125">
        <f>IFERROR(__xludf.DUMMYFUNCTION("""COMPUTED_VALUE"""),3.0)</f>
        <v>3</v>
      </c>
      <c r="D207" s="125">
        <f>IFERROR(__xludf.DUMMYFUNCTION("""COMPUTED_VALUE"""),7.0)</f>
        <v>7</v>
      </c>
      <c r="E207" s="125">
        <f>IFERROR(__xludf.DUMMYFUNCTION("""COMPUTED_VALUE"""),4.0)</f>
        <v>4</v>
      </c>
      <c r="F207" s="125">
        <f>IFERROR(__xludf.DUMMYFUNCTION("""COMPUTED_VALUE"""),14.0)</f>
        <v>14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IFERROR(__xludf.DUMMYFUNCTION("""COMPUTED_VALUE"""),"Andrew Wen")</f>
        <v>Andrew Wen</v>
      </c>
      <c r="C208" s="122">
        <f>IFERROR(__xludf.DUMMYFUNCTION("""COMPUTED_VALUE"""),6.0)</f>
        <v>6</v>
      </c>
      <c r="D208" s="122">
        <f>IFERROR(__xludf.DUMMYFUNCTION("""COMPUTED_VALUE"""),5.0)</f>
        <v>5</v>
      </c>
      <c r="E208" s="122">
        <f>IFERROR(__xludf.DUMMYFUNCTION("""COMPUTED_VALUE"""),4.0)</f>
        <v>4</v>
      </c>
      <c r="F208" s="122">
        <f>IFERROR(__xludf.DUMMYFUNCTION("""COMPUTED_VALUE"""),15.0)</f>
        <v>15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IFERROR(__xludf.DUMMYFUNCTION("""COMPUTED_VALUE"""),"Sandy Weyant")</f>
        <v>Sandy Weyant</v>
      </c>
      <c r="C209" s="122">
        <f>IFERROR(__xludf.DUMMYFUNCTION("""COMPUTED_VALUE"""),3.0)</f>
        <v>3</v>
      </c>
      <c r="D209" s="122">
        <f>IFERROR(__xludf.DUMMYFUNCTION("""COMPUTED_VALUE"""),7.0)</f>
        <v>7</v>
      </c>
      <c r="E209" s="122">
        <f>IFERROR(__xludf.DUMMYFUNCTION("""COMPUTED_VALUE"""),4.0)</f>
        <v>4</v>
      </c>
      <c r="F209" s="122">
        <f>IFERROR(__xludf.DUMMYFUNCTION("""COMPUTED_VALUE"""),14.0)</f>
        <v>14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IFERROR(__xludf.DUMMYFUNCTION("""COMPUTED_VALUE"""),"Kumar Palakeel")</f>
        <v>Kumar Palakeel</v>
      </c>
      <c r="C210" s="122">
        <f>IFERROR(__xludf.DUMMYFUNCTION("""COMPUTED_VALUE"""),6.0)</f>
        <v>6</v>
      </c>
      <c r="D210" s="122">
        <f>IFERROR(__xludf.DUMMYFUNCTION("""COMPUTED_VALUE"""),7.0)</f>
        <v>7</v>
      </c>
      <c r="E210" s="122">
        <f>IFERROR(__xludf.DUMMYFUNCTION("""COMPUTED_VALUE"""),6.0)</f>
        <v>6</v>
      </c>
      <c r="F210" s="122">
        <f>IFERROR(__xludf.DUMMYFUNCTION("""COMPUTED_VALUE"""),19.0)</f>
        <v>19</v>
      </c>
      <c r="G210" s="122">
        <f>IFERROR(__xludf.DUMMYFUNCTION("""COMPUTED_VALUE"""),3.0)</f>
        <v>3</v>
      </c>
    </row>
    <row r="211">
      <c r="A211" s="117">
        <f>IFERROR(__xludf.DUMMYFUNCTION("""COMPUTED_VALUE"""),7.0)</f>
        <v>7</v>
      </c>
      <c r="B211" s="33" t="str">
        <f>IFERROR(__xludf.DUMMYFUNCTION("""COMPUTED_VALUE"""),"Vinaya Kajla")</f>
        <v>Vinaya Kajla</v>
      </c>
      <c r="C211" s="122">
        <f>IFERROR(__xludf.DUMMYFUNCTION("""COMPUTED_VALUE"""),3.0)</f>
        <v>3</v>
      </c>
      <c r="D211" s="122">
        <f>IFERROR(__xludf.DUMMYFUNCTION("""COMPUTED_VALUE"""),5.0)</f>
        <v>5</v>
      </c>
      <c r="E211" s="122">
        <f>IFERROR(__xludf.DUMMYFUNCTION("""COMPUTED_VALUE"""),6.0)</f>
        <v>6</v>
      </c>
      <c r="F211" s="122">
        <f>IFERROR(__xludf.DUMMYFUNCTION("""COMPUTED_VALUE"""),14.0)</f>
        <v>14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IFERROR(__xludf.DUMMYFUNCTION("""COMPUTED_VALUE"""),"Manuel Rivera")</f>
        <v>Manuel Rivera</v>
      </c>
      <c r="C212" s="125">
        <f>IFERROR(__xludf.DUMMYFUNCTION("""COMPUTED_VALUE"""),6.0)</f>
        <v>6</v>
      </c>
      <c r="D212" s="125">
        <f>IFERROR(__xludf.DUMMYFUNCTION("""COMPUTED_VALUE"""),2.0)</f>
        <v>2</v>
      </c>
      <c r="E212" s="125">
        <f>IFERROR(__xludf.DUMMYFUNCTION("""COMPUTED_VALUE"""),6.0)</f>
        <v>6</v>
      </c>
      <c r="F212" s="125">
        <f>IFERROR(__xludf.DUMMYFUNCTION("""COMPUTED_VALUE"""),14.0)</f>
        <v>14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IFERROR(__xludf.DUMMYFUNCTION("""COMPUTED_VALUE"""),"Tyler Leong")</f>
        <v>Tyler Leong</v>
      </c>
      <c r="C213" s="125">
        <f>IFERROR(__xludf.DUMMYFUNCTION("""COMPUTED_VALUE"""),6.0)</f>
        <v>6</v>
      </c>
      <c r="D213" s="125">
        <f>IFERROR(__xludf.DUMMYFUNCTION("""COMPUTED_VALUE"""),6.0)</f>
        <v>6</v>
      </c>
      <c r="E213" s="125">
        <f>IFERROR(__xludf.DUMMYFUNCTION("""COMPUTED_VALUE"""),0.0)</f>
        <v>0</v>
      </c>
      <c r="F213" s="125">
        <f>IFERROR(__xludf.DUMMYFUNCTION("""COMPUTED_VALUE"""),12.0)</f>
        <v>12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IFERROR(__xludf.DUMMYFUNCTION("""COMPUTED_VALUE"""),"Joyce Zhu")</f>
        <v>Joyce Zhu</v>
      </c>
      <c r="C214" s="125">
        <f>IFERROR(__xludf.DUMMYFUNCTION("""COMPUTED_VALUE"""),1.0)</f>
        <v>1</v>
      </c>
      <c r="D214" s="125">
        <f>IFERROR(__xludf.DUMMYFUNCTION("""COMPUTED_VALUE"""),6.0)</f>
        <v>6</v>
      </c>
      <c r="E214" s="125">
        <f>IFERROR(__xludf.DUMMYFUNCTION("""COMPUTED_VALUE"""),6.0)</f>
        <v>6</v>
      </c>
      <c r="F214" s="125">
        <f>IFERROR(__xludf.DUMMYFUNCTION("""COMPUTED_VALUE"""),13.0)</f>
        <v>13</v>
      </c>
      <c r="G214" s="125">
        <f>IFERROR(__xludf.DUMMYFUNCTION("""COMPUTED_VALUE"""),2.0)</f>
        <v>2</v>
      </c>
    </row>
    <row r="215">
      <c r="A215" s="123">
        <f>IFERROR(__xludf.DUMMYFUNCTION("""COMPUTED_VALUE"""),8.0)</f>
        <v>8</v>
      </c>
      <c r="B215" s="124" t="str">
        <f>IFERROR(__xludf.DUMMYFUNCTION("""COMPUTED_VALUE"""),"Barathi Sundaram")</f>
        <v>Barathi Sundaram</v>
      </c>
      <c r="C215" s="125">
        <f>IFERROR(__xludf.DUMMYFUNCTION("""COMPUTED_VALUE"""),1.0)</f>
        <v>1</v>
      </c>
      <c r="D215" s="125">
        <f>IFERROR(__xludf.DUMMYFUNCTION("""COMPUTED_VALUE"""),2.0)</f>
        <v>2</v>
      </c>
      <c r="E215" s="125">
        <f>IFERROR(__xludf.DUMMYFUNCTION("""COMPUTED_VALUE"""),0.0)</f>
        <v>0</v>
      </c>
      <c r="F215" s="125">
        <f>IFERROR(__xludf.DUMMYFUNCTION("""COMPUTED_VALUE"""),3.0)</f>
        <v>3</v>
      </c>
      <c r="G215" s="125">
        <f>IFERROR(__xludf.DUMMYFUNCTION("""COMPUTED_VALUE"""),0.0)</f>
        <v>0</v>
      </c>
    </row>
    <row r="216">
      <c r="A216" s="117">
        <f>IFERROR(__xludf.DUMMYFUNCTION("""COMPUTED_VALUE"""),9.0)</f>
        <v>9</v>
      </c>
      <c r="B216" s="33" t="str">
        <f>IFERROR(__xludf.DUMMYFUNCTION("""COMPUTED_VALUE"""),"Pavan Akkimsetty")</f>
        <v>Pavan Akkimsetty</v>
      </c>
      <c r="C216" s="122">
        <f>IFERROR(__xludf.DUMMYFUNCTION("""COMPUTED_VALUE"""),3.0)</f>
        <v>3</v>
      </c>
      <c r="D216" s="122">
        <f>IFERROR(__xludf.DUMMYFUNCTION("""COMPUTED_VALUE"""),6.0)</f>
        <v>6</v>
      </c>
      <c r="E216" s="122">
        <f>IFERROR(__xludf.DUMMYFUNCTION("""COMPUTED_VALUE"""),4.0)</f>
        <v>4</v>
      </c>
      <c r="F216" s="122">
        <f>IFERROR(__xludf.DUMMYFUNCTION("""COMPUTED_VALUE"""),13.0)</f>
        <v>13</v>
      </c>
      <c r="G216" s="122">
        <f>IFERROR(__xludf.DUMMYFUNCTION("""COMPUTED_VALUE"""),1.0)</f>
        <v>1</v>
      </c>
    </row>
    <row r="217">
      <c r="A217" s="117">
        <f>IFERROR(__xludf.DUMMYFUNCTION("""COMPUTED_VALUE"""),9.0)</f>
        <v>9</v>
      </c>
      <c r="B217" s="33" t="str">
        <f>IFERROR(__xludf.DUMMYFUNCTION("""COMPUTED_VALUE"""),"Darren Wong")</f>
        <v>Darren Wong</v>
      </c>
      <c r="C217" s="122">
        <f>IFERROR(__xludf.DUMMYFUNCTION("""COMPUTED_VALUE"""),6.0)</f>
        <v>6</v>
      </c>
      <c r="D217" s="122">
        <f>IFERROR(__xludf.DUMMYFUNCTION("""COMPUTED_VALUE"""),6.0)</f>
        <v>6</v>
      </c>
      <c r="E217" s="122">
        <f>IFERROR(__xludf.DUMMYFUNCTION("""COMPUTED_VALUE"""),6.0)</f>
        <v>6</v>
      </c>
      <c r="F217" s="122">
        <f>IFERROR(__xludf.DUMMYFUNCTION("""COMPUTED_VALUE"""),18.0)</f>
        <v>18</v>
      </c>
      <c r="G217" s="122">
        <f>IFERROR(__xludf.DUMMYFUNCTION("""COMPUTED_VALUE"""),3.0)</f>
        <v>3</v>
      </c>
    </row>
    <row r="218">
      <c r="A218" s="117">
        <f>IFERROR(__xludf.DUMMYFUNCTION("""COMPUTED_VALUE"""),9.0)</f>
        <v>9</v>
      </c>
      <c r="B218" s="33" t="str">
        <f>IFERROR(__xludf.DUMMYFUNCTION("""COMPUTED_VALUE"""),"Matthew Huang")</f>
        <v>Matthew Huang</v>
      </c>
      <c r="C218" s="122">
        <f>IFERROR(__xludf.DUMMYFUNCTION("""COMPUTED_VALUE"""),6.0)</f>
        <v>6</v>
      </c>
      <c r="D218" s="122">
        <f>IFERROR(__xludf.DUMMYFUNCTION("""COMPUTED_VALUE"""),2.0)</f>
        <v>2</v>
      </c>
      <c r="E218" s="122">
        <f>IFERROR(__xludf.DUMMYFUNCTION("""COMPUTED_VALUE"""),4.0)</f>
        <v>4</v>
      </c>
      <c r="F218" s="122">
        <f>IFERROR(__xludf.DUMMYFUNCTION("""COMPUTED_VALUE"""),12.0)</f>
        <v>12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IFERROR(__xludf.DUMMYFUNCTION("""COMPUTED_VALUE"""),"Ethan Gu")</f>
        <v>Ethan Gu</v>
      </c>
      <c r="C219" s="122">
        <f>IFERROR(__xludf.DUMMYFUNCTION("""COMPUTED_VALUE"""),3.0)</f>
        <v>3</v>
      </c>
      <c r="D219" s="122">
        <f>IFERROR(__xludf.DUMMYFUNCTION("""COMPUTED_VALUE"""),2.0)</f>
        <v>2</v>
      </c>
      <c r="E219" s="122">
        <f>IFERROR(__xludf.DUMMYFUNCTION("""COMPUTED_VALUE"""),6.0)</f>
        <v>6</v>
      </c>
      <c r="F219" s="122">
        <f>IFERROR(__xludf.DUMMYFUNCTION("""COMPUTED_VALUE"""),11.0)</f>
        <v>11</v>
      </c>
      <c r="G219" s="122">
        <f>IFERROR(__xludf.DUMMYFUNCTION("""COMPUTED_VALUE"""),1.0)</f>
        <v>1</v>
      </c>
    </row>
    <row r="220">
      <c r="A220" s="123">
        <f>IFERROR(__xludf.DUMMYFUNCTION("""COMPUTED_VALUE"""),10.0)</f>
        <v>10</v>
      </c>
      <c r="B220" s="124" t="str">
        <f>IFERROR(__xludf.DUMMYFUNCTION("""COMPUTED_VALUE"""),"Herman Au")</f>
        <v>Herman Au</v>
      </c>
      <c r="C220" s="125">
        <f>IFERROR(__xludf.DUMMYFUNCTION("""COMPUTED_VALUE"""),4.0)</f>
        <v>4</v>
      </c>
      <c r="D220" s="125">
        <f>IFERROR(__xludf.DUMMYFUNCTION("""COMPUTED_VALUE"""),3.0)</f>
        <v>3</v>
      </c>
      <c r="E220" s="125">
        <f>IFERROR(__xludf.DUMMYFUNCTION("""COMPUTED_VALUE"""),2.0)</f>
        <v>2</v>
      </c>
      <c r="F220" s="125">
        <f>IFERROR(__xludf.DUMMYFUNCTION("""COMPUTED_VALUE"""),9.0)</f>
        <v>9</v>
      </c>
      <c r="G220" s="125">
        <f>IFERROR(__xludf.DUMMYFUNCTION("""COMPUTED_VALUE"""),0.0)</f>
        <v>0</v>
      </c>
    </row>
    <row r="221">
      <c r="A221" s="123">
        <f>IFERROR(__xludf.DUMMYFUNCTION("""COMPUTED_VALUE"""),10.0)</f>
        <v>10</v>
      </c>
      <c r="B221" s="124" t="str">
        <f>IFERROR(__xludf.DUMMYFUNCTION("""COMPUTED_VALUE"""),"Chinna Ponnaganti")</f>
        <v>Chinna Ponnaganti</v>
      </c>
      <c r="C221" s="125">
        <f>IFERROR(__xludf.DUMMYFUNCTION("""COMPUTED_VALUE"""),4.0)</f>
        <v>4</v>
      </c>
      <c r="D221" s="125">
        <f>IFERROR(__xludf.DUMMYFUNCTION("""COMPUTED_VALUE"""),6.0)</f>
        <v>6</v>
      </c>
      <c r="E221" s="125">
        <f>IFERROR(__xludf.DUMMYFUNCTION("""COMPUTED_VALUE"""),6.0)</f>
        <v>6</v>
      </c>
      <c r="F221" s="125">
        <f>IFERROR(__xludf.DUMMYFUNCTION("""COMPUTED_VALUE"""),16.0)</f>
        <v>16</v>
      </c>
      <c r="G221" s="125">
        <f>IFERROR(__xludf.DUMMYFUNCTION("""COMPUTED_VALUE"""),2.0)</f>
        <v>2</v>
      </c>
    </row>
    <row r="222">
      <c r="A222" s="123">
        <f>IFERROR(__xludf.DUMMYFUNCTION("""COMPUTED_VALUE"""),10.0)</f>
        <v>10</v>
      </c>
      <c r="B222" s="124" t="str">
        <f>IFERROR(__xludf.DUMMYFUNCTION("""COMPUTED_VALUE"""),"Cid Macaraeg")</f>
        <v>Cid Macaraeg</v>
      </c>
      <c r="C222" s="125">
        <f>IFERROR(__xludf.DUMMYFUNCTION("""COMPUTED_VALUE"""),6.0)</f>
        <v>6</v>
      </c>
      <c r="D222" s="125">
        <f>IFERROR(__xludf.DUMMYFUNCTION("""COMPUTED_VALUE"""),3.0)</f>
        <v>3</v>
      </c>
      <c r="E222" s="125">
        <f>IFERROR(__xludf.DUMMYFUNCTION("""COMPUTED_VALUE"""),6.0)</f>
        <v>6</v>
      </c>
      <c r="F222" s="125">
        <f>IFERROR(__xludf.DUMMYFUNCTION("""COMPUTED_VALUE"""),15.0)</f>
        <v>15</v>
      </c>
      <c r="G222" s="125">
        <f>IFERROR(__xludf.DUMMYFUNCTION("""COMPUTED_VALUE"""),2.0)</f>
        <v>2</v>
      </c>
    </row>
    <row r="223">
      <c r="A223" s="123">
        <f>IFERROR(__xludf.DUMMYFUNCTION("""COMPUTED_VALUE"""),10.0)</f>
        <v>10</v>
      </c>
      <c r="B223" s="124" t="str">
        <f>IFERROR(__xludf.DUMMYFUNCTION("""COMPUTED_VALUE"""),"Basudev Thoppai Vidyasankar")</f>
        <v>Basudev Thoppai Vidyasankar</v>
      </c>
      <c r="C223" s="125">
        <f>IFERROR(__xludf.DUMMYFUNCTION("""COMPUTED_VALUE"""),6.0)</f>
        <v>6</v>
      </c>
      <c r="D223" s="125">
        <f>IFERROR(__xludf.DUMMYFUNCTION("""COMPUTED_VALUE"""),6.0)</f>
        <v>6</v>
      </c>
      <c r="E223" s="125">
        <f>IFERROR(__xludf.DUMMYFUNCTION("""COMPUTED_VALUE"""),2.0)</f>
        <v>2</v>
      </c>
      <c r="F223" s="125">
        <f>IFERROR(__xludf.DUMMYFUNCTION("""COMPUTED_VALUE"""),14.0)</f>
        <v>14</v>
      </c>
      <c r="G223" s="125">
        <f>IFERROR(__xludf.DUMMYFUNCTION("""COMPUTED_VALUE"""),2.0)</f>
        <v>2</v>
      </c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45948.0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16.0</v>
      </c>
      <c r="E2" s="1"/>
      <c r="F2" s="1"/>
      <c r="R2" s="17"/>
      <c r="AC2" s="21" t="str">
        <f>text(C1-7,"mm/dd/yy")</f>
        <v>10/11/25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224.0</v>
      </c>
      <c r="D5" s="34">
        <v>27.0</v>
      </c>
      <c r="E5" s="35">
        <f t="shared" ref="E5:E69" si="2">if(S5&gt;0,(C5-(V5*9)-(T5*13))/S5,0)</f>
        <v>16.27272727</v>
      </c>
      <c r="F5" s="95">
        <v>1.0</v>
      </c>
      <c r="G5" s="96">
        <v>1.0</v>
      </c>
      <c r="H5" s="97">
        <v>0.0</v>
      </c>
      <c r="I5" s="96">
        <v>6.0</v>
      </c>
      <c r="J5" s="96">
        <v>6.0</v>
      </c>
      <c r="K5" s="96">
        <v>6.0</v>
      </c>
      <c r="L5" s="98">
        <v>18.0</v>
      </c>
      <c r="M5" s="96">
        <v>3.0</v>
      </c>
      <c r="N5" s="34">
        <f t="shared" ref="N5:O5" si="1">C5+L5</f>
        <v>242</v>
      </c>
      <c r="O5" s="34">
        <f t="shared" si="1"/>
        <v>30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11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5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84</v>
      </c>
      <c r="C6" s="34">
        <v>212.0</v>
      </c>
      <c r="D6" s="34">
        <v>23.0</v>
      </c>
      <c r="E6" s="35">
        <f t="shared" si="2"/>
        <v>14.23076923</v>
      </c>
      <c r="F6" s="95">
        <v>2.0</v>
      </c>
      <c r="G6" s="96">
        <v>1.0</v>
      </c>
      <c r="H6" s="97">
        <v>0.0</v>
      </c>
      <c r="I6" s="96">
        <v>6.0</v>
      </c>
      <c r="J6" s="96">
        <v>4.0</v>
      </c>
      <c r="K6" s="96">
        <v>3.0</v>
      </c>
      <c r="L6" s="98">
        <v>13.0</v>
      </c>
      <c r="M6" s="96">
        <v>1.0</v>
      </c>
      <c r="N6" s="34">
        <f t="shared" ref="N6:O6" si="3">C6+L6</f>
        <v>225</v>
      </c>
      <c r="O6" s="34">
        <f t="shared" si="3"/>
        <v>24</v>
      </c>
      <c r="P6" s="49" t="s">
        <v>58</v>
      </c>
      <c r="Q6" s="49" t="s">
        <v>58</v>
      </c>
      <c r="R6" s="49"/>
      <c r="S6" s="50">
        <f t="shared" si="4"/>
        <v>13</v>
      </c>
      <c r="T6" s="52">
        <f t="shared" si="5"/>
        <v>0</v>
      </c>
      <c r="U6" s="52"/>
      <c r="V6" s="50">
        <f t="shared" si="6"/>
        <v>3</v>
      </c>
      <c r="W6" s="52">
        <f t="shared" si="7"/>
        <v>0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107</v>
      </c>
      <c r="C7" s="34">
        <v>209.0</v>
      </c>
      <c r="D7" s="34">
        <v>22.0</v>
      </c>
      <c r="E7" s="35">
        <f t="shared" si="2"/>
        <v>14.08333333</v>
      </c>
      <c r="F7" s="95">
        <v>2.0</v>
      </c>
      <c r="G7" s="96">
        <v>1.0</v>
      </c>
      <c r="H7" s="97">
        <v>0.0</v>
      </c>
      <c r="I7" s="96">
        <v>3.0</v>
      </c>
      <c r="J7" s="96">
        <v>6.0</v>
      </c>
      <c r="K7" s="96">
        <v>3.0</v>
      </c>
      <c r="L7" s="98">
        <v>12.0</v>
      </c>
      <c r="M7" s="96">
        <v>1.0</v>
      </c>
      <c r="N7" s="34">
        <f t="shared" ref="N7:O7" si="11">C7+L7</f>
        <v>221</v>
      </c>
      <c r="O7" s="34">
        <f t="shared" si="11"/>
        <v>23</v>
      </c>
      <c r="P7" s="49" t="s">
        <v>58</v>
      </c>
      <c r="Q7" s="49" t="s">
        <v>58</v>
      </c>
      <c r="R7" s="49"/>
      <c r="S7" s="50">
        <f t="shared" si="4"/>
        <v>12</v>
      </c>
      <c r="T7" s="52">
        <f t="shared" si="5"/>
        <v>1</v>
      </c>
      <c r="U7" s="52"/>
      <c r="V7" s="50">
        <f t="shared" si="6"/>
        <v>3</v>
      </c>
      <c r="W7" s="52">
        <f t="shared" si="7"/>
        <v>3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94</v>
      </c>
      <c r="C8" s="34">
        <v>209.0</v>
      </c>
      <c r="D8" s="34">
        <v>20.0</v>
      </c>
      <c r="E8" s="35">
        <f t="shared" si="2"/>
        <v>13.33333333</v>
      </c>
      <c r="F8" s="95">
        <v>1.0</v>
      </c>
      <c r="G8" s="96">
        <v>1.0</v>
      </c>
      <c r="H8" s="97">
        <v>0.0</v>
      </c>
      <c r="I8" s="96">
        <v>3.0</v>
      </c>
      <c r="J8" s="96">
        <v>4.0</v>
      </c>
      <c r="K8" s="96">
        <v>6.0</v>
      </c>
      <c r="L8" s="98">
        <v>13.0</v>
      </c>
      <c r="M8" s="96">
        <v>1.0</v>
      </c>
      <c r="N8" s="34">
        <f t="shared" ref="N8:O8" si="13">C8+L8</f>
        <v>222</v>
      </c>
      <c r="O8" s="34">
        <f t="shared" si="13"/>
        <v>21</v>
      </c>
      <c r="P8" s="49" t="s">
        <v>58</v>
      </c>
      <c r="Q8" s="49" t="s">
        <v>58</v>
      </c>
      <c r="R8" s="49"/>
      <c r="S8" s="50">
        <f t="shared" si="4"/>
        <v>15</v>
      </c>
      <c r="T8" s="52">
        <f t="shared" si="5"/>
        <v>0</v>
      </c>
      <c r="U8" s="52"/>
      <c r="V8" s="50">
        <f t="shared" si="6"/>
        <v>1</v>
      </c>
      <c r="W8" s="52">
        <f t="shared" si="7"/>
        <v>0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73</v>
      </c>
      <c r="C9" s="34">
        <v>208.0</v>
      </c>
      <c r="D9" s="34">
        <v>20.0</v>
      </c>
      <c r="E9" s="35">
        <f t="shared" si="2"/>
        <v>13.92307692</v>
      </c>
      <c r="F9" s="95">
        <v>2.0</v>
      </c>
      <c r="G9" s="96">
        <v>2.0</v>
      </c>
      <c r="H9" s="97">
        <v>0.0</v>
      </c>
      <c r="I9" s="96">
        <v>6.0</v>
      </c>
      <c r="J9" s="96">
        <v>4.0</v>
      </c>
      <c r="K9" s="96">
        <v>3.0</v>
      </c>
      <c r="L9" s="98">
        <v>13.0</v>
      </c>
      <c r="M9" s="96">
        <v>1.0</v>
      </c>
      <c r="N9" s="34">
        <f t="shared" ref="N9:O9" si="14">C9+L9</f>
        <v>221</v>
      </c>
      <c r="O9" s="34">
        <f t="shared" si="14"/>
        <v>21</v>
      </c>
      <c r="P9" s="49" t="s">
        <v>58</v>
      </c>
      <c r="Q9" s="49" t="s">
        <v>58</v>
      </c>
      <c r="R9" s="49"/>
      <c r="S9" s="50">
        <f t="shared" si="4"/>
        <v>13</v>
      </c>
      <c r="T9" s="52">
        <f t="shared" si="5"/>
        <v>0</v>
      </c>
      <c r="U9" s="52"/>
      <c r="V9" s="50">
        <f t="shared" si="6"/>
        <v>3</v>
      </c>
      <c r="W9" s="52">
        <f t="shared" si="7"/>
        <v>-2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91</v>
      </c>
      <c r="C10" s="34">
        <v>204.0</v>
      </c>
      <c r="D10" s="34">
        <v>23.0</v>
      </c>
      <c r="E10" s="35">
        <f t="shared" si="2"/>
        <v>13</v>
      </c>
      <c r="F10" s="95">
        <v>1.0</v>
      </c>
      <c r="G10" s="96">
        <v>2.0</v>
      </c>
      <c r="H10" s="97">
        <v>0.0</v>
      </c>
      <c r="I10" s="96">
        <v>3.0</v>
      </c>
      <c r="J10" s="96">
        <v>4.0</v>
      </c>
      <c r="K10" s="96">
        <v>6.0</v>
      </c>
      <c r="L10" s="98">
        <v>13.0</v>
      </c>
      <c r="M10" s="96">
        <v>1.0</v>
      </c>
      <c r="N10" s="34">
        <f t="shared" ref="N10:O10" si="15">C10+L10</f>
        <v>217</v>
      </c>
      <c r="O10" s="34">
        <f t="shared" si="15"/>
        <v>24</v>
      </c>
      <c r="P10" s="49" t="s">
        <v>58</v>
      </c>
      <c r="Q10" s="49" t="s">
        <v>58</v>
      </c>
      <c r="R10" s="49"/>
      <c r="S10" s="50">
        <f t="shared" si="4"/>
        <v>14</v>
      </c>
      <c r="T10" s="52">
        <f t="shared" si="5"/>
        <v>1</v>
      </c>
      <c r="U10" s="52"/>
      <c r="V10" s="50">
        <f t="shared" si="6"/>
        <v>1</v>
      </c>
      <c r="W10" s="52">
        <f t="shared" si="7"/>
        <v>4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128</v>
      </c>
      <c r="C11" s="34">
        <v>204.0</v>
      </c>
      <c r="D11" s="34">
        <v>20.0</v>
      </c>
      <c r="E11" s="35">
        <f t="shared" si="2"/>
        <v>13.28571429</v>
      </c>
      <c r="F11" s="95">
        <v>1.0</v>
      </c>
      <c r="G11" s="96">
        <v>2.0</v>
      </c>
      <c r="H11" s="97">
        <v>0.0</v>
      </c>
      <c r="I11" s="96">
        <v>3.0</v>
      </c>
      <c r="J11" s="96">
        <v>6.0</v>
      </c>
      <c r="K11" s="96">
        <v>3.0</v>
      </c>
      <c r="L11" s="98">
        <v>12.0</v>
      </c>
      <c r="M11" s="96">
        <v>1.0</v>
      </c>
      <c r="N11" s="34">
        <f t="shared" ref="N11:O11" si="16">C11+L11</f>
        <v>216</v>
      </c>
      <c r="O11" s="34">
        <f t="shared" si="16"/>
        <v>21</v>
      </c>
      <c r="P11" s="49" t="s">
        <v>58</v>
      </c>
      <c r="Q11" s="49" t="s">
        <v>58</v>
      </c>
      <c r="R11" s="49"/>
      <c r="S11" s="50">
        <f t="shared" si="4"/>
        <v>14</v>
      </c>
      <c r="T11" s="52">
        <f t="shared" si="5"/>
        <v>0</v>
      </c>
      <c r="U11" s="52"/>
      <c r="V11" s="50">
        <f t="shared" si="6"/>
        <v>2</v>
      </c>
      <c r="W11" s="52">
        <f t="shared" si="7"/>
        <v>5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90</v>
      </c>
      <c r="C12" s="34">
        <v>203.0</v>
      </c>
      <c r="D12" s="34">
        <v>22.0</v>
      </c>
      <c r="E12" s="35">
        <f t="shared" si="2"/>
        <v>12.92857143</v>
      </c>
      <c r="F12" s="95">
        <v>1.0</v>
      </c>
      <c r="G12" s="96">
        <v>2.0</v>
      </c>
      <c r="H12" s="97">
        <v>0.0</v>
      </c>
      <c r="I12" s="96">
        <v>6.0</v>
      </c>
      <c r="J12" s="96">
        <v>6.0</v>
      </c>
      <c r="K12" s="96">
        <v>6.0</v>
      </c>
      <c r="L12" s="98">
        <v>18.0</v>
      </c>
      <c r="M12" s="96">
        <v>3.0</v>
      </c>
      <c r="N12" s="34">
        <f t="shared" ref="N12:O12" si="17">C12+L12</f>
        <v>221</v>
      </c>
      <c r="O12" s="34">
        <f t="shared" si="17"/>
        <v>25</v>
      </c>
      <c r="P12" s="49" t="s">
        <v>58</v>
      </c>
      <c r="Q12" s="49" t="s">
        <v>58</v>
      </c>
      <c r="R12" s="49"/>
      <c r="S12" s="50">
        <f t="shared" si="4"/>
        <v>14</v>
      </c>
      <c r="T12" s="52">
        <f t="shared" si="5"/>
        <v>1</v>
      </c>
      <c r="U12" s="52"/>
      <c r="V12" s="50">
        <f t="shared" si="6"/>
        <v>1</v>
      </c>
      <c r="W12" s="52">
        <f t="shared" si="7"/>
        <v>1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113</v>
      </c>
      <c r="C13" s="34">
        <v>203.0</v>
      </c>
      <c r="D13" s="34">
        <v>18.0</v>
      </c>
      <c r="E13" s="35">
        <f t="shared" si="2"/>
        <v>13.91666667</v>
      </c>
      <c r="F13" s="95">
        <v>1.0</v>
      </c>
      <c r="G13" s="96">
        <v>9.0</v>
      </c>
      <c r="H13" s="97">
        <v>0.0</v>
      </c>
      <c r="I13" s="96">
        <v>3.0</v>
      </c>
      <c r="J13" s="96">
        <v>6.0</v>
      </c>
      <c r="K13" s="96">
        <v>4.0</v>
      </c>
      <c r="L13" s="98">
        <v>13.0</v>
      </c>
      <c r="M13" s="96">
        <v>1.0</v>
      </c>
      <c r="N13" s="34">
        <f t="shared" ref="N13:O13" si="18">C13+L13</f>
        <v>216</v>
      </c>
      <c r="O13" s="34">
        <f t="shared" si="18"/>
        <v>19</v>
      </c>
      <c r="P13" s="49" t="s">
        <v>58</v>
      </c>
      <c r="Q13" s="49" t="s">
        <v>58</v>
      </c>
      <c r="R13" s="49"/>
      <c r="S13" s="50">
        <f t="shared" si="4"/>
        <v>12</v>
      </c>
      <c r="T13" s="52">
        <f t="shared" si="5"/>
        <v>0</v>
      </c>
      <c r="U13" s="52"/>
      <c r="V13" s="50">
        <f t="shared" si="6"/>
        <v>4</v>
      </c>
      <c r="W13" s="52">
        <f t="shared" si="7"/>
        <v>-4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67</v>
      </c>
      <c r="C14" s="34">
        <v>202.0</v>
      </c>
      <c r="D14" s="34">
        <v>22.0</v>
      </c>
      <c r="E14" s="35">
        <f t="shared" si="2"/>
        <v>14.8</v>
      </c>
      <c r="F14" s="95">
        <v>2.0</v>
      </c>
      <c r="G14" s="96">
        <v>9.0</v>
      </c>
      <c r="H14" s="97">
        <v>0.0</v>
      </c>
      <c r="I14" s="96">
        <v>6.0</v>
      </c>
      <c r="J14" s="96">
        <v>6.0</v>
      </c>
      <c r="K14" s="96">
        <v>6.0</v>
      </c>
      <c r="L14" s="98">
        <v>18.0</v>
      </c>
      <c r="M14" s="96">
        <v>3.0</v>
      </c>
      <c r="N14" s="34">
        <f t="shared" ref="N14:O14" si="19">C14+L14</f>
        <v>220</v>
      </c>
      <c r="O14" s="34">
        <f t="shared" si="19"/>
        <v>25</v>
      </c>
      <c r="P14" s="49" t="s">
        <v>58</v>
      </c>
      <c r="Q14" s="49" t="s">
        <v>58</v>
      </c>
      <c r="R14" s="49"/>
      <c r="S14" s="50">
        <f t="shared" si="4"/>
        <v>10</v>
      </c>
      <c r="T14" s="52">
        <f t="shared" si="5"/>
        <v>0</v>
      </c>
      <c r="U14" s="52"/>
      <c r="V14" s="50">
        <f t="shared" si="6"/>
        <v>6</v>
      </c>
      <c r="W14" s="52">
        <f t="shared" si="7"/>
        <v>4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134</v>
      </c>
      <c r="C15" s="34">
        <v>202.0</v>
      </c>
      <c r="D15" s="34">
        <v>21.0</v>
      </c>
      <c r="E15" s="35">
        <f t="shared" si="2"/>
        <v>15.44444444</v>
      </c>
      <c r="F15" s="95">
        <v>1.0</v>
      </c>
      <c r="G15" s="96">
        <v>9.0</v>
      </c>
      <c r="H15" s="97">
        <v>0.0</v>
      </c>
      <c r="I15" s="96">
        <v>6.0</v>
      </c>
      <c r="J15" s="96">
        <v>2.0</v>
      </c>
      <c r="K15" s="96">
        <v>4.0</v>
      </c>
      <c r="L15" s="98">
        <v>12.0</v>
      </c>
      <c r="M15" s="96">
        <v>1.0</v>
      </c>
      <c r="N15" s="34">
        <f t="shared" ref="N15:O15" si="20">C15+L15</f>
        <v>214</v>
      </c>
      <c r="O15" s="34">
        <f t="shared" si="20"/>
        <v>22</v>
      </c>
      <c r="P15" s="49" t="s">
        <v>58</v>
      </c>
      <c r="Q15" s="49" t="s">
        <v>58</v>
      </c>
      <c r="R15" s="49"/>
      <c r="S15" s="50">
        <f t="shared" si="4"/>
        <v>9</v>
      </c>
      <c r="T15" s="52">
        <f t="shared" si="5"/>
        <v>0</v>
      </c>
      <c r="U15" s="52"/>
      <c r="V15" s="50">
        <f t="shared" si="6"/>
        <v>7</v>
      </c>
      <c r="W15" s="52">
        <f t="shared" si="7"/>
        <v>2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98</v>
      </c>
      <c r="C16" s="34">
        <v>200.0</v>
      </c>
      <c r="D16" s="34">
        <v>24.0</v>
      </c>
      <c r="E16" s="35">
        <f t="shared" si="2"/>
        <v>12.73333333</v>
      </c>
      <c r="F16" s="95">
        <v>1.0</v>
      </c>
      <c r="G16" s="96">
        <v>9.0</v>
      </c>
      <c r="H16" s="97">
        <v>0.0</v>
      </c>
      <c r="I16" s="96">
        <v>3.0</v>
      </c>
      <c r="J16" s="96">
        <v>2.0</v>
      </c>
      <c r="K16" s="96">
        <v>6.0</v>
      </c>
      <c r="L16" s="98">
        <v>11.0</v>
      </c>
      <c r="M16" s="96">
        <v>1.0</v>
      </c>
      <c r="N16" s="34">
        <f t="shared" ref="N16:O16" si="21">C16+L16</f>
        <v>211</v>
      </c>
      <c r="O16" s="34">
        <f t="shared" si="21"/>
        <v>25</v>
      </c>
      <c r="P16" s="49" t="s">
        <v>58</v>
      </c>
      <c r="Q16" s="49" t="s">
        <v>58</v>
      </c>
      <c r="R16" s="49"/>
      <c r="S16" s="50">
        <f t="shared" si="4"/>
        <v>15</v>
      </c>
      <c r="T16" s="52">
        <f t="shared" si="5"/>
        <v>0</v>
      </c>
      <c r="U16" s="52"/>
      <c r="V16" s="50">
        <f t="shared" si="6"/>
        <v>1</v>
      </c>
      <c r="W16" s="52">
        <f t="shared" si="7"/>
        <v>-4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103</v>
      </c>
      <c r="C17" s="34">
        <v>200.0</v>
      </c>
      <c r="D17" s="34">
        <v>15.0</v>
      </c>
      <c r="E17" s="35">
        <f t="shared" si="2"/>
        <v>13</v>
      </c>
      <c r="F17" s="95">
        <v>2.0</v>
      </c>
      <c r="G17" s="96">
        <v>3.0</v>
      </c>
      <c r="H17" s="97">
        <v>0.0</v>
      </c>
      <c r="I17" s="96">
        <v>6.0</v>
      </c>
      <c r="J17" s="96">
        <v>5.0</v>
      </c>
      <c r="K17" s="96">
        <v>6.0</v>
      </c>
      <c r="L17" s="98">
        <v>17.0</v>
      </c>
      <c r="M17" s="96">
        <v>2.0</v>
      </c>
      <c r="N17" s="34">
        <f t="shared" ref="N17:O17" si="22">C17+L17</f>
        <v>217</v>
      </c>
      <c r="O17" s="34">
        <f t="shared" si="22"/>
        <v>17</v>
      </c>
      <c r="P17" s="49" t="s">
        <v>58</v>
      </c>
      <c r="Q17" s="49" t="s">
        <v>58</v>
      </c>
      <c r="R17" s="49"/>
      <c r="S17" s="50">
        <f t="shared" si="4"/>
        <v>13</v>
      </c>
      <c r="T17" s="52">
        <f t="shared" si="5"/>
        <v>1</v>
      </c>
      <c r="U17" s="52"/>
      <c r="V17" s="50">
        <f t="shared" si="6"/>
        <v>2</v>
      </c>
      <c r="W17" s="52">
        <f t="shared" si="7"/>
        <v>-6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109</v>
      </c>
      <c r="C18" s="34">
        <v>198.0</v>
      </c>
      <c r="D18" s="34">
        <v>18.0</v>
      </c>
      <c r="E18" s="35">
        <f t="shared" si="2"/>
        <v>13.15384615</v>
      </c>
      <c r="F18" s="95">
        <v>1.0</v>
      </c>
      <c r="G18" s="96">
        <v>3.0</v>
      </c>
      <c r="H18" s="97">
        <v>0.0</v>
      </c>
      <c r="I18" s="96">
        <v>3.0</v>
      </c>
      <c r="J18" s="96">
        <v>7.0</v>
      </c>
      <c r="K18" s="96">
        <v>6.0</v>
      </c>
      <c r="L18" s="98">
        <v>16.0</v>
      </c>
      <c r="M18" s="96">
        <v>2.0</v>
      </c>
      <c r="N18" s="34">
        <f t="shared" ref="N18:O18" si="23">C18+L18</f>
        <v>214</v>
      </c>
      <c r="O18" s="34">
        <f t="shared" si="23"/>
        <v>20</v>
      </c>
      <c r="P18" s="49" t="s">
        <v>58</v>
      </c>
      <c r="Q18" s="49" t="s">
        <v>58</v>
      </c>
      <c r="R18" s="49"/>
      <c r="S18" s="50">
        <f t="shared" si="4"/>
        <v>13</v>
      </c>
      <c r="T18" s="52">
        <f t="shared" si="5"/>
        <v>0</v>
      </c>
      <c r="U18" s="52"/>
      <c r="V18" s="50">
        <f t="shared" si="6"/>
        <v>3</v>
      </c>
      <c r="W18" s="52">
        <f t="shared" si="7"/>
        <v>-3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87</v>
      </c>
      <c r="C19" s="34">
        <v>192.0</v>
      </c>
      <c r="D19" s="34">
        <v>20.0</v>
      </c>
      <c r="E19" s="35">
        <f t="shared" si="2"/>
        <v>12.2</v>
      </c>
      <c r="F19" s="95">
        <v>1.0</v>
      </c>
      <c r="G19" s="96">
        <v>3.0</v>
      </c>
      <c r="H19" s="97">
        <v>0.0</v>
      </c>
      <c r="I19" s="96">
        <v>3.0</v>
      </c>
      <c r="J19" s="96">
        <v>5.0</v>
      </c>
      <c r="K19" s="96">
        <v>1.0</v>
      </c>
      <c r="L19" s="98">
        <v>9.0</v>
      </c>
      <c r="M19" s="96">
        <v>0.0</v>
      </c>
      <c r="N19" s="34">
        <f t="shared" ref="N19:O19" si="24">C19+L19</f>
        <v>201</v>
      </c>
      <c r="O19" s="34">
        <f t="shared" si="24"/>
        <v>20</v>
      </c>
      <c r="P19" s="49" t="s">
        <v>58</v>
      </c>
      <c r="Q19" s="49" t="s">
        <v>58</v>
      </c>
      <c r="R19" s="49"/>
      <c r="S19" s="50">
        <f t="shared" si="4"/>
        <v>15</v>
      </c>
      <c r="T19" s="52">
        <f t="shared" si="5"/>
        <v>0</v>
      </c>
      <c r="U19" s="52"/>
      <c r="V19" s="50">
        <f t="shared" si="6"/>
        <v>1</v>
      </c>
      <c r="W19" s="52">
        <f t="shared" si="7"/>
        <v>0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83</v>
      </c>
      <c r="C20" s="34">
        <v>192.0</v>
      </c>
      <c r="D20" s="34">
        <v>17.0</v>
      </c>
      <c r="E20" s="35">
        <f t="shared" si="2"/>
        <v>14.5</v>
      </c>
      <c r="F20" s="95">
        <v>5.0</v>
      </c>
      <c r="G20" s="96">
        <v>0.0</v>
      </c>
      <c r="H20" s="97">
        <v>13.0</v>
      </c>
      <c r="I20" s="96">
        <v>0.0</v>
      </c>
      <c r="J20" s="96">
        <v>0.0</v>
      </c>
      <c r="K20" s="96">
        <v>0.0</v>
      </c>
      <c r="L20" s="98">
        <v>13.0</v>
      </c>
      <c r="M20" s="96">
        <v>0.0</v>
      </c>
      <c r="N20" s="34">
        <f t="shared" ref="N20:O20" si="25">C20+L20</f>
        <v>205</v>
      </c>
      <c r="O20" s="34">
        <f t="shared" si="25"/>
        <v>17</v>
      </c>
      <c r="P20" s="49" t="s">
        <v>58</v>
      </c>
      <c r="Q20" s="49" t="s">
        <v>58</v>
      </c>
      <c r="R20" s="49"/>
      <c r="S20" s="50">
        <f t="shared" si="4"/>
        <v>8</v>
      </c>
      <c r="T20" s="52">
        <f t="shared" si="5"/>
        <v>1</v>
      </c>
      <c r="U20" s="52"/>
      <c r="V20" s="50">
        <f t="shared" si="6"/>
        <v>7</v>
      </c>
      <c r="W20" s="52">
        <f t="shared" si="7"/>
        <v>6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110</v>
      </c>
      <c r="C21" s="34">
        <v>191.0</v>
      </c>
      <c r="D21" s="34">
        <v>18.0</v>
      </c>
      <c r="E21" s="35">
        <f t="shared" si="2"/>
        <v>11.9375</v>
      </c>
      <c r="F21" s="95">
        <v>1.0</v>
      </c>
      <c r="G21" s="96">
        <v>3.0</v>
      </c>
      <c r="H21" s="97">
        <v>0.0</v>
      </c>
      <c r="I21" s="96">
        <v>6.0</v>
      </c>
      <c r="J21" s="96">
        <v>7.0</v>
      </c>
      <c r="K21" s="96">
        <v>1.0</v>
      </c>
      <c r="L21" s="98">
        <v>14.0</v>
      </c>
      <c r="M21" s="96">
        <v>2.0</v>
      </c>
      <c r="N21" s="34">
        <f t="shared" ref="N21:O21" si="26">C21+L21</f>
        <v>205</v>
      </c>
      <c r="O21" s="34">
        <f t="shared" si="26"/>
        <v>20</v>
      </c>
      <c r="P21" s="49" t="s">
        <v>58</v>
      </c>
      <c r="Q21" s="49" t="s">
        <v>58</v>
      </c>
      <c r="R21" s="49"/>
      <c r="S21" s="50">
        <f t="shared" si="4"/>
        <v>16</v>
      </c>
      <c r="T21" s="52">
        <f t="shared" si="5"/>
        <v>0</v>
      </c>
      <c r="U21" s="52"/>
      <c r="V21" s="50">
        <f t="shared" si="6"/>
        <v>0</v>
      </c>
      <c r="W21" s="52">
        <f t="shared" si="7"/>
        <v>-1</v>
      </c>
      <c r="X21" s="32">
        <f t="shared" si="12"/>
        <v>17</v>
      </c>
      <c r="Y21" s="32" t="str">
        <f t="shared" si="8"/>
        <v>Y</v>
      </c>
      <c r="Z21" s="16" t="str">
        <f t="shared" si="9"/>
        <v/>
      </c>
    </row>
    <row r="22">
      <c r="A22" s="32">
        <f t="shared" si="10"/>
        <v>18</v>
      </c>
      <c r="B22" s="33" t="s">
        <v>66</v>
      </c>
      <c r="C22" s="34">
        <v>191.0</v>
      </c>
      <c r="D22" s="34">
        <v>18.0</v>
      </c>
      <c r="E22" s="35">
        <f t="shared" si="2"/>
        <v>11.9375</v>
      </c>
      <c r="F22" s="95">
        <v>1.0</v>
      </c>
      <c r="G22" s="96">
        <v>4.0</v>
      </c>
      <c r="H22" s="97">
        <v>0.0</v>
      </c>
      <c r="I22" s="96">
        <v>3.0</v>
      </c>
      <c r="J22" s="96">
        <v>3.0</v>
      </c>
      <c r="K22" s="96">
        <v>1.0</v>
      </c>
      <c r="L22" s="98">
        <v>7.0</v>
      </c>
      <c r="M22" s="96">
        <v>0.0</v>
      </c>
      <c r="N22" s="34">
        <f t="shared" ref="N22:O22" si="27">C22+L22</f>
        <v>198</v>
      </c>
      <c r="O22" s="34">
        <f t="shared" si="27"/>
        <v>18</v>
      </c>
      <c r="P22" s="49" t="s">
        <v>58</v>
      </c>
      <c r="Q22" s="49" t="s">
        <v>58</v>
      </c>
      <c r="R22" s="49"/>
      <c r="S22" s="50">
        <f t="shared" si="4"/>
        <v>16</v>
      </c>
      <c r="T22" s="52">
        <f t="shared" si="5"/>
        <v>0</v>
      </c>
      <c r="U22" s="52"/>
      <c r="V22" s="50">
        <f t="shared" si="6"/>
        <v>0</v>
      </c>
      <c r="W22" s="52">
        <f t="shared" si="7"/>
        <v>6</v>
      </c>
      <c r="X22" s="32">
        <f t="shared" si="12"/>
        <v>18</v>
      </c>
      <c r="Y22" s="32" t="str">
        <f t="shared" si="8"/>
        <v>Y</v>
      </c>
      <c r="Z22" s="16" t="str">
        <f t="shared" si="9"/>
        <v/>
      </c>
    </row>
    <row r="23">
      <c r="A23" s="32">
        <f t="shared" si="10"/>
        <v>19</v>
      </c>
      <c r="B23" s="33" t="s">
        <v>97</v>
      </c>
      <c r="C23" s="34">
        <v>189.0</v>
      </c>
      <c r="D23" s="34">
        <v>20.0</v>
      </c>
      <c r="E23" s="35">
        <f t="shared" si="2"/>
        <v>13.09090909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8">C23+L23</f>
        <v>198</v>
      </c>
      <c r="O23" s="34">
        <f t="shared" si="28"/>
        <v>20</v>
      </c>
      <c r="P23" s="49" t="s">
        <v>58</v>
      </c>
      <c r="Q23" s="49" t="s">
        <v>58</v>
      </c>
      <c r="R23" s="49"/>
      <c r="S23" s="50">
        <f t="shared" si="4"/>
        <v>11</v>
      </c>
      <c r="T23" s="52">
        <f t="shared" si="5"/>
        <v>0</v>
      </c>
      <c r="U23" s="52"/>
      <c r="V23" s="50">
        <f t="shared" si="6"/>
        <v>5</v>
      </c>
      <c r="W23" s="52">
        <f t="shared" si="7"/>
        <v>-2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133</v>
      </c>
      <c r="C24" s="34">
        <v>188.0</v>
      </c>
      <c r="D24" s="34">
        <v>18.0</v>
      </c>
      <c r="E24" s="35">
        <f t="shared" si="2"/>
        <v>13</v>
      </c>
      <c r="F24" s="95">
        <v>1.0</v>
      </c>
      <c r="G24" s="96">
        <v>4.0</v>
      </c>
      <c r="H24" s="97">
        <v>0.0</v>
      </c>
      <c r="I24" s="96">
        <v>3.0</v>
      </c>
      <c r="J24" s="96">
        <v>6.0</v>
      </c>
      <c r="K24" s="96">
        <v>6.0</v>
      </c>
      <c r="L24" s="98">
        <v>15.0</v>
      </c>
      <c r="M24" s="96">
        <v>2.0</v>
      </c>
      <c r="N24" s="34">
        <f t="shared" ref="N24:O24" si="29">C24+L24</f>
        <v>203</v>
      </c>
      <c r="O24" s="34">
        <f t="shared" si="29"/>
        <v>20</v>
      </c>
      <c r="P24" s="49" t="s">
        <v>58</v>
      </c>
      <c r="Q24" s="49" t="s">
        <v>58</v>
      </c>
      <c r="R24" s="49"/>
      <c r="S24" s="50">
        <f t="shared" si="4"/>
        <v>11</v>
      </c>
      <c r="T24" s="52">
        <f t="shared" si="5"/>
        <v>0</v>
      </c>
      <c r="U24" s="52"/>
      <c r="V24" s="50">
        <f t="shared" si="6"/>
        <v>5</v>
      </c>
      <c r="W24" s="52">
        <f t="shared" si="7"/>
        <v>-1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125</v>
      </c>
      <c r="C25" s="34">
        <v>188.0</v>
      </c>
      <c r="D25" s="34">
        <v>15.0</v>
      </c>
      <c r="E25" s="35">
        <f t="shared" si="2"/>
        <v>13</v>
      </c>
      <c r="F25" s="95">
        <v>1.0</v>
      </c>
      <c r="G25" s="96">
        <v>4.0</v>
      </c>
      <c r="H25" s="97">
        <v>0.0</v>
      </c>
      <c r="I25" s="96">
        <v>6.0</v>
      </c>
      <c r="J25" s="96">
        <v>3.0</v>
      </c>
      <c r="K25" s="96">
        <v>6.0</v>
      </c>
      <c r="L25" s="98">
        <v>15.0</v>
      </c>
      <c r="M25" s="96">
        <v>2.0</v>
      </c>
      <c r="N25" s="34">
        <f t="shared" ref="N25:O25" si="30">C25+L25</f>
        <v>203</v>
      </c>
      <c r="O25" s="34">
        <f t="shared" si="30"/>
        <v>17</v>
      </c>
      <c r="P25" s="49" t="s">
        <v>58</v>
      </c>
      <c r="Q25" s="49" t="s">
        <v>58</v>
      </c>
      <c r="R25" s="49"/>
      <c r="S25" s="50">
        <f t="shared" si="4"/>
        <v>11</v>
      </c>
      <c r="T25" s="52">
        <f t="shared" si="5"/>
        <v>0</v>
      </c>
      <c r="U25" s="52"/>
      <c r="V25" s="50">
        <f t="shared" si="6"/>
        <v>5</v>
      </c>
      <c r="W25" s="52">
        <f t="shared" si="7"/>
        <v>4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114</v>
      </c>
      <c r="C26" s="34">
        <v>188.0</v>
      </c>
      <c r="D26" s="34">
        <v>12.0</v>
      </c>
      <c r="E26" s="35">
        <f t="shared" si="2"/>
        <v>12.07692308</v>
      </c>
      <c r="F26" s="95">
        <v>1.0</v>
      </c>
      <c r="G26" s="96">
        <v>4.0</v>
      </c>
      <c r="H26" s="97">
        <v>0.0</v>
      </c>
      <c r="I26" s="96">
        <v>6.0</v>
      </c>
      <c r="J26" s="96">
        <v>6.0</v>
      </c>
      <c r="K26" s="96">
        <v>1.0</v>
      </c>
      <c r="L26" s="98">
        <v>13.0</v>
      </c>
      <c r="M26" s="96">
        <v>2.0</v>
      </c>
      <c r="N26" s="34">
        <f t="shared" ref="N26:O26" si="31">C26+L26</f>
        <v>201</v>
      </c>
      <c r="O26" s="34">
        <f t="shared" si="31"/>
        <v>14</v>
      </c>
      <c r="P26" s="49" t="s">
        <v>58</v>
      </c>
      <c r="Q26" s="49" t="s">
        <v>58</v>
      </c>
      <c r="R26" s="49"/>
      <c r="S26" s="50">
        <f t="shared" si="4"/>
        <v>13</v>
      </c>
      <c r="T26" s="52">
        <f t="shared" si="5"/>
        <v>1</v>
      </c>
      <c r="U26" s="52"/>
      <c r="V26" s="50">
        <f t="shared" si="6"/>
        <v>2</v>
      </c>
      <c r="W26" s="52">
        <f t="shared" si="7"/>
        <v>4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111</v>
      </c>
      <c r="C27" s="34">
        <v>186.0</v>
      </c>
      <c r="D27" s="34">
        <v>14.0</v>
      </c>
      <c r="E27" s="35">
        <f t="shared" si="2"/>
        <v>12.45454545</v>
      </c>
      <c r="F27" s="95">
        <v>2.0</v>
      </c>
      <c r="G27" s="96">
        <v>10.0</v>
      </c>
      <c r="H27" s="97">
        <v>0.0</v>
      </c>
      <c r="I27" s="96">
        <v>4.0</v>
      </c>
      <c r="J27" s="96">
        <v>3.0</v>
      </c>
      <c r="K27" s="96">
        <v>2.0</v>
      </c>
      <c r="L27" s="98">
        <v>9.0</v>
      </c>
      <c r="M27" s="96">
        <v>0.0</v>
      </c>
      <c r="N27" s="34">
        <f t="shared" ref="N27:O27" si="32">C27+L27</f>
        <v>195</v>
      </c>
      <c r="O27" s="34">
        <f t="shared" si="32"/>
        <v>14</v>
      </c>
      <c r="P27" s="49" t="s">
        <v>58</v>
      </c>
      <c r="Q27" s="49" t="s">
        <v>58</v>
      </c>
      <c r="R27" s="49"/>
      <c r="S27" s="50">
        <f t="shared" si="4"/>
        <v>11</v>
      </c>
      <c r="T27" s="52">
        <f t="shared" si="5"/>
        <v>1</v>
      </c>
      <c r="U27" s="52"/>
      <c r="V27" s="50">
        <f t="shared" si="6"/>
        <v>4</v>
      </c>
      <c r="W27" s="52">
        <f t="shared" si="7"/>
        <v>-2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50</v>
      </c>
      <c r="C28" s="34">
        <v>185.0</v>
      </c>
      <c r="D28" s="34">
        <v>18.0</v>
      </c>
      <c r="E28" s="35">
        <f t="shared" si="2"/>
        <v>11.73333333</v>
      </c>
      <c r="F28" s="95">
        <v>1.0</v>
      </c>
      <c r="G28" s="96">
        <v>10.0</v>
      </c>
      <c r="H28" s="97">
        <v>0.0</v>
      </c>
      <c r="I28" s="96">
        <v>4.0</v>
      </c>
      <c r="J28" s="96">
        <v>6.0</v>
      </c>
      <c r="K28" s="96">
        <v>6.0</v>
      </c>
      <c r="L28" s="98">
        <v>16.0</v>
      </c>
      <c r="M28" s="96">
        <v>2.0</v>
      </c>
      <c r="N28" s="34">
        <f t="shared" ref="N28:O28" si="33">C28+L28</f>
        <v>201</v>
      </c>
      <c r="O28" s="34">
        <f t="shared" si="33"/>
        <v>20</v>
      </c>
      <c r="P28" s="49" t="s">
        <v>58</v>
      </c>
      <c r="Q28" s="49" t="s">
        <v>58</v>
      </c>
      <c r="R28" s="49"/>
      <c r="S28" s="50">
        <f t="shared" si="4"/>
        <v>15</v>
      </c>
      <c r="T28" s="52">
        <f t="shared" si="5"/>
        <v>0</v>
      </c>
      <c r="U28" s="52"/>
      <c r="V28" s="50">
        <f t="shared" si="6"/>
        <v>1</v>
      </c>
      <c r="W28" s="52">
        <f t="shared" si="7"/>
        <v>-6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93</v>
      </c>
      <c r="C29" s="34">
        <v>185.0</v>
      </c>
      <c r="D29" s="34">
        <v>16.0</v>
      </c>
      <c r="E29" s="35">
        <f t="shared" si="2"/>
        <v>14.125</v>
      </c>
      <c r="F29" s="95">
        <v>1.0</v>
      </c>
      <c r="G29" s="96">
        <v>10.0</v>
      </c>
      <c r="H29" s="97">
        <v>0.0</v>
      </c>
      <c r="I29" s="96">
        <v>6.0</v>
      </c>
      <c r="J29" s="96">
        <v>3.0</v>
      </c>
      <c r="K29" s="96">
        <v>6.0</v>
      </c>
      <c r="L29" s="98">
        <v>15.0</v>
      </c>
      <c r="M29" s="96">
        <v>2.0</v>
      </c>
      <c r="N29" s="34">
        <f t="shared" ref="N29:O29" si="34">C29+L29</f>
        <v>200</v>
      </c>
      <c r="O29" s="34">
        <f t="shared" si="34"/>
        <v>18</v>
      </c>
      <c r="P29" s="49" t="s">
        <v>58</v>
      </c>
      <c r="Q29" s="49" t="s">
        <v>58</v>
      </c>
      <c r="R29" s="49"/>
      <c r="S29" s="50">
        <f t="shared" si="4"/>
        <v>8</v>
      </c>
      <c r="T29" s="52">
        <f t="shared" si="5"/>
        <v>0</v>
      </c>
      <c r="U29" s="52"/>
      <c r="V29" s="50">
        <f t="shared" si="6"/>
        <v>8</v>
      </c>
      <c r="W29" s="52">
        <f t="shared" si="7"/>
        <v>3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89</v>
      </c>
      <c r="C30" s="34">
        <v>185.0</v>
      </c>
      <c r="D30" s="34">
        <v>16.0</v>
      </c>
      <c r="E30" s="35">
        <f t="shared" si="2"/>
        <v>13.1</v>
      </c>
      <c r="F30" s="95">
        <v>1.0</v>
      </c>
      <c r="G30" s="96">
        <v>10.0</v>
      </c>
      <c r="H30" s="97">
        <v>0.0</v>
      </c>
      <c r="I30" s="96">
        <v>6.0</v>
      </c>
      <c r="J30" s="96">
        <v>6.0</v>
      </c>
      <c r="K30" s="96">
        <v>2.0</v>
      </c>
      <c r="L30" s="98">
        <v>14.0</v>
      </c>
      <c r="M30" s="96">
        <v>2.0</v>
      </c>
      <c r="N30" s="34">
        <f t="shared" ref="N30:O30" si="35">C30+L30</f>
        <v>199</v>
      </c>
      <c r="O30" s="34">
        <f t="shared" si="35"/>
        <v>18</v>
      </c>
      <c r="P30" s="49" t="s">
        <v>58</v>
      </c>
      <c r="Q30" s="49" t="s">
        <v>58</v>
      </c>
      <c r="R30" s="49"/>
      <c r="S30" s="50">
        <f t="shared" si="4"/>
        <v>10</v>
      </c>
      <c r="T30" s="52">
        <f t="shared" si="5"/>
        <v>0</v>
      </c>
      <c r="U30" s="52"/>
      <c r="V30" s="50">
        <f t="shared" si="6"/>
        <v>6</v>
      </c>
      <c r="W30" s="52">
        <f t="shared" si="7"/>
        <v>-6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106</v>
      </c>
      <c r="C31" s="34">
        <v>184.0</v>
      </c>
      <c r="D31" s="34">
        <v>18.0</v>
      </c>
      <c r="E31" s="35">
        <f t="shared" si="2"/>
        <v>12</v>
      </c>
      <c r="F31" s="95">
        <v>3.0</v>
      </c>
      <c r="G31" s="96">
        <v>0.0</v>
      </c>
      <c r="H31" s="97">
        <v>9.0</v>
      </c>
      <c r="I31" s="96">
        <v>0.0</v>
      </c>
      <c r="J31" s="96">
        <v>0.0</v>
      </c>
      <c r="K31" s="96">
        <v>0.0</v>
      </c>
      <c r="L31" s="98">
        <v>9.0</v>
      </c>
      <c r="M31" s="96">
        <v>0.0</v>
      </c>
      <c r="N31" s="34">
        <f t="shared" ref="N31:O31" si="36">C31+L31</f>
        <v>193</v>
      </c>
      <c r="O31" s="34">
        <f t="shared" si="36"/>
        <v>18</v>
      </c>
      <c r="P31" s="49" t="s">
        <v>58</v>
      </c>
      <c r="Q31" s="49" t="s">
        <v>58</v>
      </c>
      <c r="R31" s="49"/>
      <c r="S31" s="50">
        <f t="shared" si="4"/>
        <v>12</v>
      </c>
      <c r="T31" s="52">
        <f t="shared" si="5"/>
        <v>1</v>
      </c>
      <c r="U31" s="52"/>
      <c r="V31" s="50">
        <f t="shared" si="6"/>
        <v>3</v>
      </c>
      <c r="W31" s="52">
        <f t="shared" si="7"/>
        <v>-4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136</v>
      </c>
      <c r="C32" s="34">
        <v>182.0</v>
      </c>
      <c r="D32" s="34">
        <v>15.0</v>
      </c>
      <c r="E32" s="35">
        <f t="shared" si="2"/>
        <v>11.375</v>
      </c>
      <c r="F32" s="95">
        <v>1.0</v>
      </c>
      <c r="G32" s="96">
        <v>5.0</v>
      </c>
      <c r="H32" s="97">
        <v>0.0</v>
      </c>
      <c r="I32" s="96">
        <v>6.0</v>
      </c>
      <c r="J32" s="96">
        <v>2.0</v>
      </c>
      <c r="K32" s="96">
        <v>2.0</v>
      </c>
      <c r="L32" s="98">
        <v>10.0</v>
      </c>
      <c r="M32" s="96">
        <v>1.0</v>
      </c>
      <c r="N32" s="34">
        <f t="shared" ref="N32:O32" si="37">C32+L32</f>
        <v>192</v>
      </c>
      <c r="O32" s="34">
        <f t="shared" si="37"/>
        <v>16</v>
      </c>
      <c r="P32" s="49" t="s">
        <v>58</v>
      </c>
      <c r="Q32" s="49" t="s">
        <v>58</v>
      </c>
      <c r="R32" s="49"/>
      <c r="S32" s="50">
        <f t="shared" si="4"/>
        <v>16</v>
      </c>
      <c r="T32" s="52">
        <f t="shared" si="5"/>
        <v>0</v>
      </c>
      <c r="U32" s="52"/>
      <c r="V32" s="50">
        <f t="shared" si="6"/>
        <v>0</v>
      </c>
      <c r="W32" s="52">
        <f t="shared" si="7"/>
        <v>-1</v>
      </c>
      <c r="X32" s="32">
        <f t="shared" si="12"/>
        <v>28</v>
      </c>
      <c r="Y32" s="32" t="str">
        <f t="shared" si="8"/>
        <v>Y</v>
      </c>
      <c r="Z32" s="16" t="str">
        <f t="shared" si="9"/>
        <v/>
      </c>
    </row>
    <row r="33">
      <c r="A33" s="32">
        <f t="shared" si="10"/>
        <v>29</v>
      </c>
      <c r="B33" s="33" t="s">
        <v>65</v>
      </c>
      <c r="C33" s="34">
        <v>180.0</v>
      </c>
      <c r="D33" s="34">
        <v>16.0</v>
      </c>
      <c r="E33" s="35">
        <f t="shared" si="2"/>
        <v>14.14285714</v>
      </c>
      <c r="F33" s="95">
        <v>1.0</v>
      </c>
      <c r="G33" s="96">
        <v>5.0</v>
      </c>
      <c r="H33" s="97">
        <v>0.0</v>
      </c>
      <c r="I33" s="96">
        <v>1.0</v>
      </c>
      <c r="J33" s="96">
        <v>6.0</v>
      </c>
      <c r="K33" s="96">
        <v>2.0</v>
      </c>
      <c r="L33" s="98">
        <v>9.0</v>
      </c>
      <c r="M33" s="96">
        <v>1.0</v>
      </c>
      <c r="N33" s="34">
        <f t="shared" ref="N33:O33" si="38">C33+L33</f>
        <v>189</v>
      </c>
      <c r="O33" s="34">
        <f t="shared" si="38"/>
        <v>17</v>
      </c>
      <c r="P33" s="49" t="s">
        <v>58</v>
      </c>
      <c r="Q33" s="49" t="s">
        <v>58</v>
      </c>
      <c r="R33" s="49"/>
      <c r="S33" s="50">
        <f t="shared" si="4"/>
        <v>7</v>
      </c>
      <c r="T33" s="52">
        <f t="shared" si="5"/>
        <v>0</v>
      </c>
      <c r="U33" s="52"/>
      <c r="V33" s="50">
        <f t="shared" si="6"/>
        <v>9</v>
      </c>
      <c r="W33" s="52">
        <f t="shared" si="7"/>
        <v>7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100</v>
      </c>
      <c r="C34" s="34">
        <v>179.0</v>
      </c>
      <c r="D34" s="34">
        <v>13.0</v>
      </c>
      <c r="E34" s="35">
        <f t="shared" si="2"/>
        <v>12.88888889</v>
      </c>
      <c r="F34" s="95">
        <v>1.0</v>
      </c>
      <c r="G34" s="96">
        <v>5.0</v>
      </c>
      <c r="H34" s="97">
        <v>0.0</v>
      </c>
      <c r="I34" s="96">
        <v>6.0</v>
      </c>
      <c r="J34" s="96">
        <v>6.0</v>
      </c>
      <c r="K34" s="96">
        <v>6.0</v>
      </c>
      <c r="L34" s="98">
        <v>18.0</v>
      </c>
      <c r="M34" s="96">
        <v>3.0</v>
      </c>
      <c r="N34" s="34">
        <f t="shared" ref="N34:O34" si="39">C34+L34</f>
        <v>197</v>
      </c>
      <c r="O34" s="34">
        <f t="shared" si="39"/>
        <v>16</v>
      </c>
      <c r="P34" s="49" t="s">
        <v>58</v>
      </c>
      <c r="Q34" s="49" t="s">
        <v>58</v>
      </c>
      <c r="R34" s="49"/>
      <c r="S34" s="50">
        <f t="shared" si="4"/>
        <v>9</v>
      </c>
      <c r="T34" s="52">
        <f t="shared" si="5"/>
        <v>0</v>
      </c>
      <c r="U34" s="52"/>
      <c r="V34" s="50">
        <f t="shared" si="6"/>
        <v>7</v>
      </c>
      <c r="W34" s="52">
        <f t="shared" si="7"/>
        <v>0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60</v>
      </c>
      <c r="C35" s="34">
        <v>176.0</v>
      </c>
      <c r="D35" s="34">
        <v>18.0</v>
      </c>
      <c r="E35" s="35">
        <f t="shared" si="2"/>
        <v>11.28571429</v>
      </c>
      <c r="F35" s="95">
        <v>1.0</v>
      </c>
      <c r="G35" s="96">
        <v>5.0</v>
      </c>
      <c r="H35" s="97">
        <v>0.0</v>
      </c>
      <c r="I35" s="96">
        <v>1.0</v>
      </c>
      <c r="J35" s="96">
        <v>2.0</v>
      </c>
      <c r="K35" s="96">
        <v>6.0</v>
      </c>
      <c r="L35" s="98">
        <v>9.0</v>
      </c>
      <c r="M35" s="96">
        <v>1.0</v>
      </c>
      <c r="N35" s="34">
        <f t="shared" ref="N35:O35" si="40">C35+L35</f>
        <v>185</v>
      </c>
      <c r="O35" s="34">
        <f t="shared" si="40"/>
        <v>19</v>
      </c>
      <c r="P35" s="49" t="s">
        <v>58</v>
      </c>
      <c r="Q35" s="49" t="s">
        <v>58</v>
      </c>
      <c r="R35" s="49"/>
      <c r="S35" s="50">
        <f t="shared" si="4"/>
        <v>14</v>
      </c>
      <c r="T35" s="52">
        <f t="shared" si="5"/>
        <v>0</v>
      </c>
      <c r="U35" s="52"/>
      <c r="V35" s="50">
        <f t="shared" si="6"/>
        <v>2</v>
      </c>
      <c r="W35" s="52">
        <f t="shared" si="7"/>
        <v>0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138</v>
      </c>
      <c r="C36" s="34">
        <v>176.0</v>
      </c>
      <c r="D36" s="34">
        <v>13.0</v>
      </c>
      <c r="E36" s="35">
        <f t="shared" si="2"/>
        <v>12.55555556</v>
      </c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41">C36+L36</f>
        <v>185</v>
      </c>
      <c r="O36" s="34">
        <f t="shared" si="41"/>
        <v>13</v>
      </c>
      <c r="P36" s="49" t="s">
        <v>58</v>
      </c>
      <c r="Q36" s="49" t="s">
        <v>58</v>
      </c>
      <c r="R36" s="49"/>
      <c r="S36" s="50">
        <f t="shared" si="4"/>
        <v>9</v>
      </c>
      <c r="T36" s="52">
        <f t="shared" si="5"/>
        <v>0</v>
      </c>
      <c r="U36" s="52"/>
      <c r="V36" s="50">
        <f t="shared" si="6"/>
        <v>7</v>
      </c>
      <c r="W36" s="52">
        <f t="shared" si="7"/>
        <v>-3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49</v>
      </c>
      <c r="C37" s="34">
        <v>175.0</v>
      </c>
      <c r="D37" s="34">
        <v>17.0</v>
      </c>
      <c r="E37" s="35">
        <f t="shared" si="2"/>
        <v>11.38461538</v>
      </c>
      <c r="F37" s="95">
        <v>1.0</v>
      </c>
      <c r="G37" s="96">
        <v>6.0</v>
      </c>
      <c r="H37" s="97">
        <v>0.0</v>
      </c>
      <c r="I37" s="96">
        <v>6.0</v>
      </c>
      <c r="J37" s="96">
        <v>6.0</v>
      </c>
      <c r="K37" s="96">
        <v>4.0</v>
      </c>
      <c r="L37" s="98">
        <v>16.0</v>
      </c>
      <c r="M37" s="96">
        <v>1.0</v>
      </c>
      <c r="N37" s="34">
        <f t="shared" ref="N37:O37" si="42">C37+L37</f>
        <v>191</v>
      </c>
      <c r="O37" s="34">
        <f t="shared" si="42"/>
        <v>18</v>
      </c>
      <c r="P37" s="49" t="s">
        <v>58</v>
      </c>
      <c r="Q37" s="49" t="s">
        <v>58</v>
      </c>
      <c r="R37" s="49"/>
      <c r="S37" s="50">
        <f t="shared" si="4"/>
        <v>13</v>
      </c>
      <c r="T37" s="52">
        <f t="shared" si="5"/>
        <v>0</v>
      </c>
      <c r="U37" s="52"/>
      <c r="V37" s="50">
        <f t="shared" si="6"/>
        <v>3</v>
      </c>
      <c r="W37" s="52">
        <f t="shared" si="7"/>
        <v>1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122</v>
      </c>
      <c r="C38" s="34">
        <v>175.0</v>
      </c>
      <c r="D38" s="34">
        <v>12.0</v>
      </c>
      <c r="E38" s="35">
        <f t="shared" si="2"/>
        <v>13.42857143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3">C38+L38</f>
        <v>184</v>
      </c>
      <c r="O38" s="34">
        <f t="shared" si="43"/>
        <v>12</v>
      </c>
      <c r="P38" s="49" t="s">
        <v>58</v>
      </c>
      <c r="Q38" s="49" t="s">
        <v>58</v>
      </c>
      <c r="R38" s="49"/>
      <c r="S38" s="50">
        <f t="shared" si="4"/>
        <v>7</v>
      </c>
      <c r="T38" s="52">
        <f t="shared" si="5"/>
        <v>0</v>
      </c>
      <c r="U38" s="52"/>
      <c r="V38" s="50">
        <f t="shared" si="6"/>
        <v>9</v>
      </c>
      <c r="W38" s="52">
        <f t="shared" si="7"/>
        <v>-2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132</v>
      </c>
      <c r="C39" s="34">
        <v>175.0</v>
      </c>
      <c r="D39" s="34">
        <v>12.0</v>
      </c>
      <c r="E39" s="35">
        <f t="shared" si="2"/>
        <v>13.42857143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4">C39+L39</f>
        <v>184</v>
      </c>
      <c r="O39" s="34">
        <f t="shared" si="44"/>
        <v>12</v>
      </c>
      <c r="P39" s="49" t="s">
        <v>58</v>
      </c>
      <c r="Q39" s="49" t="s">
        <v>58</v>
      </c>
      <c r="R39" s="49"/>
      <c r="S39" s="50">
        <f t="shared" si="4"/>
        <v>7</v>
      </c>
      <c r="T39" s="52">
        <f t="shared" si="5"/>
        <v>0</v>
      </c>
      <c r="U39" s="52"/>
      <c r="V39" s="50">
        <f t="shared" si="6"/>
        <v>9</v>
      </c>
      <c r="W39" s="52">
        <f t="shared" si="7"/>
        <v>-2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96</v>
      </c>
      <c r="C40" s="34">
        <v>174.0</v>
      </c>
      <c r="D40" s="34">
        <v>14.0</v>
      </c>
      <c r="E40" s="35">
        <f t="shared" si="2"/>
        <v>11.14285714</v>
      </c>
      <c r="F40" s="95">
        <v>1.0</v>
      </c>
      <c r="G40" s="96">
        <v>6.0</v>
      </c>
      <c r="H40" s="97">
        <v>0.0</v>
      </c>
      <c r="I40" s="96">
        <v>6.0</v>
      </c>
      <c r="J40" s="96">
        <v>7.0</v>
      </c>
      <c r="K40" s="96">
        <v>6.0</v>
      </c>
      <c r="L40" s="98">
        <v>19.0</v>
      </c>
      <c r="M40" s="96">
        <v>3.0</v>
      </c>
      <c r="N40" s="34">
        <f t="shared" ref="N40:O40" si="45">C40+L40</f>
        <v>193</v>
      </c>
      <c r="O40" s="34">
        <f t="shared" si="45"/>
        <v>17</v>
      </c>
      <c r="P40" s="49" t="s">
        <v>58</v>
      </c>
      <c r="Q40" s="49" t="s">
        <v>58</v>
      </c>
      <c r="R40" s="49"/>
      <c r="S40" s="50">
        <f t="shared" si="4"/>
        <v>14</v>
      </c>
      <c r="T40" s="52">
        <f t="shared" si="5"/>
        <v>0</v>
      </c>
      <c r="U40" s="52"/>
      <c r="V40" s="50">
        <f t="shared" si="6"/>
        <v>2</v>
      </c>
      <c r="W40" s="52">
        <f t="shared" si="7"/>
        <v>-1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99</v>
      </c>
      <c r="C41" s="34">
        <v>174.0</v>
      </c>
      <c r="D41" s="34">
        <v>11.0</v>
      </c>
      <c r="E41" s="35">
        <f t="shared" si="2"/>
        <v>11.88888889</v>
      </c>
      <c r="F41" s="95">
        <v>1.0</v>
      </c>
      <c r="G41" s="96">
        <v>6.0</v>
      </c>
      <c r="H41" s="97">
        <v>0.0</v>
      </c>
      <c r="I41" s="96">
        <v>3.0</v>
      </c>
      <c r="J41" s="96">
        <v>6.0</v>
      </c>
      <c r="K41" s="96">
        <v>6.0</v>
      </c>
      <c r="L41" s="98">
        <v>15.0</v>
      </c>
      <c r="M41" s="96">
        <v>1.0</v>
      </c>
      <c r="N41" s="34">
        <f t="shared" ref="N41:O41" si="46">C41+L41</f>
        <v>189</v>
      </c>
      <c r="O41" s="34">
        <f t="shared" si="46"/>
        <v>12</v>
      </c>
      <c r="P41" s="49" t="s">
        <v>58</v>
      </c>
      <c r="Q41" s="49" t="s">
        <v>58</v>
      </c>
      <c r="R41" s="49"/>
      <c r="S41" s="50">
        <f t="shared" si="4"/>
        <v>9</v>
      </c>
      <c r="T41" s="52">
        <f t="shared" si="5"/>
        <v>1</v>
      </c>
      <c r="U41" s="52"/>
      <c r="V41" s="50">
        <f t="shared" si="6"/>
        <v>6</v>
      </c>
      <c r="W41" s="52">
        <f t="shared" si="7"/>
        <v>0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137</v>
      </c>
      <c r="C42" s="34">
        <v>169.0</v>
      </c>
      <c r="D42" s="34">
        <v>12.0</v>
      </c>
      <c r="E42" s="35">
        <f t="shared" si="2"/>
        <v>11.5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7">C42+L42</f>
        <v>178</v>
      </c>
      <c r="O42" s="34">
        <f t="shared" si="47"/>
        <v>12</v>
      </c>
      <c r="P42" s="49" t="s">
        <v>58</v>
      </c>
      <c r="Q42" s="49" t="s">
        <v>58</v>
      </c>
      <c r="R42" s="49"/>
      <c r="S42" s="50">
        <f t="shared" si="4"/>
        <v>10</v>
      </c>
      <c r="T42" s="52">
        <f t="shared" si="5"/>
        <v>0</v>
      </c>
      <c r="U42" s="52"/>
      <c r="V42" s="50">
        <f t="shared" si="6"/>
        <v>6</v>
      </c>
      <c r="W42" s="52">
        <f t="shared" si="7"/>
        <v>0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135</v>
      </c>
      <c r="C43" s="34">
        <v>168.0</v>
      </c>
      <c r="D43" s="34">
        <v>14.0</v>
      </c>
      <c r="E43" s="35">
        <f t="shared" si="2"/>
        <v>11.4</v>
      </c>
      <c r="F43" s="95">
        <v>1.0</v>
      </c>
      <c r="G43" s="96">
        <v>6.0</v>
      </c>
      <c r="H43" s="97">
        <v>0.0</v>
      </c>
      <c r="I43" s="96">
        <v>3.0</v>
      </c>
      <c r="J43" s="96">
        <v>7.0</v>
      </c>
      <c r="K43" s="96">
        <v>4.0</v>
      </c>
      <c r="L43" s="98">
        <v>14.0</v>
      </c>
      <c r="M43" s="96">
        <v>1.0</v>
      </c>
      <c r="N43" s="34">
        <f t="shared" ref="N43:O43" si="48">C43+L43</f>
        <v>182</v>
      </c>
      <c r="O43" s="34">
        <f t="shared" si="48"/>
        <v>15</v>
      </c>
      <c r="P43" s="49" t="s">
        <v>58</v>
      </c>
      <c r="Q43" s="49" t="s">
        <v>58</v>
      </c>
      <c r="R43" s="49"/>
      <c r="S43" s="50">
        <f t="shared" si="4"/>
        <v>10</v>
      </c>
      <c r="T43" s="52">
        <f t="shared" si="5"/>
        <v>0</v>
      </c>
      <c r="U43" s="52"/>
      <c r="V43" s="50">
        <f t="shared" si="6"/>
        <v>6</v>
      </c>
      <c r="W43" s="52">
        <f t="shared" si="7"/>
        <v>0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166.0</v>
      </c>
      <c r="D44" s="34">
        <v>10.0</v>
      </c>
      <c r="E44" s="35">
        <f t="shared" si="2"/>
        <v>11</v>
      </c>
      <c r="F44" s="95">
        <v>2.0</v>
      </c>
      <c r="G44" s="96">
        <v>7.0</v>
      </c>
      <c r="H44" s="97">
        <v>0.0</v>
      </c>
      <c r="I44" s="96">
        <v>6.0</v>
      </c>
      <c r="J44" s="96">
        <v>5.0</v>
      </c>
      <c r="K44" s="96">
        <v>4.0</v>
      </c>
      <c r="L44" s="98">
        <v>15.0</v>
      </c>
      <c r="M44" s="96">
        <v>1.0</v>
      </c>
      <c r="N44" s="34">
        <f t="shared" ref="N44:O44" si="49">C44+L44</f>
        <v>181</v>
      </c>
      <c r="O44" s="34">
        <f t="shared" si="49"/>
        <v>11</v>
      </c>
      <c r="P44" s="49" t="s">
        <v>58</v>
      </c>
      <c r="Q44" s="49" t="s">
        <v>58</v>
      </c>
      <c r="R44" s="49"/>
      <c r="S44" s="50">
        <f t="shared" si="4"/>
        <v>9</v>
      </c>
      <c r="T44" s="52">
        <f t="shared" si="5"/>
        <v>1</v>
      </c>
      <c r="U44" s="52"/>
      <c r="V44" s="50">
        <f t="shared" si="6"/>
        <v>6</v>
      </c>
      <c r="W44" s="52">
        <f t="shared" si="7"/>
        <v>5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139</v>
      </c>
      <c r="C45" s="34">
        <v>163.0</v>
      </c>
      <c r="D45" s="34">
        <v>13.0</v>
      </c>
      <c r="E45" s="35">
        <f t="shared" si="2"/>
        <v>10.72727273</v>
      </c>
      <c r="F45" s="95">
        <v>1.0</v>
      </c>
      <c r="G45" s="96">
        <v>7.0</v>
      </c>
      <c r="H45" s="97">
        <v>0.0</v>
      </c>
      <c r="I45" s="96">
        <v>3.0</v>
      </c>
      <c r="J45" s="96">
        <v>7.0</v>
      </c>
      <c r="K45" s="96">
        <v>4.0</v>
      </c>
      <c r="L45" s="98">
        <v>14.0</v>
      </c>
      <c r="M45" s="96">
        <v>1.0</v>
      </c>
      <c r="N45" s="34">
        <f t="shared" ref="N45:O45" si="50">C45+L45</f>
        <v>177</v>
      </c>
      <c r="O45" s="34">
        <f t="shared" si="50"/>
        <v>14</v>
      </c>
      <c r="P45" s="49" t="s">
        <v>58</v>
      </c>
      <c r="Q45" s="49" t="s">
        <v>58</v>
      </c>
      <c r="R45" s="49"/>
      <c r="S45" s="50">
        <f t="shared" si="4"/>
        <v>11</v>
      </c>
      <c r="T45" s="52">
        <f t="shared" si="5"/>
        <v>0</v>
      </c>
      <c r="U45" s="52"/>
      <c r="V45" s="50">
        <f t="shared" si="6"/>
        <v>5</v>
      </c>
      <c r="W45" s="52">
        <f t="shared" si="7"/>
        <v>-1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75</v>
      </c>
      <c r="C46" s="34">
        <v>163.0</v>
      </c>
      <c r="D46" s="34">
        <v>7.0</v>
      </c>
      <c r="E46" s="35">
        <f t="shared" si="2"/>
        <v>12.8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172</v>
      </c>
      <c r="O46" s="34">
        <f t="shared" si="51"/>
        <v>7</v>
      </c>
      <c r="P46" s="49" t="s">
        <v>58</v>
      </c>
      <c r="Q46" s="49" t="s">
        <v>58</v>
      </c>
      <c r="R46" s="49"/>
      <c r="S46" s="50">
        <f t="shared" si="4"/>
        <v>5</v>
      </c>
      <c r="T46" s="52">
        <f t="shared" si="5"/>
        <v>0</v>
      </c>
      <c r="U46" s="52"/>
      <c r="V46" s="50">
        <f t="shared" si="6"/>
        <v>11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108</v>
      </c>
      <c r="C47" s="34">
        <v>162.0</v>
      </c>
      <c r="D47" s="34">
        <v>7.0</v>
      </c>
      <c r="E47" s="35">
        <f t="shared" si="2"/>
        <v>10.63636364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171</v>
      </c>
      <c r="O47" s="34">
        <f t="shared" si="52"/>
        <v>7</v>
      </c>
      <c r="P47" s="49" t="s">
        <v>58</v>
      </c>
      <c r="Q47" s="49" t="s">
        <v>58</v>
      </c>
      <c r="R47" s="49"/>
      <c r="S47" s="50">
        <f t="shared" si="4"/>
        <v>11</v>
      </c>
      <c r="T47" s="52">
        <f t="shared" si="5"/>
        <v>0</v>
      </c>
      <c r="U47" s="52"/>
      <c r="V47" s="50">
        <f t="shared" si="6"/>
        <v>5</v>
      </c>
      <c r="W47" s="52">
        <f t="shared" si="7"/>
        <v>-1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129</v>
      </c>
      <c r="C48" s="34">
        <v>161.0</v>
      </c>
      <c r="D48" s="34">
        <v>15.0</v>
      </c>
      <c r="E48" s="35">
        <f t="shared" si="2"/>
        <v>10.30769231</v>
      </c>
      <c r="F48" s="95">
        <v>1.0</v>
      </c>
      <c r="G48" s="96">
        <v>7.0</v>
      </c>
      <c r="H48" s="97">
        <v>0.0</v>
      </c>
      <c r="I48" s="96">
        <v>6.0</v>
      </c>
      <c r="J48" s="96">
        <v>7.0</v>
      </c>
      <c r="K48" s="96">
        <v>6.0</v>
      </c>
      <c r="L48" s="98">
        <v>19.0</v>
      </c>
      <c r="M48" s="96">
        <v>3.0</v>
      </c>
      <c r="N48" s="34">
        <f t="shared" ref="N48:O48" si="53">C48+L48</f>
        <v>180</v>
      </c>
      <c r="O48" s="34">
        <f t="shared" si="53"/>
        <v>18</v>
      </c>
      <c r="P48" s="49" t="s">
        <v>58</v>
      </c>
      <c r="Q48" s="49" t="s">
        <v>58</v>
      </c>
      <c r="R48" s="49"/>
      <c r="S48" s="50">
        <f t="shared" si="4"/>
        <v>13</v>
      </c>
      <c r="T48" s="52">
        <f t="shared" si="5"/>
        <v>0</v>
      </c>
      <c r="U48" s="52"/>
      <c r="V48" s="50">
        <f t="shared" si="6"/>
        <v>3</v>
      </c>
      <c r="W48" s="52">
        <f t="shared" si="7"/>
        <v>3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54</v>
      </c>
      <c r="C49" s="34">
        <v>160.0</v>
      </c>
      <c r="D49" s="34">
        <v>14.0</v>
      </c>
      <c r="E49" s="35">
        <f t="shared" si="2"/>
        <v>10.23076923</v>
      </c>
      <c r="F49" s="95">
        <v>1.0</v>
      </c>
      <c r="G49" s="96">
        <v>7.0</v>
      </c>
      <c r="H49" s="97">
        <v>0.0</v>
      </c>
      <c r="I49" s="96">
        <v>3.0</v>
      </c>
      <c r="J49" s="96">
        <v>5.0</v>
      </c>
      <c r="K49" s="96">
        <v>6.0</v>
      </c>
      <c r="L49" s="98">
        <v>14.0</v>
      </c>
      <c r="M49" s="96">
        <v>1.0</v>
      </c>
      <c r="N49" s="34">
        <f t="shared" ref="N49:O49" si="54">C49+L49</f>
        <v>174</v>
      </c>
      <c r="O49" s="34">
        <f t="shared" si="54"/>
        <v>15</v>
      </c>
      <c r="P49" s="49" t="s">
        <v>58</v>
      </c>
      <c r="Q49" s="49" t="s">
        <v>58</v>
      </c>
      <c r="R49" s="49"/>
      <c r="S49" s="50">
        <f t="shared" si="4"/>
        <v>13</v>
      </c>
      <c r="T49" s="52">
        <f t="shared" si="5"/>
        <v>0</v>
      </c>
      <c r="U49" s="52"/>
      <c r="V49" s="50">
        <f t="shared" si="6"/>
        <v>3</v>
      </c>
      <c r="W49" s="52">
        <f t="shared" si="7"/>
        <v>-1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47</v>
      </c>
      <c r="C50" s="34">
        <v>160.0</v>
      </c>
      <c r="D50" s="34">
        <v>8.0</v>
      </c>
      <c r="E50" s="35">
        <f t="shared" si="2"/>
        <v>14.33333333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169</v>
      </c>
      <c r="O50" s="34">
        <f t="shared" si="55"/>
        <v>8</v>
      </c>
      <c r="P50" s="49" t="s">
        <v>58</v>
      </c>
      <c r="Q50" s="49" t="s">
        <v>58</v>
      </c>
      <c r="R50" s="49"/>
      <c r="S50" s="50">
        <f t="shared" si="4"/>
        <v>3</v>
      </c>
      <c r="T50" s="52">
        <f t="shared" si="5"/>
        <v>0</v>
      </c>
      <c r="U50" s="52"/>
      <c r="V50" s="50">
        <f t="shared" si="6"/>
        <v>13</v>
      </c>
      <c r="W50" s="52">
        <f t="shared" si="7"/>
        <v>-3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143</v>
      </c>
      <c r="C51" s="34">
        <v>160.0</v>
      </c>
      <c r="D51" s="34">
        <v>7.0</v>
      </c>
      <c r="E51" s="35">
        <f t="shared" si="2"/>
        <v>13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169</v>
      </c>
      <c r="O51" s="34">
        <f t="shared" si="56"/>
        <v>7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12</v>
      </c>
      <c r="W51" s="52">
        <f t="shared" si="7"/>
        <v>1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144</v>
      </c>
      <c r="C52" s="34">
        <v>157.0</v>
      </c>
      <c r="D52" s="34">
        <v>9.0</v>
      </c>
      <c r="E52" s="35">
        <f t="shared" si="2"/>
        <v>10.28571429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166</v>
      </c>
      <c r="O52" s="34">
        <f t="shared" si="57"/>
        <v>9</v>
      </c>
      <c r="P52" s="49" t="s">
        <v>58</v>
      </c>
      <c r="Q52" s="49" t="s">
        <v>58</v>
      </c>
      <c r="R52" s="49"/>
      <c r="S52" s="50">
        <f t="shared" si="4"/>
        <v>7</v>
      </c>
      <c r="T52" s="52">
        <f t="shared" si="5"/>
        <v>1</v>
      </c>
      <c r="U52" s="52"/>
      <c r="V52" s="50">
        <f t="shared" si="6"/>
        <v>8</v>
      </c>
      <c r="W52" s="52">
        <f t="shared" si="7"/>
        <v>-2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69</v>
      </c>
      <c r="C53" s="34">
        <v>152.0</v>
      </c>
      <c r="D53" s="34">
        <v>7.0</v>
      </c>
      <c r="E53" s="35">
        <f t="shared" si="2"/>
        <v>11.66666667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161</v>
      </c>
      <c r="O53" s="34">
        <f t="shared" si="58"/>
        <v>7</v>
      </c>
      <c r="P53" s="49" t="s">
        <v>58</v>
      </c>
      <c r="Q53" s="49" t="s">
        <v>58</v>
      </c>
      <c r="R53" s="49"/>
      <c r="S53" s="50">
        <f t="shared" si="4"/>
        <v>3</v>
      </c>
      <c r="T53" s="52">
        <f t="shared" si="5"/>
        <v>0</v>
      </c>
      <c r="U53" s="52"/>
      <c r="V53" s="50">
        <f t="shared" si="6"/>
        <v>13</v>
      </c>
      <c r="W53" s="52">
        <f t="shared" si="7"/>
        <v>4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105</v>
      </c>
      <c r="C54" s="34">
        <v>151.0</v>
      </c>
      <c r="D54" s="34">
        <v>6.0</v>
      </c>
      <c r="E54" s="35">
        <f t="shared" si="2"/>
        <v>11.33333333</v>
      </c>
      <c r="F54" s="95">
        <v>4.0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160</v>
      </c>
      <c r="O54" s="34">
        <f t="shared" si="59"/>
        <v>6</v>
      </c>
      <c r="P54" s="49" t="s">
        <v>58</v>
      </c>
      <c r="Q54" s="49" t="s">
        <v>58</v>
      </c>
      <c r="R54" s="49"/>
      <c r="S54" s="50">
        <f t="shared" si="4"/>
        <v>3</v>
      </c>
      <c r="T54" s="52">
        <f t="shared" si="5"/>
        <v>0</v>
      </c>
      <c r="U54" s="52"/>
      <c r="V54" s="50">
        <f t="shared" si="6"/>
        <v>13</v>
      </c>
      <c r="W54" s="52">
        <f t="shared" si="7"/>
        <v>-1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121</v>
      </c>
      <c r="C55" s="34">
        <v>151.0</v>
      </c>
      <c r="D55" s="34">
        <v>5.0</v>
      </c>
      <c r="E55" s="35">
        <f t="shared" si="2"/>
        <v>10.5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160</v>
      </c>
      <c r="O55" s="34">
        <f t="shared" si="60"/>
        <v>5</v>
      </c>
      <c r="P55" s="49" t="s">
        <v>58</v>
      </c>
      <c r="Q55" s="49" t="s">
        <v>58</v>
      </c>
      <c r="R55" s="49"/>
      <c r="S55" s="50">
        <f t="shared" si="4"/>
        <v>2</v>
      </c>
      <c r="T55" s="52">
        <f t="shared" si="5"/>
        <v>1</v>
      </c>
      <c r="U55" s="52"/>
      <c r="V55" s="50">
        <f t="shared" si="6"/>
        <v>13</v>
      </c>
      <c r="W55" s="52">
        <f t="shared" si="7"/>
        <v>3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145</v>
      </c>
      <c r="C56" s="34">
        <v>150.0</v>
      </c>
      <c r="D56" s="34">
        <v>9.0</v>
      </c>
      <c r="E56" s="35">
        <f t="shared" si="2"/>
        <v>9.75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159</v>
      </c>
      <c r="O56" s="34">
        <f t="shared" si="61"/>
        <v>9</v>
      </c>
      <c r="P56" s="49" t="s">
        <v>58</v>
      </c>
      <c r="Q56" s="49" t="s">
        <v>58</v>
      </c>
      <c r="R56" s="49"/>
      <c r="S56" s="50">
        <f t="shared" si="4"/>
        <v>8</v>
      </c>
      <c r="T56" s="52">
        <f t="shared" si="5"/>
        <v>0</v>
      </c>
      <c r="U56" s="52"/>
      <c r="V56" s="50">
        <f t="shared" si="6"/>
        <v>8</v>
      </c>
      <c r="W56" s="52">
        <f t="shared" si="7"/>
        <v>-2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95</v>
      </c>
      <c r="C57" s="34">
        <v>150.0</v>
      </c>
      <c r="D57" s="34">
        <v>5.0</v>
      </c>
      <c r="E57" s="35">
        <f t="shared" si="2"/>
        <v>9.5</v>
      </c>
      <c r="F57" s="95">
        <v>1.0</v>
      </c>
      <c r="G57" s="96">
        <v>8.0</v>
      </c>
      <c r="H57" s="97">
        <v>0.0</v>
      </c>
      <c r="I57" s="96">
        <v>6.0</v>
      </c>
      <c r="J57" s="96">
        <v>2.0</v>
      </c>
      <c r="K57" s="96">
        <v>6.0</v>
      </c>
      <c r="L57" s="98">
        <v>14.0</v>
      </c>
      <c r="M57" s="96">
        <v>2.0</v>
      </c>
      <c r="N57" s="34">
        <f t="shared" ref="N57:O57" si="62">C57+L57</f>
        <v>164</v>
      </c>
      <c r="O57" s="34">
        <f t="shared" si="62"/>
        <v>7</v>
      </c>
      <c r="P57" s="49" t="s">
        <v>58</v>
      </c>
      <c r="Q57" s="49" t="s">
        <v>58</v>
      </c>
      <c r="R57" s="49"/>
      <c r="S57" s="50">
        <f t="shared" si="4"/>
        <v>4</v>
      </c>
      <c r="T57" s="52">
        <f t="shared" si="5"/>
        <v>1</v>
      </c>
      <c r="U57" s="52"/>
      <c r="V57" s="50">
        <f t="shared" si="6"/>
        <v>11</v>
      </c>
      <c r="W57" s="52">
        <f t="shared" si="7"/>
        <v>-2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142</v>
      </c>
      <c r="C58" s="34">
        <v>149.0</v>
      </c>
      <c r="D58" s="34">
        <v>10.0</v>
      </c>
      <c r="E58" s="35">
        <f t="shared" si="2"/>
        <v>9.555555556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158</v>
      </c>
      <c r="O58" s="34">
        <f t="shared" si="63"/>
        <v>10</v>
      </c>
      <c r="P58" s="49" t="s">
        <v>58</v>
      </c>
      <c r="Q58" s="49" t="s">
        <v>58</v>
      </c>
      <c r="R58" s="49"/>
      <c r="S58" s="50">
        <f t="shared" si="4"/>
        <v>9</v>
      </c>
      <c r="T58" s="52">
        <f t="shared" si="5"/>
        <v>0</v>
      </c>
      <c r="U58" s="52"/>
      <c r="V58" s="50">
        <f t="shared" si="6"/>
        <v>7</v>
      </c>
      <c r="W58" s="52">
        <f t="shared" si="7"/>
        <v>-2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140</v>
      </c>
      <c r="C59" s="34">
        <v>146.0</v>
      </c>
      <c r="D59" s="34">
        <v>4.0</v>
      </c>
      <c r="E59" s="35">
        <f t="shared" si="2"/>
        <v>10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155</v>
      </c>
      <c r="O59" s="34">
        <f t="shared" si="64"/>
        <v>4</v>
      </c>
      <c r="P59" s="49" t="s">
        <v>58</v>
      </c>
      <c r="Q59" s="49" t="s">
        <v>58</v>
      </c>
      <c r="R59" s="49"/>
      <c r="S59" s="50">
        <f t="shared" si="4"/>
        <v>2</v>
      </c>
      <c r="T59" s="52">
        <f t="shared" si="5"/>
        <v>0</v>
      </c>
      <c r="U59" s="52"/>
      <c r="V59" s="50">
        <f t="shared" si="6"/>
        <v>14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144.0</v>
      </c>
      <c r="D60" s="34">
        <v>5.0</v>
      </c>
      <c r="E60" s="35">
        <f t="shared" si="2"/>
        <v>9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153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3</v>
      </c>
      <c r="T60" s="52">
        <f t="shared" si="5"/>
        <v>0</v>
      </c>
      <c r="U60" s="52"/>
      <c r="V60" s="50">
        <f t="shared" si="6"/>
        <v>13</v>
      </c>
      <c r="W60" s="52">
        <f t="shared" si="7"/>
        <v>1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148</v>
      </c>
      <c r="C61" s="34">
        <v>140.0</v>
      </c>
      <c r="D61" s="34">
        <v>1.0</v>
      </c>
      <c r="E61" s="35">
        <f t="shared" si="2"/>
        <v>7.4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149</v>
      </c>
      <c r="O61" s="34">
        <f t="shared" si="66"/>
        <v>1</v>
      </c>
      <c r="P61" s="49" t="s">
        <v>58</v>
      </c>
      <c r="Q61" s="49" t="s">
        <v>58</v>
      </c>
      <c r="R61" s="49"/>
      <c r="S61" s="50">
        <f t="shared" si="4"/>
        <v>5</v>
      </c>
      <c r="T61" s="52">
        <f t="shared" si="5"/>
        <v>1</v>
      </c>
      <c r="U61" s="52"/>
      <c r="V61" s="50">
        <f t="shared" si="6"/>
        <v>10</v>
      </c>
      <c r="W61" s="52">
        <f t="shared" si="7"/>
        <v>1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147</v>
      </c>
      <c r="C62" s="34">
        <v>137.0</v>
      </c>
      <c r="D62" s="34">
        <v>2.0</v>
      </c>
      <c r="E62" s="35">
        <f t="shared" si="2"/>
        <v>6.666666667</v>
      </c>
      <c r="F62" s="95">
        <v>1.0</v>
      </c>
      <c r="G62" s="96">
        <v>8.0</v>
      </c>
      <c r="H62" s="97">
        <v>0.0</v>
      </c>
      <c r="I62" s="96">
        <v>6.0</v>
      </c>
      <c r="J62" s="96">
        <v>6.0</v>
      </c>
      <c r="K62" s="96">
        <v>0.0</v>
      </c>
      <c r="L62" s="98">
        <v>12.0</v>
      </c>
      <c r="M62" s="96">
        <v>2.0</v>
      </c>
      <c r="N62" s="34">
        <f t="shared" ref="N62:O62" si="67">C62+L62</f>
        <v>149</v>
      </c>
      <c r="O62" s="34">
        <f t="shared" si="67"/>
        <v>4</v>
      </c>
      <c r="P62" s="49" t="s">
        <v>58</v>
      </c>
      <c r="Q62" s="49" t="s">
        <v>58</v>
      </c>
      <c r="R62" s="49"/>
      <c r="S62" s="50">
        <f t="shared" si="4"/>
        <v>3</v>
      </c>
      <c r="T62" s="52">
        <f t="shared" si="5"/>
        <v>0</v>
      </c>
      <c r="U62" s="52"/>
      <c r="V62" s="50">
        <f t="shared" si="6"/>
        <v>13</v>
      </c>
      <c r="W62" s="52">
        <f t="shared" si="7"/>
        <v>1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146</v>
      </c>
      <c r="C63" s="34">
        <v>136.0</v>
      </c>
      <c r="D63" s="34">
        <v>2.0</v>
      </c>
      <c r="E63" s="35">
        <f t="shared" si="2"/>
        <v>3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145</v>
      </c>
      <c r="O63" s="34">
        <f t="shared" si="68"/>
        <v>2</v>
      </c>
      <c r="P63" s="49" t="s">
        <v>58</v>
      </c>
      <c r="Q63" s="49" t="s">
        <v>58</v>
      </c>
      <c r="R63" s="49"/>
      <c r="S63" s="50">
        <f t="shared" si="4"/>
        <v>2</v>
      </c>
      <c r="T63" s="52">
        <f t="shared" si="5"/>
        <v>1</v>
      </c>
      <c r="U63" s="52"/>
      <c r="V63" s="50">
        <f t="shared" si="6"/>
        <v>13</v>
      </c>
      <c r="W63" s="52">
        <f t="shared" si="7"/>
        <v>1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135.0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144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16</v>
      </c>
      <c r="W64" s="52">
        <f t="shared" si="7"/>
        <v>1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135.0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144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16</v>
      </c>
      <c r="W65" s="52">
        <f t="shared" si="7"/>
        <v>1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135.0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144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16</v>
      </c>
      <c r="W66" s="52">
        <f t="shared" si="7"/>
        <v>1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101</v>
      </c>
      <c r="C67" s="34">
        <v>133.0</v>
      </c>
      <c r="D67" s="34">
        <v>5.0</v>
      </c>
      <c r="E67" s="35">
        <f t="shared" si="2"/>
        <v>7.9</v>
      </c>
      <c r="F67" s="95">
        <v>1.0</v>
      </c>
      <c r="G67" s="96">
        <v>8.0</v>
      </c>
      <c r="H67" s="97">
        <v>0.0</v>
      </c>
      <c r="I67" s="96">
        <v>1.0</v>
      </c>
      <c r="J67" s="96">
        <v>6.0</v>
      </c>
      <c r="K67" s="96">
        <v>6.0</v>
      </c>
      <c r="L67" s="98">
        <v>13.0</v>
      </c>
      <c r="M67" s="96">
        <v>2.0</v>
      </c>
      <c r="N67" s="34">
        <f t="shared" ref="N67:O67" si="72">C67+L67</f>
        <v>146</v>
      </c>
      <c r="O67" s="34">
        <f t="shared" si="72"/>
        <v>7</v>
      </c>
      <c r="P67" s="49" t="s">
        <v>58</v>
      </c>
      <c r="Q67" s="49" t="s">
        <v>58</v>
      </c>
      <c r="R67" s="49"/>
      <c r="S67" s="50">
        <f t="shared" si="4"/>
        <v>10</v>
      </c>
      <c r="T67" s="52">
        <f t="shared" si="5"/>
        <v>0</v>
      </c>
      <c r="U67" s="52"/>
      <c r="V67" s="50">
        <f t="shared" si="6"/>
        <v>6</v>
      </c>
      <c r="W67" s="52">
        <f t="shared" si="7"/>
        <v>-7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129.0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138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14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127.0</v>
      </c>
      <c r="D69" s="34">
        <v>1.0</v>
      </c>
      <c r="E69" s="35">
        <f t="shared" si="2"/>
        <v>4.75</v>
      </c>
      <c r="F69" s="95">
        <v>1.0</v>
      </c>
      <c r="G69" s="96">
        <v>8.0</v>
      </c>
      <c r="H69" s="97">
        <v>0.0</v>
      </c>
      <c r="I69" s="96">
        <v>1.0</v>
      </c>
      <c r="J69" s="96">
        <v>2.0</v>
      </c>
      <c r="K69" s="96">
        <v>0.0</v>
      </c>
      <c r="L69" s="98">
        <v>3.0</v>
      </c>
      <c r="M69" s="96">
        <v>0.0</v>
      </c>
      <c r="N69" s="34">
        <f t="shared" ref="N69:O69" si="74">C69+L69</f>
        <v>130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4</v>
      </c>
      <c r="T69" s="52">
        <f t="shared" si="5"/>
        <v>0</v>
      </c>
      <c r="U69" s="52"/>
      <c r="V69" s="50">
        <f t="shared" si="6"/>
        <v>12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10/11/25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desc"",0)"),"Adrian Tay")</f>
        <v>Adrian Tay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IFERROR(__xludf.DUMMYFUNCTION("""COMPUTED_VALUE"""),9.0)</f>
        <v>9</v>
      </c>
      <c r="F81" s="1"/>
    </row>
    <row r="82">
      <c r="A82" s="1"/>
      <c r="B82" s="33" t="str">
        <f>IFERROR(__xludf.DUMMYFUNCTION("""COMPUTED_VALUE"""),"Tom Le")</f>
        <v>Tom Le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IFERROR(__xludf.DUMMYFUNCTION("""COMPUTED_VALUE"""),1.0)</f>
        <v>1</v>
      </c>
      <c r="F82" s="1"/>
    </row>
    <row r="83">
      <c r="A83" s="1"/>
      <c r="B83" s="33" t="str">
        <f>IFERROR(__xludf.DUMMYFUNCTION("""COMPUTED_VALUE"""),"Darren Wong")</f>
        <v>Darren Wong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IFERROR(__xludf.DUMMYFUNCTION("""COMPUTED_VALUE"""),2.0)</f>
        <v>2</v>
      </c>
      <c r="F83" s="1"/>
    </row>
    <row r="84">
      <c r="A84" s="1"/>
      <c r="B84" s="33" t="str">
        <f>IFERROR(__xludf.DUMMYFUNCTION("""COMPUTED_VALUE"""),"Eric Pan")</f>
        <v>Eric Pan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IFERROR(__xludf.DUMMYFUNCTION("""COMPUTED_VALUE"""),3.0)</f>
        <v>3</v>
      </c>
      <c r="F84" s="1"/>
    </row>
    <row r="85">
      <c r="A85" s="1"/>
      <c r="B85" s="33" t="str">
        <f>IFERROR(__xludf.DUMMYFUNCTION("""COMPUTED_VALUE"""),"Cid Macaraeg")</f>
        <v>Cid Macaraeg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IFERROR(__xludf.DUMMYFUNCTION("""COMPUTED_VALUE"""),5.0)</f>
        <v>5</v>
      </c>
      <c r="F85" s="1"/>
    </row>
    <row r="86">
      <c r="A86" s="1"/>
      <c r="B86" s="33" t="str">
        <f>IFERROR(__xludf.DUMMYFUNCTION("""COMPUTED_VALUE"""),"Suleman Alidina")</f>
        <v>Suleman Alidina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IFERROR(__xludf.DUMMYFUNCTION("""COMPUTED_VALUE"""),6.0)</f>
        <v>6</v>
      </c>
      <c r="F86" s="1"/>
    </row>
    <row r="87">
      <c r="A87" s="1"/>
      <c r="B87" s="33" t="str">
        <f>IFERROR(__xludf.DUMMYFUNCTION("""COMPUTED_VALUE"""),"Allen Zhang")</f>
        <v>Allen Zhang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IFERROR(__xludf.DUMMYFUNCTION("""COMPUTED_VALUE"""),4.0)</f>
        <v>4</v>
      </c>
      <c r="F87" s="1"/>
    </row>
    <row r="88">
      <c r="A88" s="1"/>
      <c r="B88" s="33" t="str">
        <f>IFERROR(__xludf.DUMMYFUNCTION("""COMPUTED_VALUE"""),"Oscar Bonilla")</f>
        <v>Oscar Bonilla</v>
      </c>
      <c r="C88" s="117">
        <f>IFERROR(__xludf.DUMMYFUNCTION("""COMPUTED_VALUE"""),18.0)</f>
        <v>18</v>
      </c>
      <c r="D88" s="117">
        <f>IFERROR(__xludf.DUMMYFUNCTION("""COMPUTED_VALUE"""),2.0)</f>
        <v>2</v>
      </c>
      <c r="E88" s="117">
        <f>IFERROR(__xludf.DUMMYFUNCTION("""COMPUTED_VALUE"""),4.0)</f>
        <v>4</v>
      </c>
      <c r="F88" s="1"/>
    </row>
    <row r="89">
      <c r="A89" s="1"/>
      <c r="B89" s="33" t="str">
        <f>IFERROR(__xludf.DUMMYFUNCTION("""COMPUTED_VALUE"""),"Hongyuan Wen")</f>
        <v>Hongyuan Wen</v>
      </c>
      <c r="C89" s="117">
        <f>IFERROR(__xludf.DUMMYFUNCTION("""COMPUTED_VALUE"""),18.0)</f>
        <v>18</v>
      </c>
      <c r="D89" s="117">
        <f>IFERROR(__xludf.DUMMYFUNCTION("""COMPUTED_VALUE"""),2.0)</f>
        <v>2</v>
      </c>
      <c r="E89" s="117">
        <f>IFERROR(__xludf.DUMMYFUNCTION("""COMPUTED_VALUE"""),4.0)</f>
        <v>4</v>
      </c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10"")"),"Suleman Alidina")</f>
        <v>Suleman Alidina</v>
      </c>
      <c r="C100" s="117">
        <f>IFERROR(__xludf.DUMMYFUNCTION("""COMPUTED_VALUE"""),7.0)</f>
        <v>7</v>
      </c>
      <c r="D100" s="117">
        <f t="shared" ref="D100:D109" si="75">VLOOKUP(B100,indirect($AC$2&amp;"!B$5:X$69"),23, false)</f>
        <v>36</v>
      </c>
      <c r="E100" s="117">
        <f t="shared" ref="E100:E109" si="76">VLOOKUP(B100,B$5:X$69,23, false)</f>
        <v>29</v>
      </c>
      <c r="F100" s="117">
        <f t="shared" ref="F100:F109" si="77">VLOOKUP(B100,indirect($AC$2&amp;"!B$5:U$70"),11, false)</f>
        <v>18</v>
      </c>
      <c r="G100" s="117">
        <f t="shared" ref="G100:G109" si="78">VLOOKUP(B100,indirect($AC$2&amp;"!B$5:U$70"),6, false)</f>
        <v>6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IFERROR(__xludf.DUMMYFUNCTION("""COMPUTED_VALUE"""),"Eric Pan")</f>
        <v>Eric Pan</v>
      </c>
      <c r="C101" s="117">
        <f>IFERROR(__xludf.DUMMYFUNCTION("""COMPUTED_VALUE"""),6.0)</f>
        <v>6</v>
      </c>
      <c r="D101" s="117">
        <f t="shared" si="75"/>
        <v>22</v>
      </c>
      <c r="E101" s="117">
        <f t="shared" si="76"/>
        <v>16</v>
      </c>
      <c r="F101" s="117">
        <f t="shared" si="77"/>
        <v>18</v>
      </c>
      <c r="G101" s="117">
        <f t="shared" si="78"/>
        <v>3</v>
      </c>
      <c r="L101" s="117" t="str">
        <f t="shared" si="79"/>
        <v>ok</v>
      </c>
    </row>
    <row r="102">
      <c r="A102" s="1"/>
      <c r="B102" s="33" t="str">
        <f>IFERROR(__xludf.DUMMYFUNCTION("""COMPUTED_VALUE"""),"Allen Zhang")</f>
        <v>Allen Zhang</v>
      </c>
      <c r="C102" s="117">
        <f>IFERROR(__xludf.DUMMYFUNCTION("""COMPUTED_VALUE"""),6.0)</f>
        <v>6</v>
      </c>
      <c r="D102" s="117">
        <f t="shared" si="75"/>
        <v>24</v>
      </c>
      <c r="E102" s="117">
        <f t="shared" si="76"/>
        <v>18</v>
      </c>
      <c r="F102" s="117">
        <f t="shared" si="77"/>
        <v>18</v>
      </c>
      <c r="G102" s="117">
        <f t="shared" si="78"/>
        <v>4</v>
      </c>
      <c r="L102" s="117" t="str">
        <f t="shared" si="79"/>
        <v>ok</v>
      </c>
    </row>
    <row r="103">
      <c r="A103" s="1"/>
      <c r="B103" s="33" t="str">
        <f>IFERROR(__xludf.DUMMYFUNCTION("""COMPUTED_VALUE"""),"Jonathan Phan")</f>
        <v>Jonathan Phan</v>
      </c>
      <c r="C103" s="117">
        <f>IFERROR(__xludf.DUMMYFUNCTION("""COMPUTED_VALUE"""),5.0)</f>
        <v>5</v>
      </c>
      <c r="D103" s="117">
        <f t="shared" si="75"/>
        <v>12</v>
      </c>
      <c r="E103" s="117">
        <f t="shared" si="76"/>
        <v>7</v>
      </c>
      <c r="F103" s="117">
        <f t="shared" si="77"/>
        <v>16</v>
      </c>
      <c r="G103" s="117">
        <f t="shared" si="78"/>
        <v>10</v>
      </c>
      <c r="L103" s="117" t="str">
        <f t="shared" si="79"/>
        <v>ok</v>
      </c>
    </row>
    <row r="104">
      <c r="A104" s="1"/>
      <c r="B104" s="33" t="str">
        <f>IFERROR(__xludf.DUMMYFUNCTION("""COMPUTED_VALUE"""),"Andrew Wen")</f>
        <v>Andrew Wen</v>
      </c>
      <c r="C104" s="117">
        <f>IFERROR(__xludf.DUMMYFUNCTION("""COMPUTED_VALUE"""),5.0)</f>
        <v>5</v>
      </c>
      <c r="D104" s="117">
        <f t="shared" si="75"/>
        <v>45</v>
      </c>
      <c r="E104" s="117">
        <f t="shared" si="76"/>
        <v>40</v>
      </c>
      <c r="F104" s="117">
        <f t="shared" si="77"/>
        <v>16</v>
      </c>
      <c r="G104" s="117">
        <f t="shared" si="78"/>
        <v>7</v>
      </c>
      <c r="L104" s="117" t="str">
        <f t="shared" si="79"/>
        <v>ok</v>
      </c>
    </row>
    <row r="105">
      <c r="A105" s="1"/>
      <c r="B105" s="33" t="str">
        <f>IFERROR(__xludf.DUMMYFUNCTION("""COMPUTED_VALUE"""),"Rajasekar Ramasamy")</f>
        <v>Rajasekar Ramasamy</v>
      </c>
      <c r="C105" s="117">
        <f>IFERROR(__xludf.DUMMYFUNCTION("""COMPUTED_VALUE"""),4.0)</f>
        <v>4</v>
      </c>
      <c r="D105" s="117">
        <f t="shared" si="75"/>
        <v>10</v>
      </c>
      <c r="E105" s="117">
        <f t="shared" si="76"/>
        <v>6</v>
      </c>
      <c r="F105" s="117">
        <f t="shared" si="77"/>
        <v>15</v>
      </c>
      <c r="G105" s="117">
        <f t="shared" si="78"/>
        <v>10</v>
      </c>
      <c r="L105" s="117" t="str">
        <f t="shared" si="79"/>
        <v>ok</v>
      </c>
    </row>
    <row r="106">
      <c r="A106" s="1"/>
      <c r="B106" s="33" t="str">
        <f>IFERROR(__xludf.DUMMYFUNCTION("""COMPUTED_VALUE"""),"Darren Wong")</f>
        <v>Darren Wong</v>
      </c>
      <c r="C106" s="117">
        <f>IFERROR(__xludf.DUMMYFUNCTION("""COMPUTED_VALUE"""),4.0)</f>
        <v>4</v>
      </c>
      <c r="D106" s="117">
        <f t="shared" si="75"/>
        <v>14</v>
      </c>
      <c r="E106" s="117">
        <f t="shared" si="76"/>
        <v>10</v>
      </c>
      <c r="F106" s="117">
        <f t="shared" si="77"/>
        <v>18</v>
      </c>
      <c r="G106" s="117">
        <f t="shared" si="78"/>
        <v>2</v>
      </c>
      <c r="L106" s="117" t="str">
        <f t="shared" si="79"/>
        <v>ok</v>
      </c>
    </row>
    <row r="107">
      <c r="A107" s="1"/>
      <c r="B107" s="33" t="str">
        <f>IFERROR(__xludf.DUMMYFUNCTION("""COMPUTED_VALUE"""),"Oscar Bonilla")</f>
        <v>Oscar Bonilla</v>
      </c>
      <c r="C107" s="117">
        <f>IFERROR(__xludf.DUMMYFUNCTION("""COMPUTED_VALUE"""),4.0)</f>
        <v>4</v>
      </c>
      <c r="D107" s="117">
        <f t="shared" si="75"/>
        <v>25</v>
      </c>
      <c r="E107" s="117">
        <f t="shared" si="76"/>
        <v>21</v>
      </c>
      <c r="F107" s="117">
        <f t="shared" si="77"/>
        <v>18</v>
      </c>
      <c r="G107" s="117">
        <f t="shared" si="78"/>
        <v>4</v>
      </c>
      <c r="L107" s="117" t="str">
        <f t="shared" si="79"/>
        <v>ok</v>
      </c>
    </row>
    <row r="108">
      <c r="A108" s="1"/>
      <c r="B108" s="33" t="str">
        <f>IFERROR(__xludf.DUMMYFUNCTION("""COMPUTED_VALUE"""),"Hongyuan Wen")</f>
        <v>Hongyuan Wen</v>
      </c>
      <c r="C108" s="117">
        <f>IFERROR(__xludf.DUMMYFUNCTION("""COMPUTED_VALUE"""),4.0)</f>
        <v>4</v>
      </c>
      <c r="D108" s="117">
        <f t="shared" si="75"/>
        <v>26</v>
      </c>
      <c r="E108" s="117">
        <f t="shared" si="76"/>
        <v>22</v>
      </c>
      <c r="F108" s="117">
        <f t="shared" si="77"/>
        <v>18</v>
      </c>
      <c r="G108" s="117">
        <f t="shared" si="78"/>
        <v>4</v>
      </c>
      <c r="L108" s="117" t="str">
        <f t="shared" si="79"/>
        <v>ok</v>
      </c>
    </row>
    <row r="109">
      <c r="A109" s="1"/>
      <c r="B109" s="33" t="str">
        <f>IFERROR(__xludf.DUMMYFUNCTION("""COMPUTED_VALUE"""),"Susanta Mishra")</f>
        <v>Susanta Mishra</v>
      </c>
      <c r="C109" s="117">
        <f>IFERROR(__xludf.DUMMYFUNCTION("""COMPUTED_VALUE"""),4.0)</f>
        <v>4</v>
      </c>
      <c r="D109" s="117">
        <f t="shared" si="75"/>
        <v>53</v>
      </c>
      <c r="E109" s="117">
        <f t="shared" si="76"/>
        <v>49</v>
      </c>
      <c r="F109" s="117">
        <f t="shared" si="77"/>
        <v>13</v>
      </c>
      <c r="G109" s="117">
        <f t="shared" si="78"/>
        <v>8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16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224</v>
      </c>
      <c r="D118" s="117">
        <f t="shared" si="80"/>
        <v>27</v>
      </c>
      <c r="E118" s="117">
        <f t="shared" si="80"/>
        <v>16.27272727</v>
      </c>
      <c r="F118" s="1"/>
    </row>
    <row r="119">
      <c r="A119" s="117">
        <f t="shared" ref="A119:E119" si="81">A6</f>
        <v>2</v>
      </c>
      <c r="B119" s="33" t="str">
        <f t="shared" si="81"/>
        <v>Pulkit Mathur</v>
      </c>
      <c r="C119" s="117">
        <f t="shared" si="81"/>
        <v>212</v>
      </c>
      <c r="D119" s="117">
        <f t="shared" si="81"/>
        <v>23</v>
      </c>
      <c r="E119" s="117">
        <f t="shared" si="81"/>
        <v>14.23076923</v>
      </c>
      <c r="F119" s="1"/>
    </row>
    <row r="120">
      <c r="A120" s="117">
        <f t="shared" ref="A120:E120" si="82">A7</f>
        <v>3</v>
      </c>
      <c r="B120" s="33" t="str">
        <f t="shared" si="82"/>
        <v>Tom Le</v>
      </c>
      <c r="C120" s="117">
        <f t="shared" si="82"/>
        <v>209</v>
      </c>
      <c r="D120" s="117">
        <f t="shared" si="82"/>
        <v>22</v>
      </c>
      <c r="E120" s="117">
        <f t="shared" si="82"/>
        <v>14.08333333</v>
      </c>
      <c r="F120" s="1"/>
    </row>
    <row r="121">
      <c r="A121" s="117">
        <f t="shared" ref="A121:E121" si="83">A8</f>
        <v>4</v>
      </c>
      <c r="B121" s="33" t="str">
        <f t="shared" si="83"/>
        <v>David Shin</v>
      </c>
      <c r="C121" s="117">
        <f t="shared" si="83"/>
        <v>209</v>
      </c>
      <c r="D121" s="117">
        <f t="shared" si="83"/>
        <v>20</v>
      </c>
      <c r="E121" s="117">
        <f t="shared" si="83"/>
        <v>13.33333333</v>
      </c>
      <c r="F121" s="1"/>
    </row>
    <row r="122">
      <c r="A122" s="117">
        <f t="shared" ref="A122:E122" si="84">A9</f>
        <v>5</v>
      </c>
      <c r="B122" s="33" t="str">
        <f t="shared" si="84"/>
        <v>Lam Bui</v>
      </c>
      <c r="C122" s="117">
        <f t="shared" si="84"/>
        <v>208</v>
      </c>
      <c r="D122" s="117">
        <f t="shared" si="84"/>
        <v>20</v>
      </c>
      <c r="E122" s="117">
        <f t="shared" si="84"/>
        <v>13.92307692</v>
      </c>
      <c r="F122" s="1"/>
    </row>
    <row r="123">
      <c r="A123" s="117">
        <f t="shared" ref="A123:E123" si="85">A10</f>
        <v>6</v>
      </c>
      <c r="B123" s="33" t="str">
        <f t="shared" si="85"/>
        <v>Rajasekar Ramasamy</v>
      </c>
      <c r="C123" s="117">
        <f t="shared" si="85"/>
        <v>204</v>
      </c>
      <c r="D123" s="117">
        <f t="shared" si="85"/>
        <v>23</v>
      </c>
      <c r="E123" s="117">
        <f t="shared" si="85"/>
        <v>13</v>
      </c>
      <c r="F123" s="1"/>
    </row>
    <row r="124">
      <c r="A124" s="117">
        <f t="shared" ref="A124:E124" si="86">A11</f>
        <v>7</v>
      </c>
      <c r="B124" s="33" t="str">
        <f t="shared" si="86"/>
        <v>Jonathan Phan</v>
      </c>
      <c r="C124" s="117">
        <f t="shared" si="86"/>
        <v>204</v>
      </c>
      <c r="D124" s="117">
        <f t="shared" si="86"/>
        <v>20</v>
      </c>
      <c r="E124" s="117">
        <f t="shared" si="86"/>
        <v>13.28571429</v>
      </c>
      <c r="F124" s="1"/>
    </row>
    <row r="125">
      <c r="A125" s="117">
        <f t="shared" ref="A125:E125" si="87">A12</f>
        <v>8</v>
      </c>
      <c r="B125" s="33" t="str">
        <f t="shared" si="87"/>
        <v>Sandeep Kamalon</v>
      </c>
      <c r="C125" s="117">
        <f t="shared" si="87"/>
        <v>203</v>
      </c>
      <c r="D125" s="117">
        <f t="shared" si="87"/>
        <v>22</v>
      </c>
      <c r="E125" s="117">
        <f t="shared" si="87"/>
        <v>12.92857143</v>
      </c>
      <c r="F125" s="1"/>
    </row>
    <row r="126">
      <c r="A126" s="117">
        <f t="shared" ref="A126:E126" si="88">A13</f>
        <v>9</v>
      </c>
      <c r="B126" s="33" t="str">
        <f t="shared" si="88"/>
        <v>Pavan Akkimsetty</v>
      </c>
      <c r="C126" s="117">
        <f t="shared" si="88"/>
        <v>203</v>
      </c>
      <c r="D126" s="117">
        <f t="shared" si="88"/>
        <v>18</v>
      </c>
      <c r="E126" s="117">
        <f t="shared" si="88"/>
        <v>13.91666667</v>
      </c>
      <c r="F126" s="1"/>
    </row>
    <row r="127">
      <c r="A127" s="117">
        <f t="shared" ref="A127:E127" si="89">A14</f>
        <v>10</v>
      </c>
      <c r="B127" s="33" t="str">
        <f t="shared" si="89"/>
        <v>Darren Wong</v>
      </c>
      <c r="C127" s="117">
        <f t="shared" si="89"/>
        <v>202</v>
      </c>
      <c r="D127" s="117">
        <f t="shared" si="89"/>
        <v>22</v>
      </c>
      <c r="E127" s="117">
        <f t="shared" si="89"/>
        <v>14.8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IFERROR(__xludf.DUMMYFUNCTION("""COMPUTED_VALUE"""),"Frank Moon")</f>
        <v>Frank Moon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IFERROR(__xludf.DUMMYFUNCTION("""COMPUTED_VALUE"""),"Nicole Ni")</f>
        <v>Nicole Ni</v>
      </c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10/11/25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IFERROR(__xludf.DUMMYFUNCTION("""COMPUTED_VALUE"""),"Pavan Akkimsetty")</f>
        <v>Pavan Akkimsetty</v>
      </c>
      <c r="C184" s="122">
        <f>IFERROR(__xludf.DUMMYFUNCTION("""COMPUTED_VALUE"""),6.0)</f>
        <v>6</v>
      </c>
      <c r="D184" s="122">
        <f>IFERROR(__xludf.DUMMYFUNCTION("""COMPUTED_VALUE"""),4.0)</f>
        <v>4</v>
      </c>
      <c r="E184" s="122">
        <f>IFERROR(__xludf.DUMMYFUNCTION("""COMPUTED_VALUE"""),1.0)</f>
        <v>1</v>
      </c>
      <c r="F184" s="122">
        <f>IFERROR(__xludf.DUMMYFUNCTION("""COMPUTED_VALUE"""),11.0)</f>
        <v>11</v>
      </c>
      <c r="G184" s="122">
        <f>IFERROR(__xludf.DUMMYFUNCTION("""COMPUTED_VALUE"""),1.0)</f>
        <v>1</v>
      </c>
    </row>
    <row r="185">
      <c r="A185" s="117">
        <f>IFERROR(__xludf.DUMMYFUNCTION("""COMPUTED_VALUE"""),1.0)</f>
        <v>1</v>
      </c>
      <c r="B185" s="33" t="str">
        <f>IFERROR(__xludf.DUMMYFUNCTION("""COMPUTED_VALUE"""),"Tom Le")</f>
        <v>Tom Le</v>
      </c>
      <c r="C185" s="122">
        <f>IFERROR(__xludf.DUMMYFUNCTION("""COMPUTED_VALUE"""),6.0)</f>
        <v>6</v>
      </c>
      <c r="D185" s="122">
        <f>IFERROR(__xludf.DUMMYFUNCTION("""COMPUTED_VALUE"""),6.0)</f>
        <v>6</v>
      </c>
      <c r="E185" s="122">
        <f>IFERROR(__xludf.DUMMYFUNCTION("""COMPUTED_VALUE"""),6.0)</f>
        <v>6</v>
      </c>
      <c r="F185" s="122">
        <f>IFERROR(__xludf.DUMMYFUNCTION("""COMPUTED_VALUE"""),18.0)</f>
        <v>18</v>
      </c>
      <c r="G185" s="122">
        <f>IFERROR(__xludf.DUMMYFUNCTION("""COMPUTED_VALUE"""),3.0)</f>
        <v>3</v>
      </c>
    </row>
    <row r="186">
      <c r="A186" s="117">
        <f>IFERROR(__xludf.DUMMYFUNCTION("""COMPUTED_VALUE"""),1.0)</f>
        <v>1</v>
      </c>
      <c r="B186" s="33" t="str">
        <f>IFERROR(__xludf.DUMMYFUNCTION("""COMPUTED_VALUE"""),"Ethan Gu")</f>
        <v>Ethan Gu</v>
      </c>
      <c r="C186" s="122">
        <f>IFERROR(__xludf.DUMMYFUNCTION("""COMPUTED_VALUE"""),4.0)</f>
        <v>4</v>
      </c>
      <c r="D186" s="122">
        <f>IFERROR(__xludf.DUMMYFUNCTION("""COMPUTED_VALUE"""),6.0)</f>
        <v>6</v>
      </c>
      <c r="E186" s="122">
        <f>IFERROR(__xludf.DUMMYFUNCTION("""COMPUTED_VALUE"""),1.0)</f>
        <v>1</v>
      </c>
      <c r="F186" s="122">
        <f>IFERROR(__xludf.DUMMYFUNCTION("""COMPUTED_VALUE"""),11.0)</f>
        <v>11</v>
      </c>
      <c r="G186" s="122">
        <f>IFERROR(__xludf.DUMMYFUNCTION("""COMPUTED_VALUE"""),1.0)</f>
        <v>1</v>
      </c>
    </row>
    <row r="187">
      <c r="A187" s="117">
        <f>IFERROR(__xludf.DUMMYFUNCTION("""COMPUTED_VALUE"""),1.0)</f>
        <v>1</v>
      </c>
      <c r="B187" s="33" t="str">
        <f>IFERROR(__xludf.DUMMYFUNCTION("""COMPUTED_VALUE"""),"Sandeep Kamalon")</f>
        <v>Sandeep Kamalon</v>
      </c>
      <c r="C187" s="122">
        <f>IFERROR(__xludf.DUMMYFUNCTION("""COMPUTED_VALUE"""),4.0)</f>
        <v>4</v>
      </c>
      <c r="D187" s="122">
        <f>IFERROR(__xludf.DUMMYFUNCTION("""COMPUTED_VALUE"""),4.0)</f>
        <v>4</v>
      </c>
      <c r="E187" s="122">
        <f>IFERROR(__xludf.DUMMYFUNCTION("""COMPUTED_VALUE"""),6.0)</f>
        <v>6</v>
      </c>
      <c r="F187" s="122">
        <f>IFERROR(__xludf.DUMMYFUNCTION("""COMPUTED_VALUE"""),14.0)</f>
        <v>14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IFERROR(__xludf.DUMMYFUNCTION("""COMPUTED_VALUE"""),"Darren Wong")</f>
        <v>Darren Wong</v>
      </c>
      <c r="C188" s="125">
        <f>IFERROR(__xludf.DUMMYFUNCTION("""COMPUTED_VALUE"""),6.0)</f>
        <v>6</v>
      </c>
      <c r="D188" s="125">
        <f>IFERROR(__xludf.DUMMYFUNCTION("""COMPUTED_VALUE"""),6.0)</f>
        <v>6</v>
      </c>
      <c r="E188" s="125">
        <f>IFERROR(__xludf.DUMMYFUNCTION("""COMPUTED_VALUE"""),6.0)</f>
        <v>6</v>
      </c>
      <c r="F188" s="125">
        <f>IFERROR(__xludf.DUMMYFUNCTION("""COMPUTED_VALUE"""),18.0)</f>
        <v>18</v>
      </c>
      <c r="G188" s="125">
        <f>IFERROR(__xludf.DUMMYFUNCTION("""COMPUTED_VALUE"""),3.0)</f>
        <v>3</v>
      </c>
    </row>
    <row r="189">
      <c r="A189" s="123">
        <f>IFERROR(__xludf.DUMMYFUNCTION("""COMPUTED_VALUE"""),2.0)</f>
        <v>2</v>
      </c>
      <c r="B189" s="124" t="str">
        <f>IFERROR(__xludf.DUMMYFUNCTION("""COMPUTED_VALUE"""),"Scott Li")</f>
        <v>Scott Li</v>
      </c>
      <c r="C189" s="125">
        <f>IFERROR(__xludf.DUMMYFUNCTION("""COMPUTED_VALUE"""),1.0)</f>
        <v>1</v>
      </c>
      <c r="D189" s="125">
        <f>IFERROR(__xludf.DUMMYFUNCTION("""COMPUTED_VALUE"""),6.0)</f>
        <v>6</v>
      </c>
      <c r="E189" s="125">
        <f>IFERROR(__xludf.DUMMYFUNCTION("""COMPUTED_VALUE"""),1.0)</f>
        <v>1</v>
      </c>
      <c r="F189" s="125">
        <f>IFERROR(__xludf.DUMMYFUNCTION("""COMPUTED_VALUE"""),8.0)</f>
        <v>8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IFERROR(__xludf.DUMMYFUNCTION("""COMPUTED_VALUE"""),"Frank Moon")</f>
        <v>Frank Moon</v>
      </c>
      <c r="C190" s="125">
        <f>IFERROR(__xludf.DUMMYFUNCTION("""COMPUTED_VALUE"""),6.0)</f>
        <v>6</v>
      </c>
      <c r="D190" s="125">
        <f>IFERROR(__xludf.DUMMYFUNCTION("""COMPUTED_VALUE"""),2.0)</f>
        <v>2</v>
      </c>
      <c r="E190" s="125">
        <f>IFERROR(__xludf.DUMMYFUNCTION("""COMPUTED_VALUE"""),1.0)</f>
        <v>1</v>
      </c>
      <c r="F190" s="125">
        <f>IFERROR(__xludf.DUMMYFUNCTION("""COMPUTED_VALUE"""),9.0)</f>
        <v>9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IFERROR(__xludf.DUMMYFUNCTION("""COMPUTED_VALUE"""),"Ted Shen")</f>
        <v>Ted Shen</v>
      </c>
      <c r="C191" s="125">
        <f>IFERROR(__xludf.DUMMYFUNCTION("""COMPUTED_VALUE"""),1.0)</f>
        <v>1</v>
      </c>
      <c r="D191" s="125">
        <f>IFERROR(__xludf.DUMMYFUNCTION("""COMPUTED_VALUE"""),2.0)</f>
        <v>2</v>
      </c>
      <c r="E191" s="125">
        <f>IFERROR(__xludf.DUMMYFUNCTION("""COMPUTED_VALUE"""),6.0)</f>
        <v>6</v>
      </c>
      <c r="F191" s="125">
        <f>IFERROR(__xludf.DUMMYFUNCTION("""COMPUTED_VALUE"""),9.0)</f>
        <v>9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IFERROR(__xludf.DUMMYFUNCTION("""COMPUTED_VALUE"""),"Tina Hanson")</f>
        <v>Tina Hanson</v>
      </c>
      <c r="C192" s="122">
        <f>IFERROR(__xludf.DUMMYFUNCTION("""COMPUTED_VALUE"""),3.0)</f>
        <v>3</v>
      </c>
      <c r="D192" s="122">
        <f>IFERROR(__xludf.DUMMYFUNCTION("""COMPUTED_VALUE"""),3.0)</f>
        <v>3</v>
      </c>
      <c r="E192" s="122">
        <f>IFERROR(__xludf.DUMMYFUNCTION("""COMPUTED_VALUE"""),6.0)</f>
        <v>6</v>
      </c>
      <c r="F192" s="122">
        <f>IFERROR(__xludf.DUMMYFUNCTION("""COMPUTED_VALUE"""),12.0)</f>
        <v>12</v>
      </c>
      <c r="G192" s="122">
        <f>IFERROR(__xludf.DUMMYFUNCTION("""COMPUTED_VALUE"""),1.0)</f>
        <v>1</v>
      </c>
    </row>
    <row r="193">
      <c r="A193" s="117">
        <f>IFERROR(__xludf.DUMMYFUNCTION("""COMPUTED_VALUE"""),3.0)</f>
        <v>3</v>
      </c>
      <c r="B193" s="33" t="str">
        <f>IFERROR(__xludf.DUMMYFUNCTION("""COMPUTED_VALUE"""),"Herman Au")</f>
        <v>Herman Au</v>
      </c>
      <c r="C193" s="122">
        <f>IFERROR(__xludf.DUMMYFUNCTION("""COMPUTED_VALUE"""),3.0)</f>
        <v>3</v>
      </c>
      <c r="D193" s="122">
        <f>IFERROR(__xludf.DUMMYFUNCTION("""COMPUTED_VALUE"""),6.0)</f>
        <v>6</v>
      </c>
      <c r="E193" s="122">
        <f>IFERROR(__xludf.DUMMYFUNCTION("""COMPUTED_VALUE"""),2.0)</f>
        <v>2</v>
      </c>
      <c r="F193" s="122">
        <f>IFERROR(__xludf.DUMMYFUNCTION("""COMPUTED_VALUE"""),11.0)</f>
        <v>11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IFERROR(__xludf.DUMMYFUNCTION("""COMPUTED_VALUE"""),"Eric Pan")</f>
        <v>Eric Pan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IFERROR(__xludf.DUMMYFUNCTION("""COMPUTED_VALUE"""),6.0)</f>
        <v>6</v>
      </c>
      <c r="F194" s="122">
        <f>IFERROR(__xludf.DUMMYFUNCTION("""COMPUTED_VALUE"""),18.0)</f>
        <v>18</v>
      </c>
      <c r="G194" s="122">
        <f>IFERROR(__xludf.DUMMYFUNCTION("""COMPUTED_VALUE"""),3.0)</f>
        <v>3</v>
      </c>
    </row>
    <row r="195">
      <c r="A195" s="117">
        <f>IFERROR(__xludf.DUMMYFUNCTION("""COMPUTED_VALUE"""),3.0)</f>
        <v>3</v>
      </c>
      <c r="B195" s="33" t="str">
        <f>IFERROR(__xludf.DUMMYFUNCTION("""COMPUTED_VALUE"""),"Sean Chang")</f>
        <v>Sean Chang</v>
      </c>
      <c r="C195" s="122">
        <f>IFERROR(__xludf.DUMMYFUNCTION("""COMPUTED_VALUE"""),6.0)</f>
        <v>6</v>
      </c>
      <c r="D195" s="122">
        <f>IFERROR(__xludf.DUMMYFUNCTION("""COMPUTED_VALUE"""),3.0)</f>
        <v>3</v>
      </c>
      <c r="E195" s="122">
        <f>IFERROR(__xludf.DUMMYFUNCTION("""COMPUTED_VALUE"""),2.0)</f>
        <v>2</v>
      </c>
      <c r="F195" s="122">
        <f>IFERROR(__xludf.DUMMYFUNCTION("""COMPUTED_VALUE"""),11.0)</f>
        <v>11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IFERROR(__xludf.DUMMYFUNCTION("""COMPUTED_VALUE"""),"Allen Zhang")</f>
        <v>Allen Zhang</v>
      </c>
      <c r="C196" s="125">
        <f>IFERROR(__xludf.DUMMYFUNCTION("""COMPUTED_VALUE"""),7.0)</f>
        <v>7</v>
      </c>
      <c r="D196" s="125">
        <f>IFERROR(__xludf.DUMMYFUNCTION("""COMPUTED_VALUE"""),6.0)</f>
        <v>6</v>
      </c>
      <c r="E196" s="125">
        <f>IFERROR(__xludf.DUMMYFUNCTION("""COMPUTED_VALUE"""),5.0)</f>
        <v>5</v>
      </c>
      <c r="F196" s="125">
        <f>IFERROR(__xludf.DUMMYFUNCTION("""COMPUTED_VALUE"""),18.0)</f>
        <v>18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IFERROR(__xludf.DUMMYFUNCTION("""COMPUTED_VALUE"""),"Oscar Bonilla")</f>
        <v>Oscar Bonilla</v>
      </c>
      <c r="C197" s="125">
        <f>IFERROR(__xludf.DUMMYFUNCTION("""COMPUTED_VALUE"""),7.0)</f>
        <v>7</v>
      </c>
      <c r="D197" s="125">
        <f>IFERROR(__xludf.DUMMYFUNCTION("""COMPUTED_VALUE"""),4.0)</f>
        <v>4</v>
      </c>
      <c r="E197" s="125">
        <f>IFERROR(__xludf.DUMMYFUNCTION("""COMPUTED_VALUE"""),7.0)</f>
        <v>7</v>
      </c>
      <c r="F197" s="125">
        <f>IFERROR(__xludf.DUMMYFUNCTION("""COMPUTED_VALUE"""),18.0)</f>
        <v>18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IFERROR(__xludf.DUMMYFUNCTION("""COMPUTED_VALUE"""),"Hongyuan Wen")</f>
        <v>Hongyuan Wen</v>
      </c>
      <c r="C198" s="125">
        <f>IFERROR(__xludf.DUMMYFUNCTION("""COMPUTED_VALUE"""),5.0)</f>
        <v>5</v>
      </c>
      <c r="D198" s="125">
        <f>IFERROR(__xludf.DUMMYFUNCTION("""COMPUTED_VALUE"""),6.0)</f>
        <v>6</v>
      </c>
      <c r="E198" s="125">
        <f>IFERROR(__xludf.DUMMYFUNCTION("""COMPUTED_VALUE"""),7.0)</f>
        <v>7</v>
      </c>
      <c r="F198" s="125">
        <f>IFERROR(__xludf.DUMMYFUNCTION("""COMPUTED_VALUE"""),18.0)</f>
        <v>18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IFERROR(__xludf.DUMMYFUNCTION("""COMPUTED_VALUE"""),"Nicole Ni")</f>
        <v>Nicole Ni</v>
      </c>
      <c r="C199" s="125">
        <f>IFERROR(__xludf.DUMMYFUNCTION("""COMPUTED_VALUE"""),5.0)</f>
        <v>5</v>
      </c>
      <c r="D199" s="125">
        <f>IFERROR(__xludf.DUMMYFUNCTION("""COMPUTED_VALUE"""),4.0)</f>
        <v>4</v>
      </c>
      <c r="E199" s="125">
        <f>IFERROR(__xludf.DUMMYFUNCTION("""COMPUTED_VALUE"""),5.0)</f>
        <v>5</v>
      </c>
      <c r="F199" s="125">
        <f>IFERROR(__xludf.DUMMYFUNCTION("""COMPUTED_VALUE"""),14.0)</f>
        <v>14</v>
      </c>
      <c r="G199" s="125">
        <f>IFERROR(__xludf.DUMMYFUNCTION("""COMPUTED_VALUE"""),0.0)</f>
        <v>0</v>
      </c>
    </row>
    <row r="200">
      <c r="A200" s="117">
        <f>IFERROR(__xludf.DUMMYFUNCTION("""COMPUTED_VALUE"""),5.0)</f>
        <v>5</v>
      </c>
      <c r="B200" s="33" t="str">
        <f>IFERROR(__xludf.DUMMYFUNCTION("""COMPUTED_VALUE"""),"Cid Macaraeg")</f>
        <v>Cid Macaraeg</v>
      </c>
      <c r="C200" s="122">
        <f>IFERROR(__xludf.DUMMYFUNCTION("""COMPUTED_VALUE"""),6.0)</f>
        <v>6</v>
      </c>
      <c r="D200" s="122">
        <f>IFERROR(__xludf.DUMMYFUNCTION("""COMPUTED_VALUE"""),6.0)</f>
        <v>6</v>
      </c>
      <c r="E200" s="122">
        <f>IFERROR(__xludf.DUMMYFUNCTION("""COMPUTED_VALUE"""),6.0)</f>
        <v>6</v>
      </c>
      <c r="F200" s="122">
        <f>IFERROR(__xludf.DUMMYFUNCTION("""COMPUTED_VALUE"""),18.0)</f>
        <v>18</v>
      </c>
      <c r="G200" s="122">
        <f>IFERROR(__xludf.DUMMYFUNCTION("""COMPUTED_VALUE"""),3.0)</f>
        <v>3</v>
      </c>
    </row>
    <row r="201">
      <c r="A201" s="117">
        <f>IFERROR(__xludf.DUMMYFUNCTION("""COMPUTED_VALUE"""),5.0)</f>
        <v>5</v>
      </c>
      <c r="B201" s="33" t="str">
        <f>IFERROR(__xludf.DUMMYFUNCTION("""COMPUTED_VALUE"""),"Mauricio Palacios")</f>
        <v>Mauricio Palacios</v>
      </c>
      <c r="C201" s="122">
        <f>IFERROR(__xludf.DUMMYFUNCTION("""COMPUTED_VALUE"""),3.0)</f>
        <v>3</v>
      </c>
      <c r="D201" s="122">
        <f>IFERROR(__xludf.DUMMYFUNCTION("""COMPUTED_VALUE"""),3.0)</f>
        <v>3</v>
      </c>
      <c r="E201" s="122">
        <f>IFERROR(__xludf.DUMMYFUNCTION("""COMPUTED_VALUE"""),6.0)</f>
        <v>6</v>
      </c>
      <c r="F201" s="122">
        <f>IFERROR(__xludf.DUMMYFUNCTION("""COMPUTED_VALUE"""),12.0)</f>
        <v>12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IFERROR(__xludf.DUMMYFUNCTION("""COMPUTED_VALUE"""),"Alex Hou")</f>
        <v>Alex Hou</v>
      </c>
      <c r="C202" s="122">
        <f>IFERROR(__xludf.DUMMYFUNCTION("""COMPUTED_VALUE"""),3.0)</f>
        <v>3</v>
      </c>
      <c r="D202" s="122">
        <f>IFERROR(__xludf.DUMMYFUNCTION("""COMPUTED_VALUE"""),6.0)</f>
        <v>6</v>
      </c>
      <c r="E202" s="122">
        <f>IFERROR(__xludf.DUMMYFUNCTION("""COMPUTED_VALUE"""),1.0)</f>
        <v>1</v>
      </c>
      <c r="F202" s="122">
        <f>IFERROR(__xludf.DUMMYFUNCTION("""COMPUTED_VALUE"""),10.0)</f>
        <v>10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IFERROR(__xludf.DUMMYFUNCTION("""COMPUTED_VALUE"""),"Jimmy Awolesi")</f>
        <v>Jimmy Awolesi</v>
      </c>
      <c r="C203" s="122">
        <f>IFERROR(__xludf.DUMMYFUNCTION("""COMPUTED_VALUE"""),6.0)</f>
        <v>6</v>
      </c>
      <c r="D203" s="122">
        <f>IFERROR(__xludf.DUMMYFUNCTION("""COMPUTED_VALUE"""),3.0)</f>
        <v>3</v>
      </c>
      <c r="E203" s="122">
        <f>IFERROR(__xludf.DUMMYFUNCTION("""COMPUTED_VALUE"""),1.0)</f>
        <v>1</v>
      </c>
      <c r="F203" s="122">
        <f>IFERROR(__xludf.DUMMYFUNCTION("""COMPUTED_VALUE"""),10.0)</f>
        <v>10</v>
      </c>
      <c r="G203" s="122">
        <f>IFERROR(__xludf.DUMMYFUNCTION("""COMPUTED_VALUE"""),1.0)</f>
        <v>1</v>
      </c>
    </row>
    <row r="204">
      <c r="A204" s="123">
        <f>IFERROR(__xludf.DUMMYFUNCTION("""COMPUTED_VALUE"""),6.0)</f>
        <v>6</v>
      </c>
      <c r="B204" s="124" t="str">
        <f>IFERROR(__xludf.DUMMYFUNCTION("""COMPUTED_VALUE"""),"Coco Yan")</f>
        <v>Coco Yan</v>
      </c>
      <c r="C204" s="125">
        <f>IFERROR(__xludf.DUMMYFUNCTION("""COMPUTED_VALUE"""),2.0)</f>
        <v>2</v>
      </c>
      <c r="D204" s="125">
        <f>IFERROR(__xludf.DUMMYFUNCTION("""COMPUTED_VALUE"""),6.0)</f>
        <v>6</v>
      </c>
      <c r="E204" s="125">
        <f>IFERROR(__xludf.DUMMYFUNCTION("""COMPUTED_VALUE"""),1.0)</f>
        <v>1</v>
      </c>
      <c r="F204" s="125">
        <f>IFERROR(__xludf.DUMMYFUNCTION("""COMPUTED_VALUE"""),9.0)</f>
        <v>9</v>
      </c>
      <c r="G204" s="125">
        <f>IFERROR(__xludf.DUMMYFUNCTION("""COMPUTED_VALUE"""),1.0)</f>
        <v>1</v>
      </c>
    </row>
    <row r="205">
      <c r="A205" s="123">
        <f>IFERROR(__xludf.DUMMYFUNCTION("""COMPUTED_VALUE"""),6.0)</f>
        <v>6</v>
      </c>
      <c r="B205" s="124" t="str">
        <f>IFERROR(__xludf.DUMMYFUNCTION("""COMPUTED_VALUE"""),"Suleman Alidina")</f>
        <v>Suleman Alidina</v>
      </c>
      <c r="C205" s="125">
        <f>IFERROR(__xludf.DUMMYFUNCTION("""COMPUTED_VALUE"""),6.0)</f>
        <v>6</v>
      </c>
      <c r="D205" s="125">
        <f>IFERROR(__xludf.DUMMYFUNCTION("""COMPUTED_VALUE"""),6.0)</f>
        <v>6</v>
      </c>
      <c r="E205" s="125">
        <f>IFERROR(__xludf.DUMMYFUNCTION("""COMPUTED_VALUE"""),6.0)</f>
        <v>6</v>
      </c>
      <c r="F205" s="125">
        <f>IFERROR(__xludf.DUMMYFUNCTION("""COMPUTED_VALUE"""),18.0)</f>
        <v>18</v>
      </c>
      <c r="G205" s="125">
        <f>IFERROR(__xludf.DUMMYFUNCTION("""COMPUTED_VALUE"""),3.0)</f>
        <v>3</v>
      </c>
    </row>
    <row r="206">
      <c r="A206" s="123">
        <f>IFERROR(__xludf.DUMMYFUNCTION("""COMPUTED_VALUE"""),6.0)</f>
        <v>6</v>
      </c>
      <c r="B206" s="124" t="str">
        <f>IFERROR(__xludf.DUMMYFUNCTION("""COMPUTED_VALUE"""),"Rajesh Dorairaj")</f>
        <v>Rajesh Dorairaj</v>
      </c>
      <c r="C206" s="125">
        <f>IFERROR(__xludf.DUMMYFUNCTION("""COMPUTED_VALUE"""),6.0)</f>
        <v>6</v>
      </c>
      <c r="D206" s="125">
        <f>IFERROR(__xludf.DUMMYFUNCTION("""COMPUTED_VALUE"""),2.0)</f>
        <v>2</v>
      </c>
      <c r="E206" s="125">
        <f>IFERROR(__xludf.DUMMYFUNCTION("""COMPUTED_VALUE"""),1.0)</f>
        <v>1</v>
      </c>
      <c r="F206" s="125">
        <f>IFERROR(__xludf.DUMMYFUNCTION("""COMPUTED_VALUE"""),9.0)</f>
        <v>9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IFERROR(__xludf.DUMMYFUNCTION("""COMPUTED_VALUE"""),"Naveen Raj")</f>
        <v>Naveen Raj</v>
      </c>
      <c r="C207" s="125">
        <f>IFERROR(__xludf.DUMMYFUNCTION("""COMPUTED_VALUE"""),2.0)</f>
        <v>2</v>
      </c>
      <c r="D207" s="125">
        <f>IFERROR(__xludf.DUMMYFUNCTION("""COMPUTED_VALUE"""),2.0)</f>
        <v>2</v>
      </c>
      <c r="E207" s="125">
        <f>IFERROR(__xludf.DUMMYFUNCTION("""COMPUTED_VALUE"""),6.0)</f>
        <v>6</v>
      </c>
      <c r="F207" s="125">
        <f>IFERROR(__xludf.DUMMYFUNCTION("""COMPUTED_VALUE"""),10.0)</f>
        <v>10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IFERROR(__xludf.DUMMYFUNCTION("""COMPUTED_VALUE"""),"Vinaya Kajla")</f>
        <v>Vinaya Kajla</v>
      </c>
      <c r="C208" s="122">
        <f>IFERROR(__xludf.DUMMYFUNCTION("""COMPUTED_VALUE"""),4.0)</f>
        <v>4</v>
      </c>
      <c r="D208" s="122">
        <f>IFERROR(__xludf.DUMMYFUNCTION("""COMPUTED_VALUE"""),2.0)</f>
        <v>2</v>
      </c>
      <c r="E208" s="122">
        <f>IFERROR(__xludf.DUMMYFUNCTION("""COMPUTED_VALUE"""),4.0)</f>
        <v>4</v>
      </c>
      <c r="F208" s="122">
        <f>IFERROR(__xludf.DUMMYFUNCTION("""COMPUTED_VALUE"""),10.0)</f>
        <v>10</v>
      </c>
      <c r="G208" s="122">
        <f>IFERROR(__xludf.DUMMYFUNCTION("""COMPUTED_VALUE"""),0.0)</f>
        <v>0</v>
      </c>
    </row>
    <row r="209">
      <c r="A209" s="117">
        <f>IFERROR(__xludf.DUMMYFUNCTION("""COMPUTED_VALUE"""),7.0)</f>
        <v>7</v>
      </c>
      <c r="B209" s="33" t="str">
        <f>IFERROR(__xludf.DUMMYFUNCTION("""COMPUTED_VALUE"""),"Andrew Wen")</f>
        <v>Andrew Wen</v>
      </c>
      <c r="C209" s="122">
        <f>IFERROR(__xludf.DUMMYFUNCTION("""COMPUTED_VALUE"""),4.0)</f>
        <v>4</v>
      </c>
      <c r="D209" s="122">
        <f>IFERROR(__xludf.DUMMYFUNCTION("""COMPUTED_VALUE"""),6.0)</f>
        <v>6</v>
      </c>
      <c r="E209" s="122">
        <f>IFERROR(__xludf.DUMMYFUNCTION("""COMPUTED_VALUE"""),6.0)</f>
        <v>6</v>
      </c>
      <c r="F209" s="122">
        <f>IFERROR(__xludf.DUMMYFUNCTION("""COMPUTED_VALUE"""),16.0)</f>
        <v>16</v>
      </c>
      <c r="G209" s="122">
        <f>IFERROR(__xludf.DUMMYFUNCTION("""COMPUTED_VALUE"""),2.0)</f>
        <v>2</v>
      </c>
    </row>
    <row r="210">
      <c r="A210" s="117">
        <f>IFERROR(__xludf.DUMMYFUNCTION("""COMPUTED_VALUE"""),7.0)</f>
        <v>7</v>
      </c>
      <c r="B210" s="33" t="str">
        <f>IFERROR(__xludf.DUMMYFUNCTION("""COMPUTED_VALUE"""),"Kumar Palakeel")</f>
        <v>Kumar Palakeel</v>
      </c>
      <c r="C210" s="122">
        <f>IFERROR(__xludf.DUMMYFUNCTION("""COMPUTED_VALUE"""),6.0)</f>
        <v>6</v>
      </c>
      <c r="D210" s="122">
        <f>IFERROR(__xludf.DUMMYFUNCTION("""COMPUTED_VALUE"""),2.0)</f>
        <v>2</v>
      </c>
      <c r="E210" s="122">
        <f>IFERROR(__xludf.DUMMYFUNCTION("""COMPUTED_VALUE"""),6.0)</f>
        <v>6</v>
      </c>
      <c r="F210" s="122">
        <f>IFERROR(__xludf.DUMMYFUNCTION("""COMPUTED_VALUE"""),14.0)</f>
        <v>14</v>
      </c>
      <c r="G210" s="122">
        <f>IFERROR(__xludf.DUMMYFUNCTION("""COMPUTED_VALUE"""),2.0)</f>
        <v>2</v>
      </c>
    </row>
    <row r="211">
      <c r="A211" s="117">
        <f>IFERROR(__xludf.DUMMYFUNCTION("""COMPUTED_VALUE"""),7.0)</f>
        <v>7</v>
      </c>
      <c r="B211" s="33" t="str">
        <f>IFERROR(__xludf.DUMMYFUNCTION("""COMPUTED_VALUE"""),"Troy Wong")</f>
        <v>Troy Wong</v>
      </c>
      <c r="C211" s="122">
        <f>IFERROR(__xludf.DUMMYFUNCTION("""COMPUTED_VALUE"""),6.0)</f>
        <v>6</v>
      </c>
      <c r="D211" s="122">
        <f>IFERROR(__xludf.DUMMYFUNCTION("""COMPUTED_VALUE"""),6.0)</f>
        <v>6</v>
      </c>
      <c r="E211" s="122">
        <f>IFERROR(__xludf.DUMMYFUNCTION("""COMPUTED_VALUE"""),4.0)</f>
        <v>4</v>
      </c>
      <c r="F211" s="122">
        <f>IFERROR(__xludf.DUMMYFUNCTION("""COMPUTED_VALUE"""),16.0)</f>
        <v>16</v>
      </c>
      <c r="G211" s="122">
        <f>IFERROR(__xludf.DUMMYFUNCTION("""COMPUTED_VALUE"""),2.0)</f>
        <v>2</v>
      </c>
    </row>
    <row r="212">
      <c r="A212" s="123">
        <f>IFERROR(__xludf.DUMMYFUNCTION("""COMPUTED_VALUE"""),8.0)</f>
        <v>8</v>
      </c>
      <c r="B212" s="124" t="str">
        <f>IFERROR(__xludf.DUMMYFUNCTION("""COMPUTED_VALUE"""),"Susanta Mishra")</f>
        <v>Susanta Mishra</v>
      </c>
      <c r="C212" s="125">
        <f>IFERROR(__xludf.DUMMYFUNCTION("""COMPUTED_VALUE"""),6.0)</f>
        <v>6</v>
      </c>
      <c r="D212" s="125">
        <f>IFERROR(__xludf.DUMMYFUNCTION("""COMPUTED_VALUE"""),1.0)</f>
        <v>1</v>
      </c>
      <c r="E212" s="125">
        <f>IFERROR(__xludf.DUMMYFUNCTION("""COMPUTED_VALUE"""),6.0)</f>
        <v>6</v>
      </c>
      <c r="F212" s="125">
        <f>IFERROR(__xludf.DUMMYFUNCTION("""COMPUTED_VALUE"""),13.0)</f>
        <v>13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IFERROR(__xludf.DUMMYFUNCTION("""COMPUTED_VALUE"""),"James Phan")</f>
        <v>James Phan</v>
      </c>
      <c r="C213" s="125">
        <f>IFERROR(__xludf.DUMMYFUNCTION("""COMPUTED_VALUE"""),0.0)</f>
        <v>0</v>
      </c>
      <c r="D213" s="125">
        <f>IFERROR(__xludf.DUMMYFUNCTION("""COMPUTED_VALUE"""),6.0)</f>
        <v>6</v>
      </c>
      <c r="E213" s="125">
        <f>IFERROR(__xludf.DUMMYFUNCTION("""COMPUTED_VALUE"""),6.0)</f>
        <v>6</v>
      </c>
      <c r="F213" s="125">
        <f>IFERROR(__xludf.DUMMYFUNCTION("""COMPUTED_VALUE"""),12.0)</f>
        <v>12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IFERROR(__xludf.DUMMYFUNCTION("""COMPUTED_VALUE"""),"Joyce Zhu")</f>
        <v>Joyce Zhu</v>
      </c>
      <c r="C214" s="125">
        <f>IFERROR(__xludf.DUMMYFUNCTION("""COMPUTED_VALUE"""),0.0)</f>
        <v>0</v>
      </c>
      <c r="D214" s="125">
        <f>IFERROR(__xludf.DUMMYFUNCTION("""COMPUTED_VALUE"""),1.0)</f>
        <v>1</v>
      </c>
      <c r="E214" s="125">
        <f>IFERROR(__xludf.DUMMYFUNCTION("""COMPUTED_VALUE"""),0.0)</f>
        <v>0</v>
      </c>
      <c r="F214" s="125">
        <f>IFERROR(__xludf.DUMMYFUNCTION("""COMPUTED_VALUE"""),1.0)</f>
        <v>1</v>
      </c>
      <c r="G214" s="125">
        <f>IFERROR(__xludf.DUMMYFUNCTION("""COMPUTED_VALUE"""),0.0)</f>
        <v>0</v>
      </c>
    </row>
    <row r="215">
      <c r="A215" s="123">
        <f>IFERROR(__xludf.DUMMYFUNCTION("""COMPUTED_VALUE"""),8.0)</f>
        <v>8</v>
      </c>
      <c r="B215" s="124" t="str">
        <f>IFERROR(__xludf.DUMMYFUNCTION("""COMPUTED_VALUE"""),"Santosh Sundaresan")</f>
        <v>Santosh Sundaresan</v>
      </c>
      <c r="C215" s="125">
        <f>IFERROR(__xludf.DUMMYFUNCTION("""COMPUTED_VALUE"""),6.0)</f>
        <v>6</v>
      </c>
      <c r="D215" s="125">
        <f>IFERROR(__xludf.DUMMYFUNCTION("""COMPUTED_VALUE"""),6.0)</f>
        <v>6</v>
      </c>
      <c r="E215" s="125">
        <f>IFERROR(__xludf.DUMMYFUNCTION("""COMPUTED_VALUE"""),0.0)</f>
        <v>0</v>
      </c>
      <c r="F215" s="125">
        <f>IFERROR(__xludf.DUMMYFUNCTION("""COMPUTED_VALUE"""),12.0)</f>
        <v>12</v>
      </c>
      <c r="G215" s="125">
        <f>IFERROR(__xludf.DUMMYFUNCTION("""COMPUTED_VALUE"""),2.0)</f>
        <v>2</v>
      </c>
    </row>
    <row r="216">
      <c r="A216" s="117">
        <f>IFERROR(__xludf.DUMMYFUNCTION("""COMPUTED_VALUE"""),9.0)</f>
        <v>9</v>
      </c>
      <c r="B216" s="33" t="str">
        <f>IFERROR(__xludf.DUMMYFUNCTION("""COMPUTED_VALUE"""),"Adrian Tay")</f>
        <v>Adrian Tay</v>
      </c>
      <c r="C216" s="122">
        <f>IFERROR(__xludf.DUMMYFUNCTION("""COMPUTED_VALUE"""),6.0)</f>
        <v>6</v>
      </c>
      <c r="D216" s="122">
        <f>IFERROR(__xludf.DUMMYFUNCTION("""COMPUTED_VALUE"""),6.0)</f>
        <v>6</v>
      </c>
      <c r="E216" s="122">
        <f>IFERROR(__xludf.DUMMYFUNCTION("""COMPUTED_VALUE"""),7.0)</f>
        <v>7</v>
      </c>
      <c r="F216" s="122">
        <f>IFERROR(__xludf.DUMMYFUNCTION("""COMPUTED_VALUE"""),19.0)</f>
        <v>19</v>
      </c>
      <c r="G216" s="122">
        <f>IFERROR(__xludf.DUMMYFUNCTION("""COMPUTED_VALUE"""),3.0)</f>
        <v>3</v>
      </c>
    </row>
    <row r="217">
      <c r="A217" s="117">
        <f>IFERROR(__xludf.DUMMYFUNCTION("""COMPUTED_VALUE"""),9.0)</f>
        <v>9</v>
      </c>
      <c r="B217" s="33" t="str">
        <f>IFERROR(__xludf.DUMMYFUNCTION("""COMPUTED_VALUE"""),"Pulkit Mathur")</f>
        <v>Pulkit Mathur</v>
      </c>
      <c r="C217" s="122">
        <f>IFERROR(__xludf.DUMMYFUNCTION("""COMPUTED_VALUE"""),6.0)</f>
        <v>6</v>
      </c>
      <c r="D217" s="122">
        <f>IFERROR(__xludf.DUMMYFUNCTION("""COMPUTED_VALUE"""),3.0)</f>
        <v>3</v>
      </c>
      <c r="E217" s="122">
        <f>IFERROR(__xludf.DUMMYFUNCTION("""COMPUTED_VALUE"""),6.0)</f>
        <v>6</v>
      </c>
      <c r="F217" s="122">
        <f>IFERROR(__xludf.DUMMYFUNCTION("""COMPUTED_VALUE"""),15.0)</f>
        <v>15</v>
      </c>
      <c r="G217" s="122">
        <f>IFERROR(__xludf.DUMMYFUNCTION("""COMPUTED_VALUE"""),1.0)</f>
        <v>1</v>
      </c>
    </row>
    <row r="218">
      <c r="A218" s="117">
        <f>IFERROR(__xludf.DUMMYFUNCTION("""COMPUTED_VALUE"""),9.0)</f>
        <v>9</v>
      </c>
      <c r="B218" s="33" t="str">
        <f>IFERROR(__xludf.DUMMYFUNCTION("""COMPUTED_VALUE"""),"Lam Bui")</f>
        <v>Lam Bui</v>
      </c>
      <c r="C218" s="122">
        <f>IFERROR(__xludf.DUMMYFUNCTION("""COMPUTED_VALUE"""),1.0)</f>
        <v>1</v>
      </c>
      <c r="D218" s="122">
        <f>IFERROR(__xludf.DUMMYFUNCTION("""COMPUTED_VALUE"""),3.0)</f>
        <v>3</v>
      </c>
      <c r="E218" s="122">
        <f>IFERROR(__xludf.DUMMYFUNCTION("""COMPUTED_VALUE"""),7.0)</f>
        <v>7</v>
      </c>
      <c r="F218" s="122">
        <f>IFERROR(__xludf.DUMMYFUNCTION("""COMPUTED_VALUE"""),11.0)</f>
        <v>11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IFERROR(__xludf.DUMMYFUNCTION("""COMPUTED_VALUE"""),"David Shin")</f>
        <v>David Shin</v>
      </c>
      <c r="C219" s="122">
        <f>IFERROR(__xludf.DUMMYFUNCTION("""COMPUTED_VALUE"""),1.0)</f>
        <v>1</v>
      </c>
      <c r="D219" s="122">
        <f>IFERROR(__xludf.DUMMYFUNCTION("""COMPUTED_VALUE"""),6.0)</f>
        <v>6</v>
      </c>
      <c r="E219" s="122">
        <f>IFERROR(__xludf.DUMMYFUNCTION("""COMPUTED_VALUE"""),6.0)</f>
        <v>6</v>
      </c>
      <c r="F219" s="122">
        <f>IFERROR(__xludf.DUMMYFUNCTION("""COMPUTED_VALUE"""),13.0)</f>
        <v>13</v>
      </c>
      <c r="G219" s="122">
        <f>IFERROR(__xludf.DUMMYFUNCTION("""COMPUTED_VALUE"""),1.0)</f>
        <v>1</v>
      </c>
    </row>
    <row r="220">
      <c r="A220" s="123">
        <f>IFERROR(__xludf.DUMMYFUNCTION("""COMPUTED_VALUE"""),10.0)</f>
        <v>10</v>
      </c>
      <c r="B220" s="124" t="str">
        <f>IFERROR(__xludf.DUMMYFUNCTION("""COMPUTED_VALUE"""),"Rajasekar Ramasamy")</f>
        <v>Rajasekar Ramasamy</v>
      </c>
      <c r="C220" s="125">
        <f>IFERROR(__xludf.DUMMYFUNCTION("""COMPUTED_VALUE"""),3.0)</f>
        <v>3</v>
      </c>
      <c r="D220" s="125">
        <f>IFERROR(__xludf.DUMMYFUNCTION("""COMPUTED_VALUE"""),6.0)</f>
        <v>6</v>
      </c>
      <c r="E220" s="125">
        <f>IFERROR(__xludf.DUMMYFUNCTION("""COMPUTED_VALUE"""),6.0)</f>
        <v>6</v>
      </c>
      <c r="F220" s="125">
        <f>IFERROR(__xludf.DUMMYFUNCTION("""COMPUTED_VALUE"""),15.0)</f>
        <v>15</v>
      </c>
      <c r="G220" s="125">
        <f>IFERROR(__xludf.DUMMYFUNCTION("""COMPUTED_VALUE"""),2.0)</f>
        <v>2</v>
      </c>
    </row>
    <row r="221">
      <c r="A221" s="123">
        <f>IFERROR(__xludf.DUMMYFUNCTION("""COMPUTED_VALUE"""),10.0)</f>
        <v>10</v>
      </c>
      <c r="B221" s="124" t="str">
        <f>IFERROR(__xludf.DUMMYFUNCTION("""COMPUTED_VALUE"""),"Erik Hoeckmann")</f>
        <v>Erik Hoeckmann</v>
      </c>
      <c r="C221" s="125">
        <f>IFERROR(__xludf.DUMMYFUNCTION("""COMPUTED_VALUE"""),3.0)</f>
        <v>3</v>
      </c>
      <c r="D221" s="125">
        <f>IFERROR(__xludf.DUMMYFUNCTION("""COMPUTED_VALUE"""),4.0)</f>
        <v>4</v>
      </c>
      <c r="E221" s="125">
        <f>IFERROR(__xludf.DUMMYFUNCTION("""COMPUTED_VALUE"""),3.0)</f>
        <v>3</v>
      </c>
      <c r="F221" s="125">
        <f>IFERROR(__xludf.DUMMYFUNCTION("""COMPUTED_VALUE"""),10.0)</f>
        <v>10</v>
      </c>
      <c r="G221" s="125">
        <f>IFERROR(__xludf.DUMMYFUNCTION("""COMPUTED_VALUE"""),0.0)</f>
        <v>0</v>
      </c>
    </row>
    <row r="222">
      <c r="A222" s="123">
        <f>IFERROR(__xludf.DUMMYFUNCTION("""COMPUTED_VALUE"""),10.0)</f>
        <v>10</v>
      </c>
      <c r="B222" s="124" t="str">
        <f>IFERROR(__xludf.DUMMYFUNCTION("""COMPUTED_VALUE"""),"Jonathan Phan")</f>
        <v>Jonathan Phan</v>
      </c>
      <c r="C222" s="125">
        <f>IFERROR(__xludf.DUMMYFUNCTION("""COMPUTED_VALUE"""),6.0)</f>
        <v>6</v>
      </c>
      <c r="D222" s="125">
        <f>IFERROR(__xludf.DUMMYFUNCTION("""COMPUTED_VALUE"""),4.0)</f>
        <v>4</v>
      </c>
      <c r="E222" s="125">
        <f>IFERROR(__xludf.DUMMYFUNCTION("""COMPUTED_VALUE"""),6.0)</f>
        <v>6</v>
      </c>
      <c r="F222" s="125">
        <f>IFERROR(__xludf.DUMMYFUNCTION("""COMPUTED_VALUE"""),16.0)</f>
        <v>16</v>
      </c>
      <c r="G222" s="125">
        <f>IFERROR(__xludf.DUMMYFUNCTION("""COMPUTED_VALUE"""),2.0)</f>
        <v>2</v>
      </c>
    </row>
    <row r="223">
      <c r="A223" s="123">
        <f>IFERROR(__xludf.DUMMYFUNCTION("""COMPUTED_VALUE"""),10.0)</f>
        <v>10</v>
      </c>
      <c r="B223" s="124" t="str">
        <f>IFERROR(__xludf.DUMMYFUNCTION("""COMPUTED_VALUE"""),"Matthew Huang")</f>
        <v>Matthew Huang</v>
      </c>
      <c r="C223" s="125">
        <f>IFERROR(__xludf.DUMMYFUNCTION("""COMPUTED_VALUE"""),6.0)</f>
        <v>6</v>
      </c>
      <c r="D223" s="125">
        <f>IFERROR(__xludf.DUMMYFUNCTION("""COMPUTED_VALUE"""),6.0)</f>
        <v>6</v>
      </c>
      <c r="E223" s="125">
        <f>IFERROR(__xludf.DUMMYFUNCTION("""COMPUTED_VALUE"""),3.0)</f>
        <v>3</v>
      </c>
      <c r="F223" s="125">
        <f>IFERROR(__xludf.DUMMYFUNCTION("""COMPUTED_VALUE"""),15.0)</f>
        <v>15</v>
      </c>
      <c r="G223" s="125">
        <f>IFERROR(__xludf.DUMMYFUNCTION("""COMPUTED_VALUE"""),2.0)</f>
        <v>2</v>
      </c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45941.0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15.0</v>
      </c>
      <c r="E2" s="1"/>
      <c r="F2" s="1"/>
      <c r="R2" s="17"/>
      <c r="AC2" s="21" t="str">
        <f>text(C1-7,"mm/dd/yy")</f>
        <v>10/04/25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205.0</v>
      </c>
      <c r="D5" s="34">
        <v>24.0</v>
      </c>
      <c r="E5" s="35">
        <f t="shared" ref="E5:E69" si="2">if(S5&gt;0,(C5-(V5*9)-(T5*13))/S5,0)</f>
        <v>16</v>
      </c>
      <c r="F5" s="95">
        <v>1.0</v>
      </c>
      <c r="G5" s="96">
        <v>9.0</v>
      </c>
      <c r="H5" s="97">
        <v>0.0</v>
      </c>
      <c r="I5" s="96">
        <v>6.0</v>
      </c>
      <c r="J5" s="96">
        <v>6.0</v>
      </c>
      <c r="K5" s="96">
        <v>7.0</v>
      </c>
      <c r="L5" s="98">
        <v>19.0</v>
      </c>
      <c r="M5" s="96">
        <v>3.0</v>
      </c>
      <c r="N5" s="34">
        <f t="shared" ref="N5:O5" si="1">C5+L5</f>
        <v>224</v>
      </c>
      <c r="O5" s="34">
        <f t="shared" si="1"/>
        <v>27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10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5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84</v>
      </c>
      <c r="C6" s="34">
        <v>197.0</v>
      </c>
      <c r="D6" s="34">
        <v>22.0</v>
      </c>
      <c r="E6" s="35">
        <f t="shared" si="2"/>
        <v>14.16666667</v>
      </c>
      <c r="F6" s="95">
        <v>2.0</v>
      </c>
      <c r="G6" s="96">
        <v>9.0</v>
      </c>
      <c r="H6" s="97">
        <v>0.0</v>
      </c>
      <c r="I6" s="96">
        <v>6.0</v>
      </c>
      <c r="J6" s="96">
        <v>3.0</v>
      </c>
      <c r="K6" s="96">
        <v>6.0</v>
      </c>
      <c r="L6" s="98">
        <v>15.0</v>
      </c>
      <c r="M6" s="96">
        <v>1.0</v>
      </c>
      <c r="N6" s="34">
        <f t="shared" ref="N6:O6" si="3">C6+L6</f>
        <v>212</v>
      </c>
      <c r="O6" s="34">
        <f t="shared" si="3"/>
        <v>23</v>
      </c>
      <c r="P6" s="49" t="s">
        <v>58</v>
      </c>
      <c r="Q6" s="49" t="s">
        <v>58</v>
      </c>
      <c r="R6" s="49"/>
      <c r="S6" s="50">
        <f t="shared" si="4"/>
        <v>12</v>
      </c>
      <c r="T6" s="52">
        <f t="shared" si="5"/>
        <v>0</v>
      </c>
      <c r="U6" s="52"/>
      <c r="V6" s="50">
        <f t="shared" si="6"/>
        <v>3</v>
      </c>
      <c r="W6" s="52">
        <f t="shared" si="7"/>
        <v>1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197.0</v>
      </c>
      <c r="D7" s="34">
        <v>19.0</v>
      </c>
      <c r="E7" s="35">
        <f t="shared" si="2"/>
        <v>14.16666667</v>
      </c>
      <c r="F7" s="95">
        <v>2.0</v>
      </c>
      <c r="G7" s="96">
        <v>9.0</v>
      </c>
      <c r="H7" s="97">
        <v>0.0</v>
      </c>
      <c r="I7" s="96">
        <v>1.0</v>
      </c>
      <c r="J7" s="96">
        <v>3.0</v>
      </c>
      <c r="K7" s="96">
        <v>7.0</v>
      </c>
      <c r="L7" s="98">
        <v>11.0</v>
      </c>
      <c r="M7" s="96">
        <v>1.0</v>
      </c>
      <c r="N7" s="34">
        <f t="shared" ref="N7:O7" si="11">C7+L7</f>
        <v>208</v>
      </c>
      <c r="O7" s="34">
        <f t="shared" si="11"/>
        <v>20</v>
      </c>
      <c r="P7" s="49" t="s">
        <v>58</v>
      </c>
      <c r="Q7" s="49" t="s">
        <v>58</v>
      </c>
      <c r="R7" s="49"/>
      <c r="S7" s="50">
        <f t="shared" si="4"/>
        <v>12</v>
      </c>
      <c r="T7" s="52">
        <f t="shared" si="5"/>
        <v>0</v>
      </c>
      <c r="U7" s="52"/>
      <c r="V7" s="50">
        <f t="shared" si="6"/>
        <v>3</v>
      </c>
      <c r="W7" s="52">
        <f t="shared" si="7"/>
        <v>-1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94</v>
      </c>
      <c r="C8" s="34">
        <v>196.0</v>
      </c>
      <c r="D8" s="34">
        <v>19.0</v>
      </c>
      <c r="E8" s="35">
        <f t="shared" si="2"/>
        <v>13.35714286</v>
      </c>
      <c r="F8" s="95">
        <v>1.0</v>
      </c>
      <c r="G8" s="96">
        <v>9.0</v>
      </c>
      <c r="H8" s="97">
        <v>0.0</v>
      </c>
      <c r="I8" s="96">
        <v>1.0</v>
      </c>
      <c r="J8" s="96">
        <v>6.0</v>
      </c>
      <c r="K8" s="96">
        <v>6.0</v>
      </c>
      <c r="L8" s="98">
        <v>13.0</v>
      </c>
      <c r="M8" s="96">
        <v>1.0</v>
      </c>
      <c r="N8" s="34">
        <f t="shared" ref="N8:O8" si="13">C8+L8</f>
        <v>209</v>
      </c>
      <c r="O8" s="34">
        <f t="shared" si="13"/>
        <v>20</v>
      </c>
      <c r="P8" s="49" t="s">
        <v>58</v>
      </c>
      <c r="Q8" s="49" t="s">
        <v>58</v>
      </c>
      <c r="R8" s="49"/>
      <c r="S8" s="50">
        <f t="shared" si="4"/>
        <v>14</v>
      </c>
      <c r="T8" s="52">
        <f t="shared" si="5"/>
        <v>0</v>
      </c>
      <c r="U8" s="52"/>
      <c r="V8" s="50">
        <f t="shared" si="6"/>
        <v>1</v>
      </c>
      <c r="W8" s="52">
        <f t="shared" si="7"/>
        <v>2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113</v>
      </c>
      <c r="C9" s="34">
        <v>192.0</v>
      </c>
      <c r="D9" s="34">
        <v>17.0</v>
      </c>
      <c r="E9" s="35">
        <f t="shared" si="2"/>
        <v>14.18181818</v>
      </c>
      <c r="F9" s="95">
        <v>1.0</v>
      </c>
      <c r="G9" s="96">
        <v>1.0</v>
      </c>
      <c r="H9" s="97">
        <v>0.0</v>
      </c>
      <c r="I9" s="96">
        <v>6.0</v>
      </c>
      <c r="J9" s="96">
        <v>4.0</v>
      </c>
      <c r="K9" s="96">
        <v>1.0</v>
      </c>
      <c r="L9" s="98">
        <v>11.0</v>
      </c>
      <c r="M9" s="96">
        <v>1.0</v>
      </c>
      <c r="N9" s="34">
        <f t="shared" ref="N9:O9" si="14">C9+L9</f>
        <v>203</v>
      </c>
      <c r="O9" s="34">
        <f t="shared" si="14"/>
        <v>18</v>
      </c>
      <c r="P9" s="49" t="s">
        <v>58</v>
      </c>
      <c r="Q9" s="49" t="s">
        <v>58</v>
      </c>
      <c r="R9" s="49"/>
      <c r="S9" s="50">
        <f t="shared" si="4"/>
        <v>11</v>
      </c>
      <c r="T9" s="52">
        <f t="shared" si="5"/>
        <v>0</v>
      </c>
      <c r="U9" s="52"/>
      <c r="V9" s="50">
        <f t="shared" si="6"/>
        <v>4</v>
      </c>
      <c r="W9" s="52">
        <f t="shared" si="7"/>
        <v>3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107</v>
      </c>
      <c r="C10" s="34">
        <v>191.0</v>
      </c>
      <c r="D10" s="34">
        <v>19.0</v>
      </c>
      <c r="E10" s="35">
        <f t="shared" si="2"/>
        <v>13.72727273</v>
      </c>
      <c r="F10" s="95">
        <v>2.0</v>
      </c>
      <c r="G10" s="96">
        <v>1.0</v>
      </c>
      <c r="H10" s="97">
        <v>0.0</v>
      </c>
      <c r="I10" s="96">
        <v>6.0</v>
      </c>
      <c r="J10" s="96">
        <v>6.0</v>
      </c>
      <c r="K10" s="96">
        <v>6.0</v>
      </c>
      <c r="L10" s="98">
        <v>18.0</v>
      </c>
      <c r="M10" s="96">
        <v>3.0</v>
      </c>
      <c r="N10" s="34">
        <f t="shared" ref="N10:O10" si="15">C10+L10</f>
        <v>209</v>
      </c>
      <c r="O10" s="34">
        <f t="shared" si="15"/>
        <v>22</v>
      </c>
      <c r="P10" s="49" t="s">
        <v>58</v>
      </c>
      <c r="Q10" s="49" t="s">
        <v>58</v>
      </c>
      <c r="R10" s="49"/>
      <c r="S10" s="50">
        <f t="shared" si="4"/>
        <v>11</v>
      </c>
      <c r="T10" s="52">
        <f t="shared" si="5"/>
        <v>1</v>
      </c>
      <c r="U10" s="52"/>
      <c r="V10" s="50">
        <f t="shared" si="6"/>
        <v>3</v>
      </c>
      <c r="W10" s="52">
        <f t="shared" si="7"/>
        <v>-2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103</v>
      </c>
      <c r="C11" s="34">
        <v>191.0</v>
      </c>
      <c r="D11" s="34">
        <v>15.0</v>
      </c>
      <c r="E11" s="35">
        <f t="shared" si="2"/>
        <v>13.33333333</v>
      </c>
      <c r="F11" s="95">
        <v>3.0</v>
      </c>
      <c r="G11" s="96">
        <v>0.0</v>
      </c>
      <c r="H11" s="97">
        <v>9.0</v>
      </c>
      <c r="I11" s="96">
        <v>0.0</v>
      </c>
      <c r="J11" s="96">
        <v>0.0</v>
      </c>
      <c r="K11" s="96">
        <v>0.0</v>
      </c>
      <c r="L11" s="98">
        <v>9.0</v>
      </c>
      <c r="M11" s="96">
        <v>0.0</v>
      </c>
      <c r="N11" s="34">
        <f t="shared" ref="N11:O11" si="16">C11+L11</f>
        <v>200</v>
      </c>
      <c r="O11" s="34">
        <f t="shared" si="16"/>
        <v>15</v>
      </c>
      <c r="P11" s="49" t="s">
        <v>58</v>
      </c>
      <c r="Q11" s="49" t="s">
        <v>58</v>
      </c>
      <c r="R11" s="49"/>
      <c r="S11" s="50">
        <f t="shared" si="4"/>
        <v>12</v>
      </c>
      <c r="T11" s="52">
        <f t="shared" si="5"/>
        <v>1</v>
      </c>
      <c r="U11" s="52"/>
      <c r="V11" s="50">
        <f t="shared" si="6"/>
        <v>2</v>
      </c>
      <c r="W11" s="52">
        <f t="shared" si="7"/>
        <v>4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98</v>
      </c>
      <c r="C12" s="34">
        <v>189.0</v>
      </c>
      <c r="D12" s="34">
        <v>23.0</v>
      </c>
      <c r="E12" s="35">
        <f t="shared" si="2"/>
        <v>12.85714286</v>
      </c>
      <c r="F12" s="95">
        <v>1.0</v>
      </c>
      <c r="G12" s="96">
        <v>1.0</v>
      </c>
      <c r="H12" s="97">
        <v>0.0</v>
      </c>
      <c r="I12" s="96">
        <v>4.0</v>
      </c>
      <c r="J12" s="96">
        <v>6.0</v>
      </c>
      <c r="K12" s="96">
        <v>1.0</v>
      </c>
      <c r="L12" s="98">
        <v>11.0</v>
      </c>
      <c r="M12" s="96">
        <v>1.0</v>
      </c>
      <c r="N12" s="34">
        <f t="shared" ref="N12:O12" si="17">C12+L12</f>
        <v>200</v>
      </c>
      <c r="O12" s="34">
        <f t="shared" si="17"/>
        <v>24</v>
      </c>
      <c r="P12" s="49" t="s">
        <v>58</v>
      </c>
      <c r="Q12" s="49" t="s">
        <v>58</v>
      </c>
      <c r="R12" s="49"/>
      <c r="S12" s="50">
        <f t="shared" si="4"/>
        <v>14</v>
      </c>
      <c r="T12" s="52">
        <f t="shared" si="5"/>
        <v>0</v>
      </c>
      <c r="U12" s="52"/>
      <c r="V12" s="50">
        <f t="shared" si="6"/>
        <v>1</v>
      </c>
      <c r="W12" s="52">
        <f t="shared" si="7"/>
        <v>-1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90</v>
      </c>
      <c r="C13" s="34">
        <v>189.0</v>
      </c>
      <c r="D13" s="34">
        <v>21.0</v>
      </c>
      <c r="E13" s="35">
        <f t="shared" si="2"/>
        <v>12.84615385</v>
      </c>
      <c r="F13" s="95">
        <v>1.0</v>
      </c>
      <c r="G13" s="96">
        <v>1.0</v>
      </c>
      <c r="H13" s="97">
        <v>0.0</v>
      </c>
      <c r="I13" s="96">
        <v>4.0</v>
      </c>
      <c r="J13" s="96">
        <v>4.0</v>
      </c>
      <c r="K13" s="96">
        <v>6.0</v>
      </c>
      <c r="L13" s="98">
        <v>14.0</v>
      </c>
      <c r="M13" s="96">
        <v>1.0</v>
      </c>
      <c r="N13" s="34">
        <f t="shared" ref="N13:O13" si="18">C13+L13</f>
        <v>203</v>
      </c>
      <c r="O13" s="34">
        <f t="shared" si="18"/>
        <v>22</v>
      </c>
      <c r="P13" s="49" t="s">
        <v>58</v>
      </c>
      <c r="Q13" s="49" t="s">
        <v>58</v>
      </c>
      <c r="R13" s="49"/>
      <c r="S13" s="50">
        <f t="shared" si="4"/>
        <v>13</v>
      </c>
      <c r="T13" s="52">
        <f t="shared" si="5"/>
        <v>1</v>
      </c>
      <c r="U13" s="52"/>
      <c r="V13" s="50">
        <f t="shared" si="6"/>
        <v>1</v>
      </c>
      <c r="W13" s="52">
        <f t="shared" si="7"/>
        <v>-4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91</v>
      </c>
      <c r="C14" s="34">
        <v>189.0</v>
      </c>
      <c r="D14" s="34">
        <v>21.0</v>
      </c>
      <c r="E14" s="35">
        <f t="shared" si="2"/>
        <v>12.84615385</v>
      </c>
      <c r="F14" s="95">
        <v>1.0</v>
      </c>
      <c r="G14" s="96">
        <v>10.0</v>
      </c>
      <c r="H14" s="97">
        <v>0.0</v>
      </c>
      <c r="I14" s="96">
        <v>3.0</v>
      </c>
      <c r="J14" s="96">
        <v>6.0</v>
      </c>
      <c r="K14" s="96">
        <v>6.0</v>
      </c>
      <c r="L14" s="98">
        <v>15.0</v>
      </c>
      <c r="M14" s="96">
        <v>2.0</v>
      </c>
      <c r="N14" s="34">
        <f t="shared" ref="N14:O14" si="19">C14+L14</f>
        <v>204</v>
      </c>
      <c r="O14" s="34">
        <f t="shared" si="19"/>
        <v>23</v>
      </c>
      <c r="P14" s="49" t="s">
        <v>58</v>
      </c>
      <c r="Q14" s="49" t="s">
        <v>58</v>
      </c>
      <c r="R14" s="49"/>
      <c r="S14" s="50">
        <f t="shared" si="4"/>
        <v>13</v>
      </c>
      <c r="T14" s="52">
        <f t="shared" si="5"/>
        <v>1</v>
      </c>
      <c r="U14" s="52"/>
      <c r="V14" s="50">
        <f t="shared" si="6"/>
        <v>1</v>
      </c>
      <c r="W14" s="52">
        <f t="shared" si="7"/>
        <v>2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109</v>
      </c>
      <c r="C15" s="34">
        <v>188.0</v>
      </c>
      <c r="D15" s="34">
        <v>18.0</v>
      </c>
      <c r="E15" s="35">
        <f t="shared" si="2"/>
        <v>13.41666667</v>
      </c>
      <c r="F15" s="95">
        <v>1.0</v>
      </c>
      <c r="G15" s="96">
        <v>10.0</v>
      </c>
      <c r="H15" s="97">
        <v>0.0</v>
      </c>
      <c r="I15" s="96">
        <v>3.0</v>
      </c>
      <c r="J15" s="96">
        <v>4.0</v>
      </c>
      <c r="K15" s="96">
        <v>3.0</v>
      </c>
      <c r="L15" s="98">
        <v>10.0</v>
      </c>
      <c r="M15" s="96">
        <v>0.0</v>
      </c>
      <c r="N15" s="34">
        <f t="shared" ref="N15:O15" si="20">C15+L15</f>
        <v>198</v>
      </c>
      <c r="O15" s="34">
        <f t="shared" si="20"/>
        <v>18</v>
      </c>
      <c r="P15" s="49" t="s">
        <v>58</v>
      </c>
      <c r="Q15" s="49" t="s">
        <v>58</v>
      </c>
      <c r="R15" s="49"/>
      <c r="S15" s="50">
        <f t="shared" si="4"/>
        <v>12</v>
      </c>
      <c r="T15" s="52">
        <f t="shared" si="5"/>
        <v>0</v>
      </c>
      <c r="U15" s="52"/>
      <c r="V15" s="50">
        <f t="shared" si="6"/>
        <v>3</v>
      </c>
      <c r="W15" s="52">
        <f t="shared" si="7"/>
        <v>-1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128</v>
      </c>
      <c r="C16" s="34">
        <v>188.0</v>
      </c>
      <c r="D16" s="34">
        <v>18.0</v>
      </c>
      <c r="E16" s="35">
        <f t="shared" si="2"/>
        <v>13.07692308</v>
      </c>
      <c r="F16" s="95">
        <v>1.0</v>
      </c>
      <c r="G16" s="96">
        <v>10.0</v>
      </c>
      <c r="H16" s="97">
        <v>0.0</v>
      </c>
      <c r="I16" s="96">
        <v>6.0</v>
      </c>
      <c r="J16" s="96">
        <v>4.0</v>
      </c>
      <c r="K16" s="96">
        <v>6.0</v>
      </c>
      <c r="L16" s="98">
        <v>16.0</v>
      </c>
      <c r="M16" s="96">
        <v>2.0</v>
      </c>
      <c r="N16" s="34">
        <f t="shared" ref="N16:O16" si="21">C16+L16</f>
        <v>204</v>
      </c>
      <c r="O16" s="34">
        <f t="shared" si="21"/>
        <v>20</v>
      </c>
      <c r="P16" s="49" t="s">
        <v>58</v>
      </c>
      <c r="Q16" s="49" t="s">
        <v>58</v>
      </c>
      <c r="R16" s="49"/>
      <c r="S16" s="50">
        <f t="shared" si="4"/>
        <v>13</v>
      </c>
      <c r="T16" s="52">
        <f t="shared" si="5"/>
        <v>0</v>
      </c>
      <c r="U16" s="52"/>
      <c r="V16" s="50">
        <f t="shared" si="6"/>
        <v>2</v>
      </c>
      <c r="W16" s="52">
        <f t="shared" si="7"/>
        <v>2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134</v>
      </c>
      <c r="C17" s="34">
        <v>187.0</v>
      </c>
      <c r="D17" s="34">
        <v>19.0</v>
      </c>
      <c r="E17" s="35">
        <f t="shared" si="2"/>
        <v>15.5</v>
      </c>
      <c r="F17" s="95">
        <v>1.0</v>
      </c>
      <c r="G17" s="96">
        <v>10.0</v>
      </c>
      <c r="H17" s="97">
        <v>0.0</v>
      </c>
      <c r="I17" s="96">
        <v>6.0</v>
      </c>
      <c r="J17" s="96">
        <v>6.0</v>
      </c>
      <c r="K17" s="96">
        <v>3.0</v>
      </c>
      <c r="L17" s="98">
        <v>15.0</v>
      </c>
      <c r="M17" s="96">
        <v>2.0</v>
      </c>
      <c r="N17" s="34">
        <f t="shared" ref="N17:O17" si="22">C17+L17</f>
        <v>202</v>
      </c>
      <c r="O17" s="34">
        <f t="shared" si="22"/>
        <v>21</v>
      </c>
      <c r="P17" s="49" t="s">
        <v>58</v>
      </c>
      <c r="Q17" s="49" t="s">
        <v>58</v>
      </c>
      <c r="R17" s="49"/>
      <c r="S17" s="50">
        <f t="shared" si="4"/>
        <v>8</v>
      </c>
      <c r="T17" s="52">
        <f t="shared" si="5"/>
        <v>0</v>
      </c>
      <c r="U17" s="52"/>
      <c r="V17" s="50">
        <f t="shared" si="6"/>
        <v>7</v>
      </c>
      <c r="W17" s="52">
        <f t="shared" si="7"/>
        <v>3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67</v>
      </c>
      <c r="C18" s="34">
        <v>184.0</v>
      </c>
      <c r="D18" s="34">
        <v>19.0</v>
      </c>
      <c r="E18" s="35">
        <f t="shared" si="2"/>
        <v>14.44444444</v>
      </c>
      <c r="F18" s="95">
        <v>2.0</v>
      </c>
      <c r="G18" s="96">
        <v>2.0</v>
      </c>
      <c r="H18" s="97">
        <v>0.0</v>
      </c>
      <c r="I18" s="96">
        <v>6.0</v>
      </c>
      <c r="J18" s="96">
        <v>6.0</v>
      </c>
      <c r="K18" s="96">
        <v>6.0</v>
      </c>
      <c r="L18" s="98">
        <v>18.0</v>
      </c>
      <c r="M18" s="96">
        <v>3.0</v>
      </c>
      <c r="N18" s="34">
        <f t="shared" ref="N18:O18" si="23">C18+L18</f>
        <v>202</v>
      </c>
      <c r="O18" s="34">
        <f t="shared" si="23"/>
        <v>22</v>
      </c>
      <c r="P18" s="49" t="s">
        <v>58</v>
      </c>
      <c r="Q18" s="49" t="s">
        <v>58</v>
      </c>
      <c r="R18" s="49"/>
      <c r="S18" s="50">
        <f t="shared" si="4"/>
        <v>9</v>
      </c>
      <c r="T18" s="52">
        <f t="shared" si="5"/>
        <v>0</v>
      </c>
      <c r="U18" s="52"/>
      <c r="V18" s="50">
        <f t="shared" si="6"/>
        <v>6</v>
      </c>
      <c r="W18" s="52">
        <f t="shared" si="7"/>
        <v>-5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87</v>
      </c>
      <c r="C19" s="34">
        <v>184.0</v>
      </c>
      <c r="D19" s="34">
        <v>19.0</v>
      </c>
      <c r="E19" s="35">
        <f t="shared" si="2"/>
        <v>12.5</v>
      </c>
      <c r="F19" s="95">
        <v>1.0</v>
      </c>
      <c r="G19" s="96">
        <v>2.0</v>
      </c>
      <c r="H19" s="97">
        <v>0.0</v>
      </c>
      <c r="I19" s="96">
        <v>1.0</v>
      </c>
      <c r="J19" s="96">
        <v>6.0</v>
      </c>
      <c r="K19" s="96">
        <v>1.0</v>
      </c>
      <c r="L19" s="98">
        <v>8.0</v>
      </c>
      <c r="M19" s="96">
        <v>1.0</v>
      </c>
      <c r="N19" s="34">
        <f t="shared" ref="N19:O19" si="24">C19+L19</f>
        <v>192</v>
      </c>
      <c r="O19" s="34">
        <f t="shared" si="24"/>
        <v>20</v>
      </c>
      <c r="P19" s="49" t="s">
        <v>58</v>
      </c>
      <c r="Q19" s="49" t="s">
        <v>58</v>
      </c>
      <c r="R19" s="49"/>
      <c r="S19" s="50">
        <f t="shared" si="4"/>
        <v>14</v>
      </c>
      <c r="T19" s="52">
        <f t="shared" si="5"/>
        <v>0</v>
      </c>
      <c r="U19" s="52"/>
      <c r="V19" s="50">
        <f t="shared" si="6"/>
        <v>1</v>
      </c>
      <c r="W19" s="52">
        <f t="shared" si="7"/>
        <v>-2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110</v>
      </c>
      <c r="C20" s="34">
        <v>182.0</v>
      </c>
      <c r="D20" s="34">
        <v>17.0</v>
      </c>
      <c r="E20" s="35">
        <f t="shared" si="2"/>
        <v>12.13333333</v>
      </c>
      <c r="F20" s="95">
        <v>1.0</v>
      </c>
      <c r="G20" s="96">
        <v>2.0</v>
      </c>
      <c r="H20" s="97">
        <v>0.0</v>
      </c>
      <c r="I20" s="96">
        <v>6.0</v>
      </c>
      <c r="J20" s="96">
        <v>2.0</v>
      </c>
      <c r="K20" s="96">
        <v>1.0</v>
      </c>
      <c r="L20" s="98">
        <v>9.0</v>
      </c>
      <c r="M20" s="96">
        <v>1.0</v>
      </c>
      <c r="N20" s="34">
        <f t="shared" ref="N20:O20" si="25">C20+L20</f>
        <v>191</v>
      </c>
      <c r="O20" s="34">
        <f t="shared" si="25"/>
        <v>18</v>
      </c>
      <c r="P20" s="49" t="s">
        <v>58</v>
      </c>
      <c r="Q20" s="49" t="s">
        <v>58</v>
      </c>
      <c r="R20" s="49"/>
      <c r="S20" s="50">
        <f t="shared" si="4"/>
        <v>15</v>
      </c>
      <c r="T20" s="52">
        <f t="shared" si="5"/>
        <v>0</v>
      </c>
      <c r="U20" s="52"/>
      <c r="V20" s="50">
        <f t="shared" si="6"/>
        <v>0</v>
      </c>
      <c r="W20" s="52">
        <f t="shared" si="7"/>
        <v>1</v>
      </c>
      <c r="X20" s="32">
        <f t="shared" si="12"/>
        <v>16</v>
      </c>
      <c r="Y20" s="32" t="str">
        <f t="shared" si="8"/>
        <v>Y</v>
      </c>
      <c r="Z20" s="16" t="str">
        <f t="shared" si="9"/>
        <v/>
      </c>
    </row>
    <row r="21">
      <c r="A21" s="32">
        <f t="shared" si="10"/>
        <v>17</v>
      </c>
      <c r="B21" s="33" t="s">
        <v>97</v>
      </c>
      <c r="C21" s="34">
        <v>180.0</v>
      </c>
      <c r="D21" s="34">
        <v>19.0</v>
      </c>
      <c r="E21" s="35">
        <f t="shared" si="2"/>
        <v>13.09090909</v>
      </c>
      <c r="F21" s="95">
        <v>1.0</v>
      </c>
      <c r="G21" s="96">
        <v>2.0</v>
      </c>
      <c r="H21" s="97">
        <v>0.0</v>
      </c>
      <c r="I21" s="96">
        <v>1.0</v>
      </c>
      <c r="J21" s="96">
        <v>2.0</v>
      </c>
      <c r="K21" s="96">
        <v>6.0</v>
      </c>
      <c r="L21" s="98">
        <v>9.0</v>
      </c>
      <c r="M21" s="96">
        <v>1.0</v>
      </c>
      <c r="N21" s="34">
        <f t="shared" ref="N21:O21" si="26">C21+L21</f>
        <v>189</v>
      </c>
      <c r="O21" s="34">
        <f t="shared" si="26"/>
        <v>20</v>
      </c>
      <c r="P21" s="49" t="s">
        <v>58</v>
      </c>
      <c r="Q21" s="49" t="s">
        <v>58</v>
      </c>
      <c r="R21" s="49"/>
      <c r="S21" s="50">
        <f t="shared" si="4"/>
        <v>11</v>
      </c>
      <c r="T21" s="52">
        <f t="shared" si="5"/>
        <v>0</v>
      </c>
      <c r="U21" s="52"/>
      <c r="V21" s="50">
        <f t="shared" si="6"/>
        <v>4</v>
      </c>
      <c r="W21" s="52">
        <f t="shared" si="7"/>
        <v>-2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50</v>
      </c>
      <c r="C22" s="34">
        <v>176.0</v>
      </c>
      <c r="D22" s="34">
        <v>18.0</v>
      </c>
      <c r="E22" s="35">
        <f t="shared" si="2"/>
        <v>11.92857143</v>
      </c>
      <c r="F22" s="95">
        <v>3.0</v>
      </c>
      <c r="G22" s="96">
        <v>0.0</v>
      </c>
      <c r="H22" s="97">
        <v>9.0</v>
      </c>
      <c r="I22" s="96">
        <v>0.0</v>
      </c>
      <c r="J22" s="96">
        <v>0.0</v>
      </c>
      <c r="K22" s="96">
        <v>0.0</v>
      </c>
      <c r="L22" s="98">
        <v>9.0</v>
      </c>
      <c r="M22" s="96">
        <v>0.0</v>
      </c>
      <c r="N22" s="34">
        <f t="shared" ref="N22:O22" si="27">C22+L22</f>
        <v>185</v>
      </c>
      <c r="O22" s="34">
        <f t="shared" si="27"/>
        <v>18</v>
      </c>
      <c r="P22" s="49" t="s">
        <v>58</v>
      </c>
      <c r="Q22" s="49" t="s">
        <v>58</v>
      </c>
      <c r="R22" s="49"/>
      <c r="S22" s="50">
        <f t="shared" si="4"/>
        <v>14</v>
      </c>
      <c r="T22" s="52">
        <f t="shared" si="5"/>
        <v>0</v>
      </c>
      <c r="U22" s="52"/>
      <c r="V22" s="50">
        <f t="shared" si="6"/>
        <v>1</v>
      </c>
      <c r="W22" s="52">
        <f t="shared" si="7"/>
        <v>0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133</v>
      </c>
      <c r="C23" s="34">
        <v>176.0</v>
      </c>
      <c r="D23" s="34">
        <v>17.0</v>
      </c>
      <c r="E23" s="35">
        <f t="shared" si="2"/>
        <v>13.1</v>
      </c>
      <c r="F23" s="95">
        <v>1.0</v>
      </c>
      <c r="G23" s="96">
        <v>3.0</v>
      </c>
      <c r="H23" s="97">
        <v>0.0</v>
      </c>
      <c r="I23" s="96">
        <v>3.0</v>
      </c>
      <c r="J23" s="96">
        <v>3.0</v>
      </c>
      <c r="K23" s="96">
        <v>6.0</v>
      </c>
      <c r="L23" s="98">
        <v>12.0</v>
      </c>
      <c r="M23" s="96">
        <v>1.0</v>
      </c>
      <c r="N23" s="34">
        <f t="shared" ref="N23:O23" si="28">C23+L23</f>
        <v>188</v>
      </c>
      <c r="O23" s="34">
        <f t="shared" si="28"/>
        <v>18</v>
      </c>
      <c r="P23" s="49" t="s">
        <v>58</v>
      </c>
      <c r="Q23" s="49" t="s">
        <v>58</v>
      </c>
      <c r="R23" s="49"/>
      <c r="S23" s="50">
        <f t="shared" si="4"/>
        <v>10</v>
      </c>
      <c r="T23" s="52">
        <f t="shared" si="5"/>
        <v>0</v>
      </c>
      <c r="U23" s="52"/>
      <c r="V23" s="50">
        <f t="shared" si="6"/>
        <v>5</v>
      </c>
      <c r="W23" s="52">
        <f t="shared" si="7"/>
        <v>5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89</v>
      </c>
      <c r="C24" s="34">
        <v>176.0</v>
      </c>
      <c r="D24" s="34">
        <v>16.0</v>
      </c>
      <c r="E24" s="35">
        <f t="shared" si="2"/>
        <v>13.55555556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9">C24+L24</f>
        <v>185</v>
      </c>
      <c r="O24" s="34">
        <f t="shared" si="29"/>
        <v>16</v>
      </c>
      <c r="P24" s="49" t="s">
        <v>58</v>
      </c>
      <c r="Q24" s="49" t="s">
        <v>58</v>
      </c>
      <c r="R24" s="49"/>
      <c r="S24" s="50">
        <f t="shared" si="4"/>
        <v>9</v>
      </c>
      <c r="T24" s="52">
        <f t="shared" si="5"/>
        <v>0</v>
      </c>
      <c r="U24" s="52"/>
      <c r="V24" s="50">
        <f t="shared" si="6"/>
        <v>6</v>
      </c>
      <c r="W24" s="52">
        <f t="shared" si="7"/>
        <v>5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111</v>
      </c>
      <c r="C25" s="34">
        <v>175.0</v>
      </c>
      <c r="D25" s="34">
        <v>13.0</v>
      </c>
      <c r="E25" s="35">
        <f t="shared" si="2"/>
        <v>12.6</v>
      </c>
      <c r="F25" s="95">
        <v>2.0</v>
      </c>
      <c r="G25" s="96">
        <v>3.0</v>
      </c>
      <c r="H25" s="97">
        <v>0.0</v>
      </c>
      <c r="I25" s="96">
        <v>3.0</v>
      </c>
      <c r="J25" s="96">
        <v>6.0</v>
      </c>
      <c r="K25" s="96">
        <v>2.0</v>
      </c>
      <c r="L25" s="98">
        <v>11.0</v>
      </c>
      <c r="M25" s="96">
        <v>1.0</v>
      </c>
      <c r="N25" s="34">
        <f t="shared" ref="N25:O25" si="30">C25+L25</f>
        <v>186</v>
      </c>
      <c r="O25" s="34">
        <f t="shared" si="30"/>
        <v>14</v>
      </c>
      <c r="P25" s="49" t="s">
        <v>58</v>
      </c>
      <c r="Q25" s="49" t="s">
        <v>58</v>
      </c>
      <c r="R25" s="49"/>
      <c r="S25" s="50">
        <f t="shared" si="4"/>
        <v>10</v>
      </c>
      <c r="T25" s="52">
        <f t="shared" si="5"/>
        <v>1</v>
      </c>
      <c r="U25" s="52"/>
      <c r="V25" s="50">
        <f t="shared" si="6"/>
        <v>4</v>
      </c>
      <c r="W25" s="52">
        <f t="shared" si="7"/>
        <v>9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83</v>
      </c>
      <c r="C26" s="34">
        <v>174.0</v>
      </c>
      <c r="D26" s="34">
        <v>14.0</v>
      </c>
      <c r="E26" s="35">
        <f t="shared" si="2"/>
        <v>13.875</v>
      </c>
      <c r="F26" s="95">
        <v>1.0</v>
      </c>
      <c r="G26" s="96">
        <v>3.0</v>
      </c>
      <c r="H26" s="97">
        <v>0.0</v>
      </c>
      <c r="I26" s="96">
        <v>6.0</v>
      </c>
      <c r="J26" s="96">
        <v>6.0</v>
      </c>
      <c r="K26" s="96">
        <v>6.0</v>
      </c>
      <c r="L26" s="98">
        <v>18.0</v>
      </c>
      <c r="M26" s="96">
        <v>3.0</v>
      </c>
      <c r="N26" s="34">
        <f t="shared" ref="N26:O26" si="31">C26+L26</f>
        <v>192</v>
      </c>
      <c r="O26" s="34">
        <f t="shared" si="31"/>
        <v>17</v>
      </c>
      <c r="P26" s="49" t="s">
        <v>58</v>
      </c>
      <c r="Q26" s="49" t="s">
        <v>58</v>
      </c>
      <c r="R26" s="49"/>
      <c r="S26" s="50">
        <f t="shared" si="4"/>
        <v>8</v>
      </c>
      <c r="T26" s="52">
        <f t="shared" si="5"/>
        <v>0</v>
      </c>
      <c r="U26" s="52"/>
      <c r="V26" s="50">
        <f t="shared" si="6"/>
        <v>7</v>
      </c>
      <c r="W26" s="52">
        <f t="shared" si="7"/>
        <v>-2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106</v>
      </c>
      <c r="C27" s="34">
        <v>173.0</v>
      </c>
      <c r="D27" s="34">
        <v>17.0</v>
      </c>
      <c r="E27" s="35">
        <f t="shared" si="2"/>
        <v>11.83333333</v>
      </c>
      <c r="F27" s="95">
        <v>1.0</v>
      </c>
      <c r="G27" s="96">
        <v>3.0</v>
      </c>
      <c r="H27" s="97">
        <v>0.0</v>
      </c>
      <c r="I27" s="96">
        <v>6.0</v>
      </c>
      <c r="J27" s="96">
        <v>3.0</v>
      </c>
      <c r="K27" s="96">
        <v>2.0</v>
      </c>
      <c r="L27" s="98">
        <v>11.0</v>
      </c>
      <c r="M27" s="96">
        <v>1.0</v>
      </c>
      <c r="N27" s="34">
        <f t="shared" ref="N27:O27" si="32">C27+L27</f>
        <v>184</v>
      </c>
      <c r="O27" s="34">
        <f t="shared" si="32"/>
        <v>18</v>
      </c>
      <c r="P27" s="49" t="s">
        <v>58</v>
      </c>
      <c r="Q27" s="49" t="s">
        <v>58</v>
      </c>
      <c r="R27" s="49"/>
      <c r="S27" s="50">
        <f t="shared" si="4"/>
        <v>12</v>
      </c>
      <c r="T27" s="52">
        <f t="shared" si="5"/>
        <v>1</v>
      </c>
      <c r="U27" s="52"/>
      <c r="V27" s="50">
        <f t="shared" si="6"/>
        <v>2</v>
      </c>
      <c r="W27" s="52">
        <f t="shared" si="7"/>
        <v>-4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66</v>
      </c>
      <c r="C28" s="34">
        <v>173.0</v>
      </c>
      <c r="D28" s="34">
        <v>16.0</v>
      </c>
      <c r="E28" s="35">
        <f t="shared" si="2"/>
        <v>11.53333333</v>
      </c>
      <c r="F28" s="95">
        <v>1.0</v>
      </c>
      <c r="G28" s="96">
        <v>4.0</v>
      </c>
      <c r="H28" s="97">
        <v>0.0</v>
      </c>
      <c r="I28" s="96">
        <v>7.0</v>
      </c>
      <c r="J28" s="96">
        <v>6.0</v>
      </c>
      <c r="K28" s="96">
        <v>5.0</v>
      </c>
      <c r="L28" s="98">
        <v>18.0</v>
      </c>
      <c r="M28" s="96">
        <v>2.0</v>
      </c>
      <c r="N28" s="34">
        <f t="shared" ref="N28:O28" si="33">C28+L28</f>
        <v>191</v>
      </c>
      <c r="O28" s="34">
        <f t="shared" si="33"/>
        <v>18</v>
      </c>
      <c r="P28" s="49" t="s">
        <v>58</v>
      </c>
      <c r="Q28" s="49" t="s">
        <v>58</v>
      </c>
      <c r="R28" s="49"/>
      <c r="S28" s="50">
        <f t="shared" si="4"/>
        <v>15</v>
      </c>
      <c r="T28" s="52">
        <f t="shared" si="5"/>
        <v>0</v>
      </c>
      <c r="U28" s="52"/>
      <c r="V28" s="50">
        <f t="shared" si="6"/>
        <v>0</v>
      </c>
      <c r="W28" s="52">
        <f t="shared" si="7"/>
        <v>-3</v>
      </c>
      <c r="X28" s="32">
        <f t="shared" si="12"/>
        <v>24</v>
      </c>
      <c r="Y28" s="32" t="str">
        <f t="shared" si="8"/>
        <v>Y</v>
      </c>
      <c r="Z28" s="16" t="str">
        <f t="shared" si="9"/>
        <v/>
      </c>
    </row>
    <row r="29">
      <c r="A29" s="32">
        <f t="shared" si="10"/>
        <v>25</v>
      </c>
      <c r="B29" s="33" t="s">
        <v>125</v>
      </c>
      <c r="C29" s="34">
        <v>170.0</v>
      </c>
      <c r="D29" s="34">
        <v>13.0</v>
      </c>
      <c r="E29" s="35">
        <f t="shared" si="2"/>
        <v>12.5</v>
      </c>
      <c r="F29" s="95">
        <v>1.0</v>
      </c>
      <c r="G29" s="96">
        <v>4.0</v>
      </c>
      <c r="H29" s="97">
        <v>0.0</v>
      </c>
      <c r="I29" s="96">
        <v>7.0</v>
      </c>
      <c r="J29" s="96">
        <v>4.0</v>
      </c>
      <c r="K29" s="96">
        <v>7.0</v>
      </c>
      <c r="L29" s="98">
        <v>18.0</v>
      </c>
      <c r="M29" s="96">
        <v>2.0</v>
      </c>
      <c r="N29" s="34">
        <f t="shared" ref="N29:O29" si="34">C29+L29</f>
        <v>188</v>
      </c>
      <c r="O29" s="34">
        <f t="shared" si="34"/>
        <v>15</v>
      </c>
      <c r="P29" s="49" t="s">
        <v>58</v>
      </c>
      <c r="Q29" s="49" t="s">
        <v>58</v>
      </c>
      <c r="R29" s="49"/>
      <c r="S29" s="50">
        <f t="shared" si="4"/>
        <v>10</v>
      </c>
      <c r="T29" s="52">
        <f t="shared" si="5"/>
        <v>0</v>
      </c>
      <c r="U29" s="52"/>
      <c r="V29" s="50">
        <f t="shared" si="6"/>
        <v>5</v>
      </c>
      <c r="W29" s="52">
        <f t="shared" si="7"/>
        <v>-3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114</v>
      </c>
      <c r="C30" s="34">
        <v>170.0</v>
      </c>
      <c r="D30" s="34">
        <v>10.0</v>
      </c>
      <c r="E30" s="35">
        <f t="shared" si="2"/>
        <v>11.58333333</v>
      </c>
      <c r="F30" s="95">
        <v>1.0</v>
      </c>
      <c r="G30" s="96">
        <v>4.0</v>
      </c>
      <c r="H30" s="97">
        <v>0.0</v>
      </c>
      <c r="I30" s="96">
        <v>5.0</v>
      </c>
      <c r="J30" s="96">
        <v>6.0</v>
      </c>
      <c r="K30" s="96">
        <v>7.0</v>
      </c>
      <c r="L30" s="98">
        <v>18.0</v>
      </c>
      <c r="M30" s="96">
        <v>2.0</v>
      </c>
      <c r="N30" s="34">
        <f t="shared" ref="N30:O30" si="35">C30+L30</f>
        <v>188</v>
      </c>
      <c r="O30" s="34">
        <f t="shared" si="35"/>
        <v>12</v>
      </c>
      <c r="P30" s="49" t="s">
        <v>58</v>
      </c>
      <c r="Q30" s="49" t="s">
        <v>58</v>
      </c>
      <c r="R30" s="49"/>
      <c r="S30" s="50">
        <f t="shared" si="4"/>
        <v>12</v>
      </c>
      <c r="T30" s="52">
        <f t="shared" si="5"/>
        <v>1</v>
      </c>
      <c r="U30" s="52"/>
      <c r="V30" s="50">
        <f t="shared" si="6"/>
        <v>2</v>
      </c>
      <c r="W30" s="52">
        <f t="shared" si="7"/>
        <v>6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136</v>
      </c>
      <c r="C31" s="34">
        <v>168.0</v>
      </c>
      <c r="D31" s="34">
        <v>15.0</v>
      </c>
      <c r="E31" s="35">
        <f t="shared" si="2"/>
        <v>11.2</v>
      </c>
      <c r="F31" s="95">
        <v>1.0</v>
      </c>
      <c r="G31" s="96">
        <v>4.0</v>
      </c>
      <c r="H31" s="97">
        <v>0.0</v>
      </c>
      <c r="I31" s="96">
        <v>5.0</v>
      </c>
      <c r="J31" s="96">
        <v>4.0</v>
      </c>
      <c r="K31" s="96">
        <v>5.0</v>
      </c>
      <c r="L31" s="98">
        <v>14.0</v>
      </c>
      <c r="M31" s="96">
        <v>0.0</v>
      </c>
      <c r="N31" s="34">
        <f t="shared" ref="N31:O31" si="36">C31+L31</f>
        <v>182</v>
      </c>
      <c r="O31" s="34">
        <f t="shared" si="36"/>
        <v>15</v>
      </c>
      <c r="P31" s="49" t="s">
        <v>58</v>
      </c>
      <c r="Q31" s="49" t="s">
        <v>58</v>
      </c>
      <c r="R31" s="49"/>
      <c r="S31" s="50">
        <f t="shared" si="4"/>
        <v>15</v>
      </c>
      <c r="T31" s="52">
        <f t="shared" si="5"/>
        <v>0</v>
      </c>
      <c r="U31" s="52"/>
      <c r="V31" s="50">
        <f t="shared" si="6"/>
        <v>0</v>
      </c>
      <c r="W31" s="52">
        <f t="shared" si="7"/>
        <v>-4</v>
      </c>
      <c r="X31" s="32">
        <f t="shared" si="12"/>
        <v>27</v>
      </c>
      <c r="Y31" s="32" t="str">
        <f t="shared" si="8"/>
        <v>Y</v>
      </c>
      <c r="Z31" s="16" t="str">
        <f t="shared" si="9"/>
        <v/>
      </c>
    </row>
    <row r="32">
      <c r="A32" s="32">
        <f t="shared" si="10"/>
        <v>28</v>
      </c>
      <c r="B32" s="33" t="s">
        <v>93</v>
      </c>
      <c r="C32" s="34">
        <v>167.0</v>
      </c>
      <c r="D32" s="34">
        <v>13.0</v>
      </c>
      <c r="E32" s="35">
        <f t="shared" si="2"/>
        <v>13.57142857</v>
      </c>
      <c r="F32" s="95">
        <v>1.0</v>
      </c>
      <c r="G32" s="96">
        <v>5.0</v>
      </c>
      <c r="H32" s="97">
        <v>0.0</v>
      </c>
      <c r="I32" s="96">
        <v>6.0</v>
      </c>
      <c r="J32" s="96">
        <v>6.0</v>
      </c>
      <c r="K32" s="96">
        <v>6.0</v>
      </c>
      <c r="L32" s="98">
        <v>18.0</v>
      </c>
      <c r="M32" s="96">
        <v>3.0</v>
      </c>
      <c r="N32" s="34">
        <f t="shared" ref="N32:O32" si="37">C32+L32</f>
        <v>185</v>
      </c>
      <c r="O32" s="34">
        <f t="shared" si="37"/>
        <v>16</v>
      </c>
      <c r="P32" s="49" t="s">
        <v>58</v>
      </c>
      <c r="Q32" s="49" t="s">
        <v>58</v>
      </c>
      <c r="R32" s="49"/>
      <c r="S32" s="50">
        <f t="shared" si="4"/>
        <v>7</v>
      </c>
      <c r="T32" s="52">
        <f t="shared" si="5"/>
        <v>0</v>
      </c>
      <c r="U32" s="52"/>
      <c r="V32" s="50">
        <f t="shared" si="6"/>
        <v>8</v>
      </c>
      <c r="W32" s="52">
        <f t="shared" si="7"/>
        <v>-1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138</v>
      </c>
      <c r="C33" s="34">
        <v>167.0</v>
      </c>
      <c r="D33" s="34">
        <v>13.0</v>
      </c>
      <c r="E33" s="35">
        <f t="shared" si="2"/>
        <v>12.55555556</v>
      </c>
      <c r="F33" s="95">
        <v>3.0</v>
      </c>
      <c r="G33" s="96">
        <v>0.0</v>
      </c>
      <c r="H33" s="97">
        <v>9.0</v>
      </c>
      <c r="I33" s="96">
        <v>0.0</v>
      </c>
      <c r="J33" s="96">
        <v>0.0</v>
      </c>
      <c r="K33" s="96">
        <v>0.0</v>
      </c>
      <c r="L33" s="98">
        <v>9.0</v>
      </c>
      <c r="M33" s="96">
        <v>0.0</v>
      </c>
      <c r="N33" s="34">
        <f t="shared" ref="N33:O33" si="38">C33+L33</f>
        <v>176</v>
      </c>
      <c r="O33" s="34">
        <f t="shared" si="38"/>
        <v>13</v>
      </c>
      <c r="P33" s="49" t="s">
        <v>58</v>
      </c>
      <c r="Q33" s="49" t="s">
        <v>58</v>
      </c>
      <c r="R33" s="49"/>
      <c r="S33" s="50">
        <f t="shared" si="4"/>
        <v>9</v>
      </c>
      <c r="T33" s="52">
        <f t="shared" si="5"/>
        <v>0</v>
      </c>
      <c r="U33" s="52"/>
      <c r="V33" s="50">
        <f t="shared" si="6"/>
        <v>6</v>
      </c>
      <c r="W33" s="52">
        <f t="shared" si="7"/>
        <v>2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100</v>
      </c>
      <c r="C34" s="34">
        <v>167.0</v>
      </c>
      <c r="D34" s="34">
        <v>12.0</v>
      </c>
      <c r="E34" s="35">
        <f t="shared" si="2"/>
        <v>13</v>
      </c>
      <c r="F34" s="95">
        <v>2.0</v>
      </c>
      <c r="G34" s="96">
        <v>5.0</v>
      </c>
      <c r="H34" s="97">
        <v>0.0</v>
      </c>
      <c r="I34" s="96">
        <v>3.0</v>
      </c>
      <c r="J34" s="96">
        <v>3.0</v>
      </c>
      <c r="K34" s="96">
        <v>6.0</v>
      </c>
      <c r="L34" s="98">
        <v>12.0</v>
      </c>
      <c r="M34" s="96">
        <v>1.0</v>
      </c>
      <c r="N34" s="34">
        <f t="shared" ref="N34:O34" si="39">C34+L34</f>
        <v>179</v>
      </c>
      <c r="O34" s="34">
        <f t="shared" si="39"/>
        <v>13</v>
      </c>
      <c r="P34" s="49" t="s">
        <v>58</v>
      </c>
      <c r="Q34" s="49" t="s">
        <v>58</v>
      </c>
      <c r="R34" s="49"/>
      <c r="S34" s="50">
        <f t="shared" si="4"/>
        <v>8</v>
      </c>
      <c r="T34" s="52">
        <f t="shared" si="5"/>
        <v>0</v>
      </c>
      <c r="U34" s="52"/>
      <c r="V34" s="50">
        <f t="shared" si="6"/>
        <v>7</v>
      </c>
      <c r="W34" s="52">
        <f t="shared" si="7"/>
        <v>-1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60</v>
      </c>
      <c r="C35" s="34">
        <v>166.0</v>
      </c>
      <c r="D35" s="34">
        <v>17.0</v>
      </c>
      <c r="E35" s="35">
        <f t="shared" si="2"/>
        <v>11.38461538</v>
      </c>
      <c r="F35" s="95">
        <v>1.0</v>
      </c>
      <c r="G35" s="96">
        <v>5.0</v>
      </c>
      <c r="H35" s="97">
        <v>0.0</v>
      </c>
      <c r="I35" s="96">
        <v>3.0</v>
      </c>
      <c r="J35" s="96">
        <v>6.0</v>
      </c>
      <c r="K35" s="96">
        <v>1.0</v>
      </c>
      <c r="L35" s="98">
        <v>10.0</v>
      </c>
      <c r="M35" s="96">
        <v>1.0</v>
      </c>
      <c r="N35" s="34">
        <f t="shared" ref="N35:O35" si="40">C35+L35</f>
        <v>176</v>
      </c>
      <c r="O35" s="34">
        <f t="shared" si="40"/>
        <v>18</v>
      </c>
      <c r="P35" s="49" t="s">
        <v>58</v>
      </c>
      <c r="Q35" s="49" t="s">
        <v>58</v>
      </c>
      <c r="R35" s="49"/>
      <c r="S35" s="50">
        <f t="shared" si="4"/>
        <v>13</v>
      </c>
      <c r="T35" s="52">
        <f t="shared" si="5"/>
        <v>0</v>
      </c>
      <c r="U35" s="52"/>
      <c r="V35" s="50">
        <f t="shared" si="6"/>
        <v>2</v>
      </c>
      <c r="W35" s="52">
        <f t="shared" si="7"/>
        <v>5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122</v>
      </c>
      <c r="C36" s="34">
        <v>166.0</v>
      </c>
      <c r="D36" s="34">
        <v>12.0</v>
      </c>
      <c r="E36" s="35">
        <f t="shared" si="2"/>
        <v>13.42857143</v>
      </c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41">C36+L36</f>
        <v>175</v>
      </c>
      <c r="O36" s="34">
        <f t="shared" si="41"/>
        <v>12</v>
      </c>
      <c r="P36" s="49" t="s">
        <v>58</v>
      </c>
      <c r="Q36" s="49" t="s">
        <v>58</v>
      </c>
      <c r="R36" s="49"/>
      <c r="S36" s="50">
        <f t="shared" si="4"/>
        <v>7</v>
      </c>
      <c r="T36" s="52">
        <f t="shared" si="5"/>
        <v>0</v>
      </c>
      <c r="U36" s="52"/>
      <c r="V36" s="50">
        <f t="shared" si="6"/>
        <v>8</v>
      </c>
      <c r="W36" s="52">
        <f t="shared" si="7"/>
        <v>2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132</v>
      </c>
      <c r="C37" s="34">
        <v>166.0</v>
      </c>
      <c r="D37" s="34">
        <v>12.0</v>
      </c>
      <c r="E37" s="35">
        <f t="shared" si="2"/>
        <v>13.42857143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2">C37+L37</f>
        <v>175</v>
      </c>
      <c r="O37" s="34">
        <f t="shared" si="42"/>
        <v>12</v>
      </c>
      <c r="P37" s="49" t="s">
        <v>58</v>
      </c>
      <c r="Q37" s="49" t="s">
        <v>58</v>
      </c>
      <c r="R37" s="49"/>
      <c r="S37" s="50">
        <f t="shared" si="4"/>
        <v>7</v>
      </c>
      <c r="T37" s="52">
        <f t="shared" si="5"/>
        <v>0</v>
      </c>
      <c r="U37" s="52"/>
      <c r="V37" s="50">
        <f t="shared" si="6"/>
        <v>8</v>
      </c>
      <c r="W37" s="52">
        <f t="shared" si="7"/>
        <v>5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49</v>
      </c>
      <c r="C38" s="34">
        <v>165.0</v>
      </c>
      <c r="D38" s="34">
        <v>16.0</v>
      </c>
      <c r="E38" s="35">
        <f t="shared" si="2"/>
        <v>11.5</v>
      </c>
      <c r="F38" s="95">
        <v>1.0</v>
      </c>
      <c r="G38" s="96">
        <v>5.0</v>
      </c>
      <c r="H38" s="97">
        <v>0.0</v>
      </c>
      <c r="I38" s="96">
        <v>6.0</v>
      </c>
      <c r="J38" s="96">
        <v>3.0</v>
      </c>
      <c r="K38" s="96">
        <v>1.0</v>
      </c>
      <c r="L38" s="98">
        <v>10.0</v>
      </c>
      <c r="M38" s="96">
        <v>1.0</v>
      </c>
      <c r="N38" s="34">
        <f t="shared" ref="N38:O38" si="43">C38+L38</f>
        <v>175</v>
      </c>
      <c r="O38" s="34">
        <f t="shared" si="43"/>
        <v>17</v>
      </c>
      <c r="P38" s="49" t="s">
        <v>58</v>
      </c>
      <c r="Q38" s="49" t="s">
        <v>58</v>
      </c>
      <c r="R38" s="49"/>
      <c r="S38" s="50">
        <f t="shared" si="4"/>
        <v>12</v>
      </c>
      <c r="T38" s="52">
        <f t="shared" si="5"/>
        <v>0</v>
      </c>
      <c r="U38" s="52"/>
      <c r="V38" s="50">
        <f t="shared" si="6"/>
        <v>3</v>
      </c>
      <c r="W38" s="52">
        <f t="shared" si="7"/>
        <v>-8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96</v>
      </c>
      <c r="C39" s="34">
        <v>165.0</v>
      </c>
      <c r="D39" s="34">
        <v>13.0</v>
      </c>
      <c r="E39" s="35">
        <f t="shared" si="2"/>
        <v>11.30769231</v>
      </c>
      <c r="F39" s="95">
        <v>1.0</v>
      </c>
      <c r="G39" s="96">
        <v>6.0</v>
      </c>
      <c r="H39" s="97">
        <v>0.0</v>
      </c>
      <c r="I39" s="96">
        <v>2.0</v>
      </c>
      <c r="J39" s="96">
        <v>6.0</v>
      </c>
      <c r="K39" s="96">
        <v>1.0</v>
      </c>
      <c r="L39" s="98">
        <v>9.0</v>
      </c>
      <c r="M39" s="96">
        <v>1.0</v>
      </c>
      <c r="N39" s="34">
        <f t="shared" ref="N39:O39" si="44">C39+L39</f>
        <v>174</v>
      </c>
      <c r="O39" s="34">
        <f t="shared" si="44"/>
        <v>14</v>
      </c>
      <c r="P39" s="49" t="s">
        <v>58</v>
      </c>
      <c r="Q39" s="49" t="s">
        <v>58</v>
      </c>
      <c r="R39" s="49"/>
      <c r="S39" s="50">
        <f t="shared" si="4"/>
        <v>13</v>
      </c>
      <c r="T39" s="52">
        <f t="shared" si="5"/>
        <v>0</v>
      </c>
      <c r="U39" s="52"/>
      <c r="V39" s="50">
        <f t="shared" si="6"/>
        <v>2</v>
      </c>
      <c r="W39" s="52">
        <f t="shared" si="7"/>
        <v>-7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65</v>
      </c>
      <c r="C40" s="34">
        <v>162.0</v>
      </c>
      <c r="D40" s="34">
        <v>13.0</v>
      </c>
      <c r="E40" s="35">
        <f t="shared" si="2"/>
        <v>13.5</v>
      </c>
      <c r="F40" s="95">
        <v>1.0</v>
      </c>
      <c r="G40" s="96">
        <v>6.0</v>
      </c>
      <c r="H40" s="97">
        <v>0.0</v>
      </c>
      <c r="I40" s="96">
        <v>6.0</v>
      </c>
      <c r="J40" s="96">
        <v>6.0</v>
      </c>
      <c r="K40" s="96">
        <v>6.0</v>
      </c>
      <c r="L40" s="98">
        <v>18.0</v>
      </c>
      <c r="M40" s="96">
        <v>3.0</v>
      </c>
      <c r="N40" s="34">
        <f t="shared" ref="N40:O40" si="45">C40+L40</f>
        <v>180</v>
      </c>
      <c r="O40" s="34">
        <f t="shared" si="45"/>
        <v>16</v>
      </c>
      <c r="P40" s="49" t="s">
        <v>58</v>
      </c>
      <c r="Q40" s="49" t="s">
        <v>58</v>
      </c>
      <c r="R40" s="49"/>
      <c r="S40" s="50">
        <f t="shared" si="4"/>
        <v>6</v>
      </c>
      <c r="T40" s="52">
        <f t="shared" si="5"/>
        <v>0</v>
      </c>
      <c r="U40" s="52"/>
      <c r="V40" s="50">
        <f t="shared" si="6"/>
        <v>9</v>
      </c>
      <c r="W40" s="52">
        <f t="shared" si="7"/>
        <v>-3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99</v>
      </c>
      <c r="C41" s="34">
        <v>161.0</v>
      </c>
      <c r="D41" s="34">
        <v>11.0</v>
      </c>
      <c r="E41" s="35">
        <f t="shared" si="2"/>
        <v>11.75</v>
      </c>
      <c r="F41" s="95">
        <v>5.0</v>
      </c>
      <c r="G41" s="96">
        <v>0.0</v>
      </c>
      <c r="H41" s="97">
        <v>13.0</v>
      </c>
      <c r="I41" s="96">
        <v>0.0</v>
      </c>
      <c r="J41" s="96">
        <v>0.0</v>
      </c>
      <c r="K41" s="96">
        <v>0.0</v>
      </c>
      <c r="L41" s="98">
        <v>13.0</v>
      </c>
      <c r="M41" s="96">
        <v>0.0</v>
      </c>
      <c r="N41" s="34">
        <f t="shared" ref="N41:O41" si="46">C41+L41</f>
        <v>174</v>
      </c>
      <c r="O41" s="34">
        <f t="shared" si="46"/>
        <v>11</v>
      </c>
      <c r="P41" s="49" t="s">
        <v>58</v>
      </c>
      <c r="Q41" s="49" t="s">
        <v>58</v>
      </c>
      <c r="R41" s="49"/>
      <c r="S41" s="50">
        <f t="shared" si="4"/>
        <v>8</v>
      </c>
      <c r="T41" s="52">
        <f t="shared" si="5"/>
        <v>1</v>
      </c>
      <c r="U41" s="52"/>
      <c r="V41" s="50">
        <f t="shared" si="6"/>
        <v>6</v>
      </c>
      <c r="W41" s="52">
        <f t="shared" si="7"/>
        <v>-2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137</v>
      </c>
      <c r="C42" s="34">
        <v>160.0</v>
      </c>
      <c r="D42" s="34">
        <v>11.0</v>
      </c>
      <c r="E42" s="35">
        <f t="shared" si="2"/>
        <v>11.5</v>
      </c>
      <c r="F42" s="95">
        <v>1.0</v>
      </c>
      <c r="G42" s="96">
        <v>6.0</v>
      </c>
      <c r="H42" s="97">
        <v>0.0</v>
      </c>
      <c r="I42" s="96">
        <v>6.0</v>
      </c>
      <c r="J42" s="96">
        <v>2.0</v>
      </c>
      <c r="K42" s="96">
        <v>1.0</v>
      </c>
      <c r="L42" s="98">
        <v>9.0</v>
      </c>
      <c r="M42" s="96">
        <v>1.0</v>
      </c>
      <c r="N42" s="34">
        <f t="shared" ref="N42:O42" si="47">C42+L42</f>
        <v>169</v>
      </c>
      <c r="O42" s="34">
        <f t="shared" si="47"/>
        <v>12</v>
      </c>
      <c r="P42" s="49" t="s">
        <v>58</v>
      </c>
      <c r="Q42" s="49" t="s">
        <v>58</v>
      </c>
      <c r="R42" s="49"/>
      <c r="S42" s="50">
        <f t="shared" si="4"/>
        <v>10</v>
      </c>
      <c r="T42" s="52">
        <f t="shared" si="5"/>
        <v>0</v>
      </c>
      <c r="U42" s="52"/>
      <c r="V42" s="50">
        <f t="shared" si="6"/>
        <v>5</v>
      </c>
      <c r="W42" s="52">
        <f t="shared" si="7"/>
        <v>-1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135</v>
      </c>
      <c r="C43" s="34">
        <v>158.0</v>
      </c>
      <c r="D43" s="34">
        <v>13.0</v>
      </c>
      <c r="E43" s="35">
        <f t="shared" si="2"/>
        <v>11.55555556</v>
      </c>
      <c r="F43" s="95">
        <v>1.0</v>
      </c>
      <c r="G43" s="96">
        <v>6.0</v>
      </c>
      <c r="H43" s="97">
        <v>0.0</v>
      </c>
      <c r="I43" s="96">
        <v>2.0</v>
      </c>
      <c r="J43" s="96">
        <v>2.0</v>
      </c>
      <c r="K43" s="96">
        <v>6.0</v>
      </c>
      <c r="L43" s="98">
        <v>10.0</v>
      </c>
      <c r="M43" s="96">
        <v>1.0</v>
      </c>
      <c r="N43" s="34">
        <f t="shared" ref="N43:O43" si="48">C43+L43</f>
        <v>168</v>
      </c>
      <c r="O43" s="34">
        <f t="shared" si="48"/>
        <v>14</v>
      </c>
      <c r="P43" s="49" t="s">
        <v>58</v>
      </c>
      <c r="Q43" s="49" t="s">
        <v>58</v>
      </c>
      <c r="R43" s="49"/>
      <c r="S43" s="50">
        <f t="shared" si="4"/>
        <v>9</v>
      </c>
      <c r="T43" s="52">
        <f t="shared" si="5"/>
        <v>0</v>
      </c>
      <c r="U43" s="52"/>
      <c r="V43" s="50">
        <f t="shared" si="6"/>
        <v>6</v>
      </c>
      <c r="W43" s="52">
        <f t="shared" si="7"/>
        <v>2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139</v>
      </c>
      <c r="C44" s="34">
        <v>154.0</v>
      </c>
      <c r="D44" s="34">
        <v>13.0</v>
      </c>
      <c r="E44" s="35">
        <f t="shared" si="2"/>
        <v>10.9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163</v>
      </c>
      <c r="O44" s="34">
        <f t="shared" si="49"/>
        <v>13</v>
      </c>
      <c r="P44" s="49" t="s">
        <v>58</v>
      </c>
      <c r="Q44" s="49" t="s">
        <v>58</v>
      </c>
      <c r="R44" s="49"/>
      <c r="S44" s="50">
        <f t="shared" si="4"/>
        <v>10</v>
      </c>
      <c r="T44" s="52">
        <f t="shared" si="5"/>
        <v>0</v>
      </c>
      <c r="U44" s="52"/>
      <c r="V44" s="50">
        <f t="shared" si="6"/>
        <v>5</v>
      </c>
      <c r="W44" s="52">
        <f t="shared" si="7"/>
        <v>6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75</v>
      </c>
      <c r="C45" s="34">
        <v>154.0</v>
      </c>
      <c r="D45" s="34">
        <v>7.0</v>
      </c>
      <c r="E45" s="35">
        <f t="shared" si="2"/>
        <v>12.8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163</v>
      </c>
      <c r="O45" s="34">
        <f t="shared" si="50"/>
        <v>7</v>
      </c>
      <c r="P45" s="49" t="s">
        <v>58</v>
      </c>
      <c r="Q45" s="49" t="s">
        <v>58</v>
      </c>
      <c r="R45" s="49"/>
      <c r="S45" s="50">
        <f t="shared" si="4"/>
        <v>5</v>
      </c>
      <c r="T45" s="52">
        <f t="shared" si="5"/>
        <v>0</v>
      </c>
      <c r="U45" s="52"/>
      <c r="V45" s="50">
        <f t="shared" si="6"/>
        <v>10</v>
      </c>
      <c r="W45" s="52">
        <f t="shared" si="7"/>
        <v>-2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108</v>
      </c>
      <c r="C46" s="34">
        <v>153.0</v>
      </c>
      <c r="D46" s="34">
        <v>7.0</v>
      </c>
      <c r="E46" s="35">
        <f t="shared" si="2"/>
        <v>10.63636364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162</v>
      </c>
      <c r="O46" s="34">
        <f t="shared" si="51"/>
        <v>7</v>
      </c>
      <c r="P46" s="49" t="s">
        <v>58</v>
      </c>
      <c r="Q46" s="49" t="s">
        <v>58</v>
      </c>
      <c r="R46" s="49"/>
      <c r="S46" s="50">
        <f t="shared" si="4"/>
        <v>11</v>
      </c>
      <c r="T46" s="52">
        <f t="shared" si="5"/>
        <v>0</v>
      </c>
      <c r="U46" s="52"/>
      <c r="V46" s="50">
        <f t="shared" si="6"/>
        <v>4</v>
      </c>
      <c r="W46" s="52">
        <f t="shared" si="7"/>
        <v>-2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47</v>
      </c>
      <c r="C47" s="34">
        <v>151.0</v>
      </c>
      <c r="D47" s="34">
        <v>8.0</v>
      </c>
      <c r="E47" s="35">
        <f t="shared" si="2"/>
        <v>14.33333333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160</v>
      </c>
      <c r="O47" s="34">
        <f t="shared" si="52"/>
        <v>8</v>
      </c>
      <c r="P47" s="49" t="s">
        <v>58</v>
      </c>
      <c r="Q47" s="49" t="s">
        <v>58</v>
      </c>
      <c r="R47" s="49"/>
      <c r="S47" s="50">
        <f t="shared" si="4"/>
        <v>3</v>
      </c>
      <c r="T47" s="52">
        <f t="shared" si="5"/>
        <v>0</v>
      </c>
      <c r="U47" s="52"/>
      <c r="V47" s="50">
        <f t="shared" si="6"/>
        <v>12</v>
      </c>
      <c r="W47" s="52">
        <f t="shared" si="7"/>
        <v>-1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150.0</v>
      </c>
      <c r="D48" s="34">
        <v>14.0</v>
      </c>
      <c r="E48" s="35">
        <f t="shared" si="2"/>
        <v>10.25</v>
      </c>
      <c r="F48" s="95">
        <v>1.0</v>
      </c>
      <c r="G48" s="96">
        <v>7.0</v>
      </c>
      <c r="H48" s="97">
        <v>0.0</v>
      </c>
      <c r="I48" s="96">
        <v>4.0</v>
      </c>
      <c r="J48" s="96">
        <v>2.0</v>
      </c>
      <c r="K48" s="96">
        <v>4.0</v>
      </c>
      <c r="L48" s="98">
        <v>10.0</v>
      </c>
      <c r="M48" s="96">
        <v>0.0</v>
      </c>
      <c r="N48" s="34">
        <f t="shared" ref="N48:O48" si="53">C48+L48</f>
        <v>160</v>
      </c>
      <c r="O48" s="34">
        <f t="shared" si="53"/>
        <v>14</v>
      </c>
      <c r="P48" s="49" t="s">
        <v>58</v>
      </c>
      <c r="Q48" s="49" t="s">
        <v>58</v>
      </c>
      <c r="R48" s="49"/>
      <c r="S48" s="50">
        <f t="shared" si="4"/>
        <v>12</v>
      </c>
      <c r="T48" s="52">
        <f t="shared" si="5"/>
        <v>0</v>
      </c>
      <c r="U48" s="52"/>
      <c r="V48" s="50">
        <f t="shared" si="6"/>
        <v>3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72</v>
      </c>
      <c r="C49" s="34">
        <v>150.0</v>
      </c>
      <c r="D49" s="34">
        <v>8.0</v>
      </c>
      <c r="E49" s="35">
        <f t="shared" si="2"/>
        <v>10.375</v>
      </c>
      <c r="F49" s="95">
        <v>2.0</v>
      </c>
      <c r="G49" s="96">
        <v>7.0</v>
      </c>
      <c r="H49" s="97">
        <v>0.0</v>
      </c>
      <c r="I49" s="96">
        <v>4.0</v>
      </c>
      <c r="J49" s="96">
        <v>6.0</v>
      </c>
      <c r="K49" s="96">
        <v>6.0</v>
      </c>
      <c r="L49" s="98">
        <v>16.0</v>
      </c>
      <c r="M49" s="96">
        <v>2.0</v>
      </c>
      <c r="N49" s="34">
        <f t="shared" ref="N49:O49" si="54">C49+L49</f>
        <v>166</v>
      </c>
      <c r="O49" s="34">
        <f t="shared" si="54"/>
        <v>10</v>
      </c>
      <c r="P49" s="49" t="s">
        <v>58</v>
      </c>
      <c r="Q49" s="49" t="s">
        <v>58</v>
      </c>
      <c r="R49" s="49"/>
      <c r="S49" s="50">
        <f t="shared" si="4"/>
        <v>8</v>
      </c>
      <c r="T49" s="52">
        <f t="shared" si="5"/>
        <v>1</v>
      </c>
      <c r="U49" s="52"/>
      <c r="V49" s="50">
        <f t="shared" si="6"/>
        <v>6</v>
      </c>
      <c r="W49" s="52">
        <f t="shared" si="7"/>
        <v>-2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144</v>
      </c>
      <c r="C50" s="34">
        <v>148.0</v>
      </c>
      <c r="D50" s="34">
        <v>9.0</v>
      </c>
      <c r="E50" s="35">
        <f t="shared" si="2"/>
        <v>10.28571429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157</v>
      </c>
      <c r="O50" s="34">
        <f t="shared" si="55"/>
        <v>9</v>
      </c>
      <c r="P50" s="49" t="s">
        <v>58</v>
      </c>
      <c r="Q50" s="49" t="s">
        <v>58</v>
      </c>
      <c r="R50" s="49"/>
      <c r="S50" s="50">
        <f t="shared" si="4"/>
        <v>7</v>
      </c>
      <c r="T50" s="52">
        <f t="shared" si="5"/>
        <v>1</v>
      </c>
      <c r="U50" s="52"/>
      <c r="V50" s="50">
        <f t="shared" si="6"/>
        <v>7</v>
      </c>
      <c r="W50" s="52">
        <f t="shared" si="7"/>
        <v>1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129</v>
      </c>
      <c r="C51" s="34">
        <v>147.0</v>
      </c>
      <c r="D51" s="34">
        <v>13.0</v>
      </c>
      <c r="E51" s="35">
        <f t="shared" si="2"/>
        <v>10</v>
      </c>
      <c r="F51" s="95">
        <v>1.0</v>
      </c>
      <c r="G51" s="96">
        <v>7.0</v>
      </c>
      <c r="H51" s="97">
        <v>0.0</v>
      </c>
      <c r="I51" s="96">
        <v>6.0</v>
      </c>
      <c r="J51" s="96">
        <v>2.0</v>
      </c>
      <c r="K51" s="96">
        <v>6.0</v>
      </c>
      <c r="L51" s="98">
        <v>14.0</v>
      </c>
      <c r="M51" s="96">
        <v>2.0</v>
      </c>
      <c r="N51" s="34">
        <f t="shared" ref="N51:O51" si="56">C51+L51</f>
        <v>161</v>
      </c>
      <c r="O51" s="34">
        <f t="shared" si="56"/>
        <v>15</v>
      </c>
      <c r="P51" s="49" t="s">
        <v>58</v>
      </c>
      <c r="Q51" s="49" t="s">
        <v>58</v>
      </c>
      <c r="R51" s="49"/>
      <c r="S51" s="50">
        <f t="shared" si="4"/>
        <v>12</v>
      </c>
      <c r="T51" s="52">
        <f t="shared" si="5"/>
        <v>0</v>
      </c>
      <c r="U51" s="52"/>
      <c r="V51" s="50">
        <f t="shared" si="6"/>
        <v>3</v>
      </c>
      <c r="W51" s="52">
        <f t="shared" si="7"/>
        <v>-2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143</v>
      </c>
      <c r="C52" s="34">
        <v>144.0</v>
      </c>
      <c r="D52" s="34">
        <v>5.0</v>
      </c>
      <c r="E52" s="35">
        <f t="shared" si="2"/>
        <v>11.25</v>
      </c>
      <c r="F52" s="95">
        <v>1.0</v>
      </c>
      <c r="G52" s="96">
        <v>7.0</v>
      </c>
      <c r="H52" s="97">
        <v>0.0</v>
      </c>
      <c r="I52" s="96">
        <v>6.0</v>
      </c>
      <c r="J52" s="96">
        <v>6.0</v>
      </c>
      <c r="K52" s="96">
        <v>4.0</v>
      </c>
      <c r="L52" s="98">
        <v>16.0</v>
      </c>
      <c r="M52" s="96">
        <v>2.0</v>
      </c>
      <c r="N52" s="34">
        <f t="shared" ref="N52:O52" si="57">C52+L52</f>
        <v>160</v>
      </c>
      <c r="O52" s="34">
        <f t="shared" si="57"/>
        <v>7</v>
      </c>
      <c r="P52" s="49" t="s">
        <v>58</v>
      </c>
      <c r="Q52" s="49" t="s">
        <v>58</v>
      </c>
      <c r="R52" s="49"/>
      <c r="S52" s="50">
        <f t="shared" si="4"/>
        <v>4</v>
      </c>
      <c r="T52" s="52">
        <f t="shared" si="5"/>
        <v>0</v>
      </c>
      <c r="U52" s="52"/>
      <c r="V52" s="50">
        <f t="shared" si="6"/>
        <v>11</v>
      </c>
      <c r="W52" s="52">
        <f t="shared" si="7"/>
        <v>0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105</v>
      </c>
      <c r="C53" s="34">
        <v>142.0</v>
      </c>
      <c r="D53" s="34">
        <v>6.0</v>
      </c>
      <c r="E53" s="35">
        <f t="shared" si="2"/>
        <v>11.33333333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151</v>
      </c>
      <c r="O53" s="34">
        <f t="shared" si="58"/>
        <v>6</v>
      </c>
      <c r="P53" s="49" t="s">
        <v>58</v>
      </c>
      <c r="Q53" s="49" t="s">
        <v>58</v>
      </c>
      <c r="R53" s="49"/>
      <c r="S53" s="50">
        <f t="shared" si="4"/>
        <v>3</v>
      </c>
      <c r="T53" s="52">
        <f t="shared" si="5"/>
        <v>0</v>
      </c>
      <c r="U53" s="52"/>
      <c r="V53" s="50">
        <f t="shared" si="6"/>
        <v>12</v>
      </c>
      <c r="W53" s="52">
        <f t="shared" si="7"/>
        <v>0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145</v>
      </c>
      <c r="C54" s="34">
        <v>141.0</v>
      </c>
      <c r="D54" s="34">
        <v>9.0</v>
      </c>
      <c r="E54" s="35">
        <f t="shared" si="2"/>
        <v>9.75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150</v>
      </c>
      <c r="O54" s="34">
        <f t="shared" si="59"/>
        <v>9</v>
      </c>
      <c r="P54" s="49" t="s">
        <v>58</v>
      </c>
      <c r="Q54" s="49" t="s">
        <v>58</v>
      </c>
      <c r="R54" s="49"/>
      <c r="S54" s="50">
        <f t="shared" si="4"/>
        <v>8</v>
      </c>
      <c r="T54" s="52">
        <f t="shared" si="5"/>
        <v>0</v>
      </c>
      <c r="U54" s="52"/>
      <c r="V54" s="50">
        <f t="shared" si="6"/>
        <v>7</v>
      </c>
      <c r="W54" s="52">
        <f t="shared" si="7"/>
        <v>0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95</v>
      </c>
      <c r="C55" s="34">
        <v>141.0</v>
      </c>
      <c r="D55" s="34">
        <v>5.0</v>
      </c>
      <c r="E55" s="35">
        <f t="shared" si="2"/>
        <v>9.666666667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150</v>
      </c>
      <c r="O55" s="34">
        <f t="shared" si="60"/>
        <v>5</v>
      </c>
      <c r="P55" s="49" t="s">
        <v>58</v>
      </c>
      <c r="Q55" s="49" t="s">
        <v>58</v>
      </c>
      <c r="R55" s="49"/>
      <c r="S55" s="50">
        <f t="shared" si="4"/>
        <v>3</v>
      </c>
      <c r="T55" s="52">
        <f t="shared" si="5"/>
        <v>1</v>
      </c>
      <c r="U55" s="52"/>
      <c r="V55" s="50">
        <f t="shared" si="6"/>
        <v>11</v>
      </c>
      <c r="W55" s="52">
        <f t="shared" si="7"/>
        <v>3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142</v>
      </c>
      <c r="C56" s="34">
        <v>140.0</v>
      </c>
      <c r="D56" s="34">
        <v>10.0</v>
      </c>
      <c r="E56" s="35">
        <f t="shared" si="2"/>
        <v>9.555555556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149</v>
      </c>
      <c r="O56" s="34">
        <f t="shared" si="61"/>
        <v>10</v>
      </c>
      <c r="P56" s="49" t="s">
        <v>58</v>
      </c>
      <c r="Q56" s="49" t="s">
        <v>58</v>
      </c>
      <c r="R56" s="49"/>
      <c r="S56" s="50">
        <f t="shared" si="4"/>
        <v>9</v>
      </c>
      <c r="T56" s="52">
        <f t="shared" si="5"/>
        <v>0</v>
      </c>
      <c r="U56" s="52"/>
      <c r="V56" s="50">
        <f t="shared" si="6"/>
        <v>6</v>
      </c>
      <c r="W56" s="52">
        <f t="shared" si="7"/>
        <v>-1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69</v>
      </c>
      <c r="C57" s="34">
        <v>139.0</v>
      </c>
      <c r="D57" s="34">
        <v>5.0</v>
      </c>
      <c r="E57" s="35">
        <f t="shared" si="2"/>
        <v>10.33333333</v>
      </c>
      <c r="F57" s="95">
        <v>1.0</v>
      </c>
      <c r="G57" s="96">
        <v>8.0</v>
      </c>
      <c r="H57" s="97">
        <v>0.0</v>
      </c>
      <c r="I57" s="96">
        <v>6.0</v>
      </c>
      <c r="J57" s="96">
        <v>1.0</v>
      </c>
      <c r="K57" s="96">
        <v>6.0</v>
      </c>
      <c r="L57" s="98">
        <v>13.0</v>
      </c>
      <c r="M57" s="96">
        <v>2.0</v>
      </c>
      <c r="N57" s="34">
        <f t="shared" ref="N57:O57" si="62">C57+L57</f>
        <v>152</v>
      </c>
      <c r="O57" s="34">
        <f t="shared" si="62"/>
        <v>7</v>
      </c>
      <c r="P57" s="49" t="s">
        <v>58</v>
      </c>
      <c r="Q57" s="49" t="s">
        <v>58</v>
      </c>
      <c r="R57" s="49"/>
      <c r="S57" s="50">
        <f t="shared" si="4"/>
        <v>3</v>
      </c>
      <c r="T57" s="52">
        <f t="shared" si="5"/>
        <v>0</v>
      </c>
      <c r="U57" s="52"/>
      <c r="V57" s="50">
        <f t="shared" si="6"/>
        <v>12</v>
      </c>
      <c r="W57" s="52">
        <f t="shared" si="7"/>
        <v>-1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121</v>
      </c>
      <c r="C58" s="34">
        <v>139.0</v>
      </c>
      <c r="D58" s="34">
        <v>3.0</v>
      </c>
      <c r="E58" s="35">
        <f t="shared" si="2"/>
        <v>9</v>
      </c>
      <c r="F58" s="95">
        <v>1.0</v>
      </c>
      <c r="G58" s="96">
        <v>8.0</v>
      </c>
      <c r="H58" s="97">
        <v>0.0</v>
      </c>
      <c r="I58" s="96">
        <v>0.0</v>
      </c>
      <c r="J58" s="96">
        <v>6.0</v>
      </c>
      <c r="K58" s="96">
        <v>6.0</v>
      </c>
      <c r="L58" s="98">
        <v>12.0</v>
      </c>
      <c r="M58" s="96">
        <v>2.0</v>
      </c>
      <c r="N58" s="34">
        <f t="shared" ref="N58:O58" si="63">C58+L58</f>
        <v>151</v>
      </c>
      <c r="O58" s="34">
        <f t="shared" si="63"/>
        <v>5</v>
      </c>
      <c r="P58" s="49" t="s">
        <v>58</v>
      </c>
      <c r="Q58" s="49" t="s">
        <v>58</v>
      </c>
      <c r="R58" s="49"/>
      <c r="S58" s="50">
        <f t="shared" si="4"/>
        <v>2</v>
      </c>
      <c r="T58" s="52">
        <f t="shared" si="5"/>
        <v>1</v>
      </c>
      <c r="U58" s="52"/>
      <c r="V58" s="50">
        <f t="shared" si="6"/>
        <v>12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140</v>
      </c>
      <c r="C59" s="34">
        <v>137.0</v>
      </c>
      <c r="D59" s="34">
        <v>4.0</v>
      </c>
      <c r="E59" s="35">
        <f t="shared" si="2"/>
        <v>10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146</v>
      </c>
      <c r="O59" s="34">
        <f t="shared" si="64"/>
        <v>4</v>
      </c>
      <c r="P59" s="49" t="s">
        <v>58</v>
      </c>
      <c r="Q59" s="49" t="s">
        <v>58</v>
      </c>
      <c r="R59" s="49"/>
      <c r="S59" s="50">
        <f t="shared" si="4"/>
        <v>2</v>
      </c>
      <c r="T59" s="52">
        <f t="shared" si="5"/>
        <v>0</v>
      </c>
      <c r="U59" s="52"/>
      <c r="V59" s="50">
        <f t="shared" si="6"/>
        <v>13</v>
      </c>
      <c r="W59" s="52">
        <f t="shared" si="7"/>
        <v>2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101</v>
      </c>
      <c r="C60" s="34">
        <v>132.0</v>
      </c>
      <c r="D60" s="34">
        <v>5.0</v>
      </c>
      <c r="E60" s="35">
        <f t="shared" si="2"/>
        <v>8.666666667</v>
      </c>
      <c r="F60" s="95">
        <v>1.0</v>
      </c>
      <c r="G60" s="96">
        <v>8.0</v>
      </c>
      <c r="H60" s="97">
        <v>0.0</v>
      </c>
      <c r="I60" s="96">
        <v>0.0</v>
      </c>
      <c r="J60" s="96">
        <v>1.0</v>
      </c>
      <c r="K60" s="96">
        <v>0.0</v>
      </c>
      <c r="L60" s="98">
        <v>1.0</v>
      </c>
      <c r="M60" s="96">
        <v>0.0</v>
      </c>
      <c r="N60" s="34">
        <f t="shared" ref="N60:O60" si="65">C60+L60</f>
        <v>133</v>
      </c>
      <c r="O60" s="34">
        <f t="shared" si="65"/>
        <v>5</v>
      </c>
      <c r="P60" s="49" t="s">
        <v>58</v>
      </c>
      <c r="Q60" s="49" t="s">
        <v>58</v>
      </c>
      <c r="R60" s="49"/>
      <c r="S60" s="50">
        <f t="shared" si="4"/>
        <v>9</v>
      </c>
      <c r="T60" s="52">
        <f t="shared" si="5"/>
        <v>0</v>
      </c>
      <c r="U60" s="52"/>
      <c r="V60" s="50">
        <f t="shared" si="6"/>
        <v>6</v>
      </c>
      <c r="W60" s="52">
        <f t="shared" si="7"/>
        <v>2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141</v>
      </c>
      <c r="C61" s="34">
        <v>132.0</v>
      </c>
      <c r="D61" s="34">
        <v>3.0</v>
      </c>
      <c r="E61" s="35">
        <f t="shared" si="2"/>
        <v>8</v>
      </c>
      <c r="F61" s="95">
        <v>2.0</v>
      </c>
      <c r="G61" s="96">
        <v>8.0</v>
      </c>
      <c r="H61" s="97">
        <v>0.0</v>
      </c>
      <c r="I61" s="96">
        <v>6.0</v>
      </c>
      <c r="J61" s="96">
        <v>6.0</v>
      </c>
      <c r="K61" s="96">
        <v>0.0</v>
      </c>
      <c r="L61" s="98">
        <v>12.0</v>
      </c>
      <c r="M61" s="96">
        <v>2.0</v>
      </c>
      <c r="N61" s="34">
        <f t="shared" ref="N61:O61" si="66">C61+L61</f>
        <v>144</v>
      </c>
      <c r="O61" s="34">
        <f t="shared" si="66"/>
        <v>5</v>
      </c>
      <c r="P61" s="49" t="s">
        <v>58</v>
      </c>
      <c r="Q61" s="49" t="s">
        <v>58</v>
      </c>
      <c r="R61" s="49"/>
      <c r="S61" s="50">
        <f t="shared" si="4"/>
        <v>3</v>
      </c>
      <c r="T61" s="52">
        <f t="shared" si="5"/>
        <v>0</v>
      </c>
      <c r="U61" s="52"/>
      <c r="V61" s="50">
        <f t="shared" si="6"/>
        <v>12</v>
      </c>
      <c r="W61" s="52">
        <f t="shared" si="7"/>
        <v>-1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148</v>
      </c>
      <c r="C62" s="34">
        <v>131.0</v>
      </c>
      <c r="D62" s="34">
        <v>1.0</v>
      </c>
      <c r="E62" s="35">
        <f t="shared" si="2"/>
        <v>7.4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140</v>
      </c>
      <c r="O62" s="34">
        <f t="shared" si="67"/>
        <v>1</v>
      </c>
      <c r="P62" s="49" t="s">
        <v>58</v>
      </c>
      <c r="Q62" s="49" t="s">
        <v>58</v>
      </c>
      <c r="R62" s="49"/>
      <c r="S62" s="50">
        <f t="shared" si="4"/>
        <v>5</v>
      </c>
      <c r="T62" s="52">
        <f t="shared" si="5"/>
        <v>1</v>
      </c>
      <c r="U62" s="52"/>
      <c r="V62" s="50">
        <f t="shared" si="6"/>
        <v>9</v>
      </c>
      <c r="W62" s="52">
        <f t="shared" si="7"/>
        <v>-3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147</v>
      </c>
      <c r="C63" s="34">
        <v>128.0</v>
      </c>
      <c r="D63" s="34">
        <v>2.0</v>
      </c>
      <c r="E63" s="35">
        <f t="shared" si="2"/>
        <v>5.5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137</v>
      </c>
      <c r="O63" s="34">
        <f t="shared" si="68"/>
        <v>2</v>
      </c>
      <c r="P63" s="49" t="s">
        <v>58</v>
      </c>
      <c r="Q63" s="49" t="s">
        <v>58</v>
      </c>
      <c r="R63" s="49"/>
      <c r="S63" s="50">
        <f t="shared" si="4"/>
        <v>2</v>
      </c>
      <c r="T63" s="52">
        <f t="shared" si="5"/>
        <v>0</v>
      </c>
      <c r="U63" s="52"/>
      <c r="V63" s="50">
        <f t="shared" si="6"/>
        <v>13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146</v>
      </c>
      <c r="C64" s="34">
        <v>127.0</v>
      </c>
      <c r="D64" s="34">
        <v>2.0</v>
      </c>
      <c r="E64" s="35">
        <f t="shared" si="2"/>
        <v>3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136</v>
      </c>
      <c r="O64" s="34">
        <f t="shared" si="69"/>
        <v>2</v>
      </c>
      <c r="P64" s="49" t="s">
        <v>58</v>
      </c>
      <c r="Q64" s="49" t="s">
        <v>58</v>
      </c>
      <c r="R64" s="49"/>
      <c r="S64" s="50">
        <f t="shared" si="4"/>
        <v>2</v>
      </c>
      <c r="T64" s="52">
        <f t="shared" si="5"/>
        <v>1</v>
      </c>
      <c r="U64" s="52"/>
      <c r="V64" s="50">
        <f t="shared" si="6"/>
        <v>12</v>
      </c>
      <c r="W64" s="52">
        <f t="shared" si="7"/>
        <v>3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130</v>
      </c>
      <c r="C65" s="34">
        <v>126.0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135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15</v>
      </c>
      <c r="W65" s="52">
        <f t="shared" si="7"/>
        <v>-1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104</v>
      </c>
      <c r="C66" s="34">
        <v>126.0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135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15</v>
      </c>
      <c r="W66" s="52">
        <f t="shared" si="7"/>
        <v>-1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131</v>
      </c>
      <c r="C67" s="34">
        <v>126.0</v>
      </c>
      <c r="D67" s="34">
        <v>0.0</v>
      </c>
      <c r="E67" s="35">
        <f t="shared" si="2"/>
        <v>0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135</v>
      </c>
      <c r="O67" s="34">
        <f t="shared" si="72"/>
        <v>0</v>
      </c>
      <c r="P67" s="49" t="s">
        <v>58</v>
      </c>
      <c r="Q67" s="49" t="s">
        <v>58</v>
      </c>
      <c r="R67" s="49"/>
      <c r="S67" s="50">
        <f t="shared" si="4"/>
        <v>0</v>
      </c>
      <c r="T67" s="52">
        <f t="shared" si="5"/>
        <v>0</v>
      </c>
      <c r="U67" s="52"/>
      <c r="V67" s="50">
        <f t="shared" si="6"/>
        <v>15</v>
      </c>
      <c r="W67" s="52">
        <f t="shared" si="7"/>
        <v>-1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120.0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129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13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118.0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127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12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10/04/25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desc"",0)"),"Herman Au")</f>
        <v>Herman Au</v>
      </c>
      <c r="C81" s="117">
        <f>IFERROR(__xludf.DUMMYFUNCTION("""COMPUTED_VALUE"""),20.0)</f>
        <v>20</v>
      </c>
      <c r="D81" s="117">
        <f>IFERROR(__xludf.DUMMYFUNCTION("""COMPUTED_VALUE"""),3.0)</f>
        <v>3</v>
      </c>
      <c r="E81" s="117">
        <f>IFERROR(__xludf.DUMMYFUNCTION("""COMPUTED_VALUE"""),6.0)</f>
        <v>6</v>
      </c>
      <c r="F81" s="1"/>
    </row>
    <row r="82">
      <c r="A82" s="1"/>
      <c r="B82" s="33" t="str">
        <f>IFERROR(__xludf.DUMMYFUNCTION("""COMPUTED_VALUE"""),"David Shin")</f>
        <v>David Shin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IFERROR(__xludf.DUMMYFUNCTION("""COMPUTED_VALUE"""),2.0)</f>
        <v>2</v>
      </c>
      <c r="F82" s="1"/>
    </row>
    <row r="83">
      <c r="A83" s="1"/>
      <c r="B83" s="33" t="str">
        <f>IFERROR(__xludf.DUMMYFUNCTION("""COMPUTED_VALUE"""),"Matthew Huang")</f>
        <v>Matthew Huang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IFERROR(__xludf.DUMMYFUNCTION("""COMPUTED_VALUE"""),4.0)</f>
        <v>4</v>
      </c>
      <c r="F83" s="1"/>
    </row>
    <row r="84">
      <c r="A84" s="1"/>
      <c r="B84" s="33" t="str">
        <f>IFERROR(__xludf.DUMMYFUNCTION("""COMPUTED_VALUE"""),"Tina Hanson")</f>
        <v>Tina Hanson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IFERROR(__xludf.DUMMYFUNCTION("""COMPUTED_VALUE"""),9.0)</f>
        <v>9</v>
      </c>
      <c r="F84" s="1"/>
    </row>
    <row r="85">
      <c r="A85" s="1"/>
      <c r="B85" s="33" t="str">
        <f>IFERROR(__xludf.DUMMYFUNCTION("""COMPUTED_VALUE"""),"Basudev Thoppai Vidyasankar")</f>
        <v>Basudev Thoppai Vidyasankar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IFERROR(__xludf.DUMMYFUNCTION("""COMPUTED_VALUE"""),5.0)</f>
        <v>5</v>
      </c>
      <c r="F85" s="1"/>
    </row>
    <row r="86">
      <c r="A86" s="1"/>
      <c r="B86" s="33" t="str">
        <f>IFERROR(__xludf.DUMMYFUNCTION("""COMPUTED_VALUE"""),"Sandy Weyant")</f>
        <v>Sandy Weyant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IFERROR(__xludf.DUMMYFUNCTION("""COMPUTED_VALUE"""),8.0)</f>
        <v>8</v>
      </c>
      <c r="F86" s="1"/>
    </row>
    <row r="87">
      <c r="A87" s="1"/>
      <c r="B87" s="33" t="str">
        <f>IFERROR(__xludf.DUMMYFUNCTION("""COMPUTED_VALUE"""),"Adrian Tay")</f>
        <v>Adrian Tay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IFERROR(__xludf.DUMMYFUNCTION("""COMPUTED_VALUE"""),1.0)</f>
        <v>1</v>
      </c>
      <c r="F87" s="1"/>
    </row>
    <row r="88">
      <c r="A88" s="1"/>
      <c r="B88" s="33" t="str">
        <f>IFERROR(__xludf.DUMMYFUNCTION("""COMPUTED_VALUE"""),"Manish Anand")</f>
        <v>Manish Anand</v>
      </c>
      <c r="C88" s="117">
        <f>IFERROR(__xludf.DUMMYFUNCTION("""COMPUTED_VALUE"""),18.0)</f>
        <v>18</v>
      </c>
      <c r="D88" s="117">
        <f>IFERROR(__xludf.DUMMYFUNCTION("""COMPUTED_VALUE"""),2.0)</f>
        <v>2</v>
      </c>
      <c r="E88" s="117">
        <f>IFERROR(__xludf.DUMMYFUNCTION("""COMPUTED_VALUE"""),7.0)</f>
        <v>7</v>
      </c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10"")"),"Herman Au")</f>
        <v>Herman Au</v>
      </c>
      <c r="C100" s="117">
        <f>IFERROR(__xludf.DUMMYFUNCTION("""COMPUTED_VALUE"""),9.0)</f>
        <v>9</v>
      </c>
      <c r="D100" s="117">
        <f t="shared" ref="D100:D109" si="75">VLOOKUP(B100,indirect($AC$2&amp;"!B$5:X$69"),23, false)</f>
        <v>30</v>
      </c>
      <c r="E100" s="117">
        <f t="shared" ref="E100:E109" si="76">VLOOKUP(B100,B$5:X$69,23, false)</f>
        <v>21</v>
      </c>
      <c r="F100" s="117">
        <f t="shared" ref="F100:F109" si="77">VLOOKUP(B100,indirect($AC$2&amp;"!B$5:U$70"),11, false)</f>
        <v>20</v>
      </c>
      <c r="G100" s="117">
        <f t="shared" ref="G100:G109" si="78">VLOOKUP(B100,indirect($AC$2&amp;"!B$5:U$70"),6, false)</f>
        <v>6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IFERROR(__xludf.DUMMYFUNCTION("""COMPUTED_VALUE"""),"Hongyuan Wen")</f>
        <v>Hongyuan Wen</v>
      </c>
      <c r="C101" s="117">
        <f>IFERROR(__xludf.DUMMYFUNCTION("""COMPUTED_VALUE"""),6.0)</f>
        <v>6</v>
      </c>
      <c r="D101" s="117">
        <f t="shared" si="75"/>
        <v>32</v>
      </c>
      <c r="E101" s="117">
        <f t="shared" si="76"/>
        <v>26</v>
      </c>
      <c r="F101" s="117">
        <f t="shared" si="77"/>
        <v>16</v>
      </c>
      <c r="G101" s="117">
        <f t="shared" si="78"/>
        <v>6</v>
      </c>
      <c r="L101" s="117" t="str">
        <f t="shared" si="79"/>
        <v>ok</v>
      </c>
    </row>
    <row r="102">
      <c r="A102" s="1"/>
      <c r="B102" s="33" t="str">
        <f>IFERROR(__xludf.DUMMYFUNCTION("""COMPUTED_VALUE"""),"Sandy Weyant")</f>
        <v>Sandy Weyant</v>
      </c>
      <c r="C102" s="117">
        <f>IFERROR(__xludf.DUMMYFUNCTION("""COMPUTED_VALUE"""),6.0)</f>
        <v>6</v>
      </c>
      <c r="D102" s="117">
        <f t="shared" si="75"/>
        <v>46</v>
      </c>
      <c r="E102" s="117">
        <f t="shared" si="76"/>
        <v>40</v>
      </c>
      <c r="F102" s="117">
        <f t="shared" si="77"/>
        <v>18</v>
      </c>
      <c r="G102" s="117">
        <f t="shared" si="78"/>
        <v>8</v>
      </c>
      <c r="L102" s="117" t="str">
        <f t="shared" si="79"/>
        <v>ok</v>
      </c>
    </row>
    <row r="103">
      <c r="A103" s="1"/>
      <c r="B103" s="33" t="str">
        <f>IFERROR(__xludf.DUMMYFUNCTION("""COMPUTED_VALUE"""),"Tina Hanson")</f>
        <v>Tina Hanson</v>
      </c>
      <c r="C103" s="117">
        <f>IFERROR(__xludf.DUMMYFUNCTION("""COMPUTED_VALUE"""),5.0)</f>
        <v>5</v>
      </c>
      <c r="D103" s="117">
        <f t="shared" si="75"/>
        <v>24</v>
      </c>
      <c r="E103" s="117">
        <f t="shared" si="76"/>
        <v>19</v>
      </c>
      <c r="F103" s="117">
        <f t="shared" si="77"/>
        <v>18</v>
      </c>
      <c r="G103" s="117">
        <f t="shared" si="78"/>
        <v>9</v>
      </c>
      <c r="L103" s="117" t="str">
        <f t="shared" si="79"/>
        <v>ok</v>
      </c>
    </row>
    <row r="104">
      <c r="A104" s="1"/>
      <c r="B104" s="33" t="str">
        <f>IFERROR(__xludf.DUMMYFUNCTION("""COMPUTED_VALUE"""),"Basudev Thoppai Vidyasankar")</f>
        <v>Basudev Thoppai Vidyasankar</v>
      </c>
      <c r="C104" s="117">
        <f>IFERROR(__xludf.DUMMYFUNCTION("""COMPUTED_VALUE"""),5.0)</f>
        <v>5</v>
      </c>
      <c r="D104" s="117">
        <f t="shared" si="75"/>
        <v>25</v>
      </c>
      <c r="E104" s="117">
        <f t="shared" si="76"/>
        <v>20</v>
      </c>
      <c r="F104" s="117">
        <f t="shared" si="77"/>
        <v>18</v>
      </c>
      <c r="G104" s="117">
        <f t="shared" si="78"/>
        <v>5</v>
      </c>
      <c r="L104" s="117" t="str">
        <f t="shared" si="79"/>
        <v>ok</v>
      </c>
    </row>
    <row r="105">
      <c r="A105" s="1"/>
      <c r="B105" s="33" t="str">
        <f>IFERROR(__xludf.DUMMYFUNCTION("""COMPUTED_VALUE"""),"Alex Hou")</f>
        <v>Alex Hou</v>
      </c>
      <c r="C105" s="117">
        <f>IFERROR(__xludf.DUMMYFUNCTION("""COMPUTED_VALUE"""),5.0)</f>
        <v>5</v>
      </c>
      <c r="D105" s="117">
        <f t="shared" si="75"/>
        <v>36</v>
      </c>
      <c r="E105" s="117">
        <f t="shared" si="76"/>
        <v>31</v>
      </c>
      <c r="F105" s="117">
        <f t="shared" si="77"/>
        <v>15</v>
      </c>
      <c r="G105" s="117">
        <f t="shared" si="78"/>
        <v>7</v>
      </c>
      <c r="L105" s="117" t="str">
        <f t="shared" si="79"/>
        <v>ok</v>
      </c>
    </row>
    <row r="106">
      <c r="A106" s="1"/>
      <c r="B106" s="33" t="str">
        <f>IFERROR(__xludf.DUMMYFUNCTION("""COMPUTED_VALUE"""),"Manish Anand")</f>
        <v>Manish Anand</v>
      </c>
      <c r="C106" s="117">
        <f>IFERROR(__xludf.DUMMYFUNCTION("""COMPUTED_VALUE"""),5.0)</f>
        <v>5</v>
      </c>
      <c r="D106" s="117">
        <f t="shared" si="75"/>
        <v>38</v>
      </c>
      <c r="E106" s="117">
        <f t="shared" si="76"/>
        <v>33</v>
      </c>
      <c r="F106" s="117">
        <f t="shared" si="77"/>
        <v>18</v>
      </c>
      <c r="G106" s="117">
        <f t="shared" si="78"/>
        <v>7</v>
      </c>
      <c r="L106" s="117" t="str">
        <f t="shared" si="79"/>
        <v>ok</v>
      </c>
    </row>
    <row r="107">
      <c r="A107" s="1"/>
      <c r="B107" s="33" t="str">
        <f>IFERROR(__xludf.DUMMYFUNCTION("""COMPUTED_VALUE"""),"Joe Luzzi")</f>
        <v>Joe Luzzi</v>
      </c>
      <c r="C107" s="117">
        <f>IFERROR(__xludf.DUMMYFUNCTION("""COMPUTED_VALUE"""),4.0)</f>
        <v>4</v>
      </c>
      <c r="D107" s="117">
        <f t="shared" si="75"/>
        <v>11</v>
      </c>
      <c r="E107" s="117">
        <f t="shared" si="76"/>
        <v>7</v>
      </c>
      <c r="F107" s="117">
        <f t="shared" si="77"/>
        <v>17</v>
      </c>
      <c r="G107" s="117">
        <f t="shared" si="78"/>
        <v>3</v>
      </c>
      <c r="L107" s="117" t="str">
        <f t="shared" si="79"/>
        <v>ok</v>
      </c>
    </row>
    <row r="108">
      <c r="A108" s="1"/>
      <c r="B108" s="33" t="str">
        <f>IFERROR(__xludf.DUMMYFUNCTION("""COMPUTED_VALUE"""),"Pavan Akkimsetty")</f>
        <v>Pavan Akkimsetty</v>
      </c>
      <c r="C108" s="117">
        <f>IFERROR(__xludf.DUMMYFUNCTION("""COMPUTED_VALUE"""),3.0)</f>
        <v>3</v>
      </c>
      <c r="D108" s="117">
        <f t="shared" si="75"/>
        <v>8</v>
      </c>
      <c r="E108" s="117">
        <f t="shared" si="76"/>
        <v>5</v>
      </c>
      <c r="F108" s="117">
        <f t="shared" si="77"/>
        <v>16</v>
      </c>
      <c r="G108" s="117">
        <f t="shared" si="78"/>
        <v>2</v>
      </c>
      <c r="L108" s="117" t="str">
        <f t="shared" si="79"/>
        <v>ok</v>
      </c>
    </row>
    <row r="109">
      <c r="A109" s="1"/>
      <c r="B109" s="33" t="str">
        <f>IFERROR(__xludf.DUMMYFUNCTION("""COMPUTED_VALUE"""),"Matthew Huang")</f>
        <v>Matthew Huang</v>
      </c>
      <c r="C109" s="117">
        <f>IFERROR(__xludf.DUMMYFUNCTION("""COMPUTED_VALUE"""),3.0)</f>
        <v>3</v>
      </c>
      <c r="D109" s="117">
        <f t="shared" si="75"/>
        <v>16</v>
      </c>
      <c r="E109" s="117">
        <f t="shared" si="76"/>
        <v>13</v>
      </c>
      <c r="F109" s="117">
        <f t="shared" si="77"/>
        <v>18</v>
      </c>
      <c r="G109" s="117">
        <f t="shared" si="78"/>
        <v>4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15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205</v>
      </c>
      <c r="D118" s="117">
        <f t="shared" si="80"/>
        <v>24</v>
      </c>
      <c r="E118" s="117">
        <f t="shared" si="80"/>
        <v>16</v>
      </c>
      <c r="F118" s="1"/>
    </row>
    <row r="119">
      <c r="A119" s="117">
        <f t="shared" ref="A119:E119" si="81">A6</f>
        <v>2</v>
      </c>
      <c r="B119" s="33" t="str">
        <f t="shared" si="81"/>
        <v>Pulkit Mathur</v>
      </c>
      <c r="C119" s="117">
        <f t="shared" si="81"/>
        <v>197</v>
      </c>
      <c r="D119" s="117">
        <f t="shared" si="81"/>
        <v>22</v>
      </c>
      <c r="E119" s="117">
        <f t="shared" si="81"/>
        <v>14.16666667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197</v>
      </c>
      <c r="D120" s="117">
        <f t="shared" si="82"/>
        <v>19</v>
      </c>
      <c r="E120" s="117">
        <f t="shared" si="82"/>
        <v>14.16666667</v>
      </c>
      <c r="F120" s="1"/>
    </row>
    <row r="121">
      <c r="A121" s="117">
        <f t="shared" ref="A121:E121" si="83">A8</f>
        <v>4</v>
      </c>
      <c r="B121" s="33" t="str">
        <f t="shared" si="83"/>
        <v>David Shin</v>
      </c>
      <c r="C121" s="117">
        <f t="shared" si="83"/>
        <v>196</v>
      </c>
      <c r="D121" s="117">
        <f t="shared" si="83"/>
        <v>19</v>
      </c>
      <c r="E121" s="117">
        <f t="shared" si="83"/>
        <v>13.35714286</v>
      </c>
      <c r="F121" s="1"/>
    </row>
    <row r="122">
      <c r="A122" s="117">
        <f t="shared" ref="A122:E122" si="84">A9</f>
        <v>5</v>
      </c>
      <c r="B122" s="33" t="str">
        <f t="shared" si="84"/>
        <v>Pavan Akkimsetty</v>
      </c>
      <c r="C122" s="117">
        <f t="shared" si="84"/>
        <v>192</v>
      </c>
      <c r="D122" s="117">
        <f t="shared" si="84"/>
        <v>17</v>
      </c>
      <c r="E122" s="117">
        <f t="shared" si="84"/>
        <v>14.18181818</v>
      </c>
      <c r="F122" s="1"/>
    </row>
    <row r="123">
      <c r="A123" s="117">
        <f t="shared" ref="A123:E123" si="85">A10</f>
        <v>6</v>
      </c>
      <c r="B123" s="33" t="str">
        <f t="shared" si="85"/>
        <v>Tom Le</v>
      </c>
      <c r="C123" s="117">
        <f t="shared" si="85"/>
        <v>191</v>
      </c>
      <c r="D123" s="117">
        <f t="shared" si="85"/>
        <v>19</v>
      </c>
      <c r="E123" s="117">
        <f t="shared" si="85"/>
        <v>13.72727273</v>
      </c>
      <c r="F123" s="1"/>
    </row>
    <row r="124">
      <c r="A124" s="117">
        <f t="shared" ref="A124:E124" si="86">A11</f>
        <v>7</v>
      </c>
      <c r="B124" s="33" t="str">
        <f t="shared" si="86"/>
        <v>Joe Luzzi</v>
      </c>
      <c r="C124" s="117">
        <f t="shared" si="86"/>
        <v>191</v>
      </c>
      <c r="D124" s="117">
        <f t="shared" si="86"/>
        <v>15</v>
      </c>
      <c r="E124" s="117">
        <f t="shared" si="86"/>
        <v>13.33333333</v>
      </c>
      <c r="F124" s="1"/>
    </row>
    <row r="125">
      <c r="A125" s="117">
        <f t="shared" ref="A125:E125" si="87">A12</f>
        <v>8</v>
      </c>
      <c r="B125" s="33" t="str">
        <f t="shared" si="87"/>
        <v>Ethan Gu</v>
      </c>
      <c r="C125" s="117">
        <f t="shared" si="87"/>
        <v>189</v>
      </c>
      <c r="D125" s="117">
        <f t="shared" si="87"/>
        <v>23</v>
      </c>
      <c r="E125" s="117">
        <f t="shared" si="87"/>
        <v>12.85714286</v>
      </c>
      <c r="F125" s="1"/>
    </row>
    <row r="126">
      <c r="A126" s="117">
        <f t="shared" ref="A126:E126" si="88">A13</f>
        <v>9</v>
      </c>
      <c r="B126" s="33" t="str">
        <f t="shared" si="88"/>
        <v>Sandeep Kamalon</v>
      </c>
      <c r="C126" s="117">
        <f t="shared" si="88"/>
        <v>189</v>
      </c>
      <c r="D126" s="117">
        <f t="shared" si="88"/>
        <v>21</v>
      </c>
      <c r="E126" s="117">
        <f t="shared" si="88"/>
        <v>12.84615385</v>
      </c>
      <c r="F126" s="1"/>
    </row>
    <row r="127">
      <c r="A127" s="117">
        <f t="shared" ref="A127:E127" si="89">A14</f>
        <v>10</v>
      </c>
      <c r="B127" s="33" t="str">
        <f t="shared" si="89"/>
        <v>Rajasekar Ramasamy</v>
      </c>
      <c r="C127" s="117">
        <f t="shared" si="89"/>
        <v>189</v>
      </c>
      <c r="D127" s="117">
        <f t="shared" si="89"/>
        <v>21</v>
      </c>
      <c r="E127" s="117">
        <f t="shared" si="89"/>
        <v>12.84615385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IFERROR(__xludf.DUMMYFUNCTION("""COMPUTED_VALUE"""),"Frank Moon")</f>
        <v>Frank Moon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IFERROR(__xludf.DUMMYFUNCTION("""COMPUTED_VALUE"""),"Nicole Ni")</f>
        <v>Nicole Ni</v>
      </c>
      <c r="C155" s="1"/>
      <c r="D155" s="1"/>
      <c r="E155" s="1"/>
      <c r="F155" s="1"/>
    </row>
    <row r="156">
      <c r="A156" s="117">
        <f t="shared" si="90"/>
        <v>0</v>
      </c>
      <c r="B156" s="33"/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10/04/25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IFERROR(__xludf.DUMMYFUNCTION("""COMPUTED_VALUE"""),"Adrian Tay")</f>
        <v>Adrian Tay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IFERROR(__xludf.DUMMYFUNCTION("""COMPUTED_VALUE"""),6.0)</f>
        <v>6</v>
      </c>
      <c r="F184" s="122">
        <f>IFERROR(__xludf.DUMMYFUNCTION("""COMPUTED_VALUE"""),18.0)</f>
        <v>18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IFERROR(__xludf.DUMMYFUNCTION("""COMPUTED_VALUE"""),"Lam Bui")</f>
        <v>Lam Bui</v>
      </c>
      <c r="C185" s="122">
        <f>IFERROR(__xludf.DUMMYFUNCTION("""COMPUTED_VALUE"""),7.0)</f>
        <v>7</v>
      </c>
      <c r="D185" s="122">
        <f>IFERROR(__xludf.DUMMYFUNCTION("""COMPUTED_VALUE"""),1.0)</f>
        <v>1</v>
      </c>
      <c r="E185" s="122">
        <f>IFERROR(__xludf.DUMMYFUNCTION("""COMPUTED_VALUE"""),6.0)</f>
        <v>6</v>
      </c>
      <c r="F185" s="122">
        <f>IFERROR(__xludf.DUMMYFUNCTION("""COMPUTED_VALUE"""),14.0)</f>
        <v>14</v>
      </c>
      <c r="G185" s="122">
        <f>IFERROR(__xludf.DUMMYFUNCTION("""COMPUTED_VALUE"""),2.0)</f>
        <v>2</v>
      </c>
    </row>
    <row r="186">
      <c r="A186" s="117">
        <f>IFERROR(__xludf.DUMMYFUNCTION("""COMPUTED_VALUE"""),1.0)</f>
        <v>1</v>
      </c>
      <c r="B186" s="33" t="str">
        <f>IFERROR(__xludf.DUMMYFUNCTION("""COMPUTED_VALUE"""),"Pulkit Mathur")</f>
        <v>Pulkit Mathur</v>
      </c>
      <c r="C186" s="122">
        <f>IFERROR(__xludf.DUMMYFUNCTION("""COMPUTED_VALUE"""),7.0)</f>
        <v>7</v>
      </c>
      <c r="D186" s="122">
        <f>IFERROR(__xludf.DUMMYFUNCTION("""COMPUTED_VALUE"""),6.0)</f>
        <v>6</v>
      </c>
      <c r="E186" s="122">
        <f>IFERROR(__xludf.DUMMYFUNCTION("""COMPUTED_VALUE"""),2.0)</f>
        <v>2</v>
      </c>
      <c r="F186" s="122">
        <f>IFERROR(__xludf.DUMMYFUNCTION("""COMPUTED_VALUE"""),15.0)</f>
        <v>15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IFERROR(__xludf.DUMMYFUNCTION("""COMPUTED_VALUE"""),"Tom Le")</f>
        <v>Tom Le</v>
      </c>
      <c r="C187" s="122">
        <f>IFERROR(__xludf.DUMMYFUNCTION("""COMPUTED_VALUE"""),6.0)</f>
        <v>6</v>
      </c>
      <c r="D187" s="122">
        <f>IFERROR(__xludf.DUMMYFUNCTION("""COMPUTED_VALUE"""),1.0)</f>
        <v>1</v>
      </c>
      <c r="E187" s="122">
        <f>IFERROR(__xludf.DUMMYFUNCTION("""COMPUTED_VALUE"""),2.0)</f>
        <v>2</v>
      </c>
      <c r="F187" s="122">
        <f>IFERROR(__xludf.DUMMYFUNCTION("""COMPUTED_VALUE"""),9.0)</f>
        <v>9</v>
      </c>
      <c r="G187" s="122">
        <f>IFERROR(__xludf.DUMMYFUNCTION("""COMPUTED_VALUE"""),0.0)</f>
        <v>0</v>
      </c>
    </row>
    <row r="188">
      <c r="A188" s="123">
        <f>IFERROR(__xludf.DUMMYFUNCTION("""COMPUTED_VALUE"""),2.0)</f>
        <v>2</v>
      </c>
      <c r="B188" s="124" t="str">
        <f>IFERROR(__xludf.DUMMYFUNCTION("""COMPUTED_VALUE"""),"David Shin")</f>
        <v>David Shin</v>
      </c>
      <c r="C188" s="125">
        <f>IFERROR(__xludf.DUMMYFUNCTION("""COMPUTED_VALUE"""),6.0)</f>
        <v>6</v>
      </c>
      <c r="D188" s="125">
        <f>IFERROR(__xludf.DUMMYFUNCTION("""COMPUTED_VALUE"""),6.0)</f>
        <v>6</v>
      </c>
      <c r="E188" s="125">
        <f>IFERROR(__xludf.DUMMYFUNCTION("""COMPUTED_VALUE"""),7.0)</f>
        <v>7</v>
      </c>
      <c r="F188" s="125">
        <f>IFERROR(__xludf.DUMMYFUNCTION("""COMPUTED_VALUE"""),19.0)</f>
        <v>19</v>
      </c>
      <c r="G188" s="125">
        <f>IFERROR(__xludf.DUMMYFUNCTION("""COMPUTED_VALUE"""),3.0)</f>
        <v>3</v>
      </c>
    </row>
    <row r="189">
      <c r="A189" s="123">
        <f>IFERROR(__xludf.DUMMYFUNCTION("""COMPUTED_VALUE"""),2.0)</f>
        <v>2</v>
      </c>
      <c r="B189" s="124" t="str">
        <f>IFERROR(__xludf.DUMMYFUNCTION("""COMPUTED_VALUE"""),"Ethan Gu")</f>
        <v>Ethan Gu</v>
      </c>
      <c r="C189" s="125">
        <f>IFERROR(__xludf.DUMMYFUNCTION("""COMPUTED_VALUE"""),4.0)</f>
        <v>4</v>
      </c>
      <c r="D189" s="125">
        <f>IFERROR(__xludf.DUMMYFUNCTION("""COMPUTED_VALUE"""),2.0)</f>
        <v>2</v>
      </c>
      <c r="E189" s="125">
        <f>IFERROR(__xludf.DUMMYFUNCTION("""COMPUTED_VALUE"""),7.0)</f>
        <v>7</v>
      </c>
      <c r="F189" s="125">
        <f>IFERROR(__xludf.DUMMYFUNCTION("""COMPUTED_VALUE"""),13.0)</f>
        <v>13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IFERROR(__xludf.DUMMYFUNCTION("""COMPUTED_VALUE"""),"Pavan Akkimsetty")</f>
        <v>Pavan Akkimsetty</v>
      </c>
      <c r="C190" s="125">
        <f>IFERROR(__xludf.DUMMYFUNCTION("""COMPUTED_VALUE"""),4.0)</f>
        <v>4</v>
      </c>
      <c r="D190" s="125">
        <f>IFERROR(__xludf.DUMMYFUNCTION("""COMPUTED_VALUE"""),6.0)</f>
        <v>6</v>
      </c>
      <c r="E190" s="125">
        <f>IFERROR(__xludf.DUMMYFUNCTION("""COMPUTED_VALUE"""),6.0)</f>
        <v>6</v>
      </c>
      <c r="F190" s="125">
        <f>IFERROR(__xludf.DUMMYFUNCTION("""COMPUTED_VALUE"""),16.0)</f>
        <v>16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IFERROR(__xludf.DUMMYFUNCTION("""COMPUTED_VALUE"""),"Erik Hoeckmann")</f>
        <v>Erik Hoeckmann</v>
      </c>
      <c r="C191" s="125">
        <f>IFERROR(__xludf.DUMMYFUNCTION("""COMPUTED_VALUE"""),6.0)</f>
        <v>6</v>
      </c>
      <c r="D191" s="125">
        <f>IFERROR(__xludf.DUMMYFUNCTION("""COMPUTED_VALUE"""),2.0)</f>
        <v>2</v>
      </c>
      <c r="E191" s="125">
        <f>IFERROR(__xludf.DUMMYFUNCTION("""COMPUTED_VALUE"""),6.0)</f>
        <v>6</v>
      </c>
      <c r="F191" s="125">
        <f>IFERROR(__xludf.DUMMYFUNCTION("""COMPUTED_VALUE"""),14.0)</f>
        <v>14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IFERROR(__xludf.DUMMYFUNCTION("""COMPUTED_VALUE"""),"Joe Luzzi")</f>
        <v>Joe Luzzi</v>
      </c>
      <c r="C192" s="122">
        <f>IFERROR(__xludf.DUMMYFUNCTION("""COMPUTED_VALUE"""),6.0)</f>
        <v>6</v>
      </c>
      <c r="D192" s="122">
        <f>IFERROR(__xludf.DUMMYFUNCTION("""COMPUTED_VALUE"""),5.0)</f>
        <v>5</v>
      </c>
      <c r="E192" s="122">
        <f>IFERROR(__xludf.DUMMYFUNCTION("""COMPUTED_VALUE"""),6.0)</f>
        <v>6</v>
      </c>
      <c r="F192" s="122">
        <f>IFERROR(__xludf.DUMMYFUNCTION("""COMPUTED_VALUE"""),17.0)</f>
        <v>17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IFERROR(__xludf.DUMMYFUNCTION("""COMPUTED_VALUE"""),"Rajasekar Ramasamy")</f>
        <v>Rajasekar Ramasamy</v>
      </c>
      <c r="C193" s="122">
        <f>IFERROR(__xludf.DUMMYFUNCTION("""COMPUTED_VALUE"""),6.0)</f>
        <v>6</v>
      </c>
      <c r="D193" s="122">
        <f>IFERROR(__xludf.DUMMYFUNCTION("""COMPUTED_VALUE"""),7.0)</f>
        <v>7</v>
      </c>
      <c r="E193" s="122">
        <f>IFERROR(__xludf.DUMMYFUNCTION("""COMPUTED_VALUE"""),4.0)</f>
        <v>4</v>
      </c>
      <c r="F193" s="122">
        <f>IFERROR(__xludf.DUMMYFUNCTION("""COMPUTED_VALUE"""),17.0)</f>
        <v>17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IFERROR(__xludf.DUMMYFUNCTION("""COMPUTED_VALUE"""),"Scott Li")</f>
        <v>Scott Li</v>
      </c>
      <c r="C194" s="122">
        <f>IFERROR(__xludf.DUMMYFUNCTION("""COMPUTED_VALUE"""),4.0)</f>
        <v>4</v>
      </c>
      <c r="D194" s="122">
        <f>IFERROR(__xludf.DUMMYFUNCTION("""COMPUTED_VALUE"""),5.0)</f>
        <v>5</v>
      </c>
      <c r="E194" s="122">
        <f>IFERROR(__xludf.DUMMYFUNCTION("""COMPUTED_VALUE"""),4.0)</f>
        <v>4</v>
      </c>
      <c r="F194" s="122">
        <f>IFERROR(__xludf.DUMMYFUNCTION("""COMPUTED_VALUE"""),13.0)</f>
        <v>13</v>
      </c>
      <c r="G194" s="122">
        <f>IFERROR(__xludf.DUMMYFUNCTION("""COMPUTED_VALUE"""),0.0)</f>
        <v>0</v>
      </c>
    </row>
    <row r="195">
      <c r="A195" s="117">
        <f>IFERROR(__xludf.DUMMYFUNCTION("""COMPUTED_VALUE"""),3.0)</f>
        <v>3</v>
      </c>
      <c r="B195" s="33" t="str">
        <f>IFERROR(__xludf.DUMMYFUNCTION("""COMPUTED_VALUE"""),"Jonathan Phan")</f>
        <v>Jonathan Phan</v>
      </c>
      <c r="C195" s="122">
        <f>IFERROR(__xludf.DUMMYFUNCTION("""COMPUTED_VALUE"""),4.0)</f>
        <v>4</v>
      </c>
      <c r="D195" s="122">
        <f>IFERROR(__xludf.DUMMYFUNCTION("""COMPUTED_VALUE"""),7.0)</f>
        <v>7</v>
      </c>
      <c r="E195" s="122">
        <f>IFERROR(__xludf.DUMMYFUNCTION("""COMPUTED_VALUE"""),6.0)</f>
        <v>6</v>
      </c>
      <c r="F195" s="122">
        <f>IFERROR(__xludf.DUMMYFUNCTION("""COMPUTED_VALUE"""),17.0)</f>
        <v>17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IFERROR(__xludf.DUMMYFUNCTION("""COMPUTED_VALUE"""),"Ted Shen")</f>
        <v>Ted Shen</v>
      </c>
      <c r="C196" s="125">
        <f>IFERROR(__xludf.DUMMYFUNCTION("""COMPUTED_VALUE"""),4.0)</f>
        <v>4</v>
      </c>
      <c r="D196" s="125">
        <f>IFERROR(__xludf.DUMMYFUNCTION("""COMPUTED_VALUE"""),1.0)</f>
        <v>1</v>
      </c>
      <c r="E196" s="125">
        <f>IFERROR(__xludf.DUMMYFUNCTION("""COMPUTED_VALUE"""),6.0)</f>
        <v>6</v>
      </c>
      <c r="F196" s="125">
        <f>IFERROR(__xludf.DUMMYFUNCTION("""COMPUTED_VALUE"""),11.0)</f>
        <v>11</v>
      </c>
      <c r="G196" s="125">
        <f>IFERROR(__xludf.DUMMYFUNCTION("""COMPUTED_VALUE"""),1.0)</f>
        <v>1</v>
      </c>
    </row>
    <row r="197">
      <c r="A197" s="123">
        <f>IFERROR(__xludf.DUMMYFUNCTION("""COMPUTED_VALUE"""),4.0)</f>
        <v>4</v>
      </c>
      <c r="B197" s="124" t="str">
        <f>IFERROR(__xludf.DUMMYFUNCTION("""COMPUTED_VALUE"""),"Matthew Huang")</f>
        <v>Matthew Huang</v>
      </c>
      <c r="C197" s="125">
        <f>IFERROR(__xludf.DUMMYFUNCTION("""COMPUTED_VALUE"""),6.0)</f>
        <v>6</v>
      </c>
      <c r="D197" s="125">
        <f>IFERROR(__xludf.DUMMYFUNCTION("""COMPUTED_VALUE"""),6.0)</f>
        <v>6</v>
      </c>
      <c r="E197" s="125">
        <f>IFERROR(__xludf.DUMMYFUNCTION("""COMPUTED_VALUE"""),6.0)</f>
        <v>6</v>
      </c>
      <c r="F197" s="125">
        <f>IFERROR(__xludf.DUMMYFUNCTION("""COMPUTED_VALUE"""),18.0)</f>
        <v>18</v>
      </c>
      <c r="G197" s="125">
        <f>IFERROR(__xludf.DUMMYFUNCTION("""COMPUTED_VALUE"""),3.0)</f>
        <v>3</v>
      </c>
    </row>
    <row r="198">
      <c r="A198" s="123">
        <f>IFERROR(__xludf.DUMMYFUNCTION("""COMPUTED_VALUE"""),4.0)</f>
        <v>4</v>
      </c>
      <c r="B198" s="124" t="str">
        <f>IFERROR(__xludf.DUMMYFUNCTION("""COMPUTED_VALUE"""),"Frank Moon")</f>
        <v>Frank Moon</v>
      </c>
      <c r="C198" s="125">
        <f>IFERROR(__xludf.DUMMYFUNCTION("""COMPUTED_VALUE"""),4.0)</f>
        <v>4</v>
      </c>
      <c r="D198" s="125">
        <f>IFERROR(__xludf.DUMMYFUNCTION("""COMPUTED_VALUE"""),6.0)</f>
        <v>6</v>
      </c>
      <c r="E198" s="125">
        <f>IFERROR(__xludf.DUMMYFUNCTION("""COMPUTED_VALUE"""),3.0)</f>
        <v>3</v>
      </c>
      <c r="F198" s="125">
        <f>IFERROR(__xludf.DUMMYFUNCTION("""COMPUTED_VALUE"""),13.0)</f>
        <v>13</v>
      </c>
      <c r="G198" s="125">
        <f>IFERROR(__xludf.DUMMYFUNCTION("""COMPUTED_VALUE"""),1.0)</f>
        <v>1</v>
      </c>
    </row>
    <row r="199">
      <c r="A199" s="123">
        <f>IFERROR(__xludf.DUMMYFUNCTION("""COMPUTED_VALUE"""),4.0)</f>
        <v>4</v>
      </c>
      <c r="B199" s="124" t="str">
        <f>IFERROR(__xludf.DUMMYFUNCTION("""COMPUTED_VALUE"""),"Chinna Ponnaganti")</f>
        <v>Chinna Ponnaganti</v>
      </c>
      <c r="C199" s="125">
        <f>IFERROR(__xludf.DUMMYFUNCTION("""COMPUTED_VALUE"""),6.0)</f>
        <v>6</v>
      </c>
      <c r="D199" s="125">
        <f>IFERROR(__xludf.DUMMYFUNCTION("""COMPUTED_VALUE"""),1.0)</f>
        <v>1</v>
      </c>
      <c r="E199" s="125">
        <f>IFERROR(__xludf.DUMMYFUNCTION("""COMPUTED_VALUE"""),3.0)</f>
        <v>3</v>
      </c>
      <c r="F199" s="125">
        <f>IFERROR(__xludf.DUMMYFUNCTION("""COMPUTED_VALUE"""),10.0)</f>
        <v>10</v>
      </c>
      <c r="G199" s="125">
        <f>IFERROR(__xludf.DUMMYFUNCTION("""COMPUTED_VALUE"""),1.0)</f>
        <v>1</v>
      </c>
    </row>
    <row r="200">
      <c r="A200" s="117">
        <f>IFERROR(__xludf.DUMMYFUNCTION("""COMPUTED_VALUE"""),5.0)</f>
        <v>5</v>
      </c>
      <c r="B200" s="33" t="str">
        <f>IFERROR(__xludf.DUMMYFUNCTION("""COMPUTED_VALUE"""),"Basudev Thoppai Vidyasankar")</f>
        <v>Basudev Thoppai Vidyasankar</v>
      </c>
      <c r="C200" s="122">
        <f>IFERROR(__xludf.DUMMYFUNCTION("""COMPUTED_VALUE"""),6.0)</f>
        <v>6</v>
      </c>
      <c r="D200" s="122">
        <f>IFERROR(__xludf.DUMMYFUNCTION("""COMPUTED_VALUE"""),6.0)</f>
        <v>6</v>
      </c>
      <c r="E200" s="122">
        <f>IFERROR(__xludf.DUMMYFUNCTION("""COMPUTED_VALUE"""),6.0)</f>
        <v>6</v>
      </c>
      <c r="F200" s="122">
        <f>IFERROR(__xludf.DUMMYFUNCTION("""COMPUTED_VALUE"""),18.0)</f>
        <v>18</v>
      </c>
      <c r="G200" s="122">
        <f>IFERROR(__xludf.DUMMYFUNCTION("""COMPUTED_VALUE"""),3.0)</f>
        <v>3</v>
      </c>
    </row>
    <row r="201">
      <c r="A201" s="117">
        <f>IFERROR(__xludf.DUMMYFUNCTION("""COMPUTED_VALUE"""),5.0)</f>
        <v>5</v>
      </c>
      <c r="B201" s="33" t="str">
        <f>IFERROR(__xludf.DUMMYFUNCTION("""COMPUTED_VALUE"""),"Cid Macaraeg")</f>
        <v>Cid Macaraeg</v>
      </c>
      <c r="C201" s="122">
        <f>IFERROR(__xludf.DUMMYFUNCTION("""COMPUTED_VALUE"""),6.0)</f>
        <v>6</v>
      </c>
      <c r="D201" s="122">
        <f>IFERROR(__xludf.DUMMYFUNCTION("""COMPUTED_VALUE"""),4.0)</f>
        <v>4</v>
      </c>
      <c r="E201" s="122">
        <f>IFERROR(__xludf.DUMMYFUNCTION("""COMPUTED_VALUE"""),1.0)</f>
        <v>1</v>
      </c>
      <c r="F201" s="122">
        <f>IFERROR(__xludf.DUMMYFUNCTION("""COMPUTED_VALUE"""),11.0)</f>
        <v>11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IFERROR(__xludf.DUMMYFUNCTION("""COMPUTED_VALUE"""),"Coco Yan")</f>
        <v>Coco Yan</v>
      </c>
      <c r="C202" s="122">
        <f>IFERROR(__xludf.DUMMYFUNCTION("""COMPUTED_VALUE"""),2.0)</f>
        <v>2</v>
      </c>
      <c r="D202" s="122">
        <f>IFERROR(__xludf.DUMMYFUNCTION("""COMPUTED_VALUE"""),6.0)</f>
        <v>6</v>
      </c>
      <c r="E202" s="122">
        <f>IFERROR(__xludf.DUMMYFUNCTION("""COMPUTED_VALUE"""),1.0)</f>
        <v>1</v>
      </c>
      <c r="F202" s="122">
        <f>IFERROR(__xludf.DUMMYFUNCTION("""COMPUTED_VALUE"""),9.0)</f>
        <v>9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IFERROR(__xludf.DUMMYFUNCTION("""COMPUTED_VALUE"""),"Mauricio Palacios")</f>
        <v>Mauricio Palacios</v>
      </c>
      <c r="C203" s="122">
        <f>IFERROR(__xludf.DUMMYFUNCTION("""COMPUTED_VALUE"""),2.0)</f>
        <v>2</v>
      </c>
      <c r="D203" s="122">
        <f>IFERROR(__xludf.DUMMYFUNCTION("""COMPUTED_VALUE"""),4.0)</f>
        <v>4</v>
      </c>
      <c r="E203" s="122">
        <f>IFERROR(__xludf.DUMMYFUNCTION("""COMPUTED_VALUE"""),6.0)</f>
        <v>6</v>
      </c>
      <c r="F203" s="122">
        <f>IFERROR(__xludf.DUMMYFUNCTION("""COMPUTED_VALUE"""),12.0)</f>
        <v>12</v>
      </c>
      <c r="G203" s="122">
        <f>IFERROR(__xludf.DUMMYFUNCTION("""COMPUTED_VALUE"""),1.0)</f>
        <v>1</v>
      </c>
    </row>
    <row r="204">
      <c r="A204" s="123">
        <f>IFERROR(__xludf.DUMMYFUNCTION("""COMPUTED_VALUE"""),6.0)</f>
        <v>6</v>
      </c>
      <c r="B204" s="124" t="str">
        <f>IFERROR(__xludf.DUMMYFUNCTION("""COMPUTED_VALUE"""),"Herman Au")</f>
        <v>Herman Au</v>
      </c>
      <c r="C204" s="125">
        <f>IFERROR(__xludf.DUMMYFUNCTION("""COMPUTED_VALUE"""),7.0)</f>
        <v>7</v>
      </c>
      <c r="D204" s="125">
        <f>IFERROR(__xludf.DUMMYFUNCTION("""COMPUTED_VALUE"""),7.0)</f>
        <v>7</v>
      </c>
      <c r="E204" s="125">
        <f>IFERROR(__xludf.DUMMYFUNCTION("""COMPUTED_VALUE"""),6.0)</f>
        <v>6</v>
      </c>
      <c r="F204" s="125">
        <f>IFERROR(__xludf.DUMMYFUNCTION("""COMPUTED_VALUE"""),20.0)</f>
        <v>20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IFERROR(__xludf.DUMMYFUNCTION("""COMPUTED_VALUE"""),"Ramesh Bandaru")</f>
        <v>Ramesh Bandaru</v>
      </c>
      <c r="C205" s="125">
        <f>IFERROR(__xludf.DUMMYFUNCTION("""COMPUTED_VALUE"""),5.0)</f>
        <v>5</v>
      </c>
      <c r="D205" s="125">
        <f>IFERROR(__xludf.DUMMYFUNCTION("""COMPUTED_VALUE"""),7.0)</f>
        <v>7</v>
      </c>
      <c r="E205" s="125">
        <f>IFERROR(__xludf.DUMMYFUNCTION("""COMPUTED_VALUE"""),1.0)</f>
        <v>1</v>
      </c>
      <c r="F205" s="125">
        <f>IFERROR(__xludf.DUMMYFUNCTION("""COMPUTED_VALUE"""),13.0)</f>
        <v>13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IFERROR(__xludf.DUMMYFUNCTION("""COMPUTED_VALUE"""),"Hongyuan Wen")</f>
        <v>Hongyuan Wen</v>
      </c>
      <c r="C206" s="125">
        <f>IFERROR(__xludf.DUMMYFUNCTION("""COMPUTED_VALUE"""),5.0)</f>
        <v>5</v>
      </c>
      <c r="D206" s="125">
        <f>IFERROR(__xludf.DUMMYFUNCTION("""COMPUTED_VALUE"""),5.0)</f>
        <v>5</v>
      </c>
      <c r="E206" s="125">
        <f>IFERROR(__xludf.DUMMYFUNCTION("""COMPUTED_VALUE"""),6.0)</f>
        <v>6</v>
      </c>
      <c r="F206" s="125">
        <f>IFERROR(__xludf.DUMMYFUNCTION("""COMPUTED_VALUE"""),16.0)</f>
        <v>16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IFERROR(__xludf.DUMMYFUNCTION("""COMPUTED_VALUE"""),"Jim Miao")</f>
        <v>Jim Miao</v>
      </c>
      <c r="C207" s="125">
        <f>IFERROR(__xludf.DUMMYFUNCTION("""COMPUTED_VALUE"""),7.0)</f>
        <v>7</v>
      </c>
      <c r="D207" s="125">
        <f>IFERROR(__xludf.DUMMYFUNCTION("""COMPUTED_VALUE"""),5.0)</f>
        <v>5</v>
      </c>
      <c r="E207" s="125">
        <f>IFERROR(__xludf.DUMMYFUNCTION("""COMPUTED_VALUE"""),1.0)</f>
        <v>1</v>
      </c>
      <c r="F207" s="125">
        <f>IFERROR(__xludf.DUMMYFUNCTION("""COMPUTED_VALUE"""),13.0)</f>
        <v>13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IFERROR(__xludf.DUMMYFUNCTION("""COMPUTED_VALUE"""),"Alex Hou")</f>
        <v>Alex Hou</v>
      </c>
      <c r="C208" s="122">
        <f>IFERROR(__xludf.DUMMYFUNCTION("""COMPUTED_VALUE"""),2.0)</f>
        <v>2</v>
      </c>
      <c r="D208" s="122">
        <f>IFERROR(__xludf.DUMMYFUNCTION("""COMPUTED_VALUE"""),7.0)</f>
        <v>7</v>
      </c>
      <c r="E208" s="122">
        <f>IFERROR(__xludf.DUMMYFUNCTION("""COMPUTED_VALUE"""),6.0)</f>
        <v>6</v>
      </c>
      <c r="F208" s="122">
        <f>IFERROR(__xludf.DUMMYFUNCTION("""COMPUTED_VALUE"""),15.0)</f>
        <v>15</v>
      </c>
      <c r="G208" s="122">
        <f>IFERROR(__xludf.DUMMYFUNCTION("""COMPUTED_VALUE"""),2.0)</f>
        <v>2</v>
      </c>
    </row>
    <row r="209">
      <c r="A209" s="117">
        <f>IFERROR(__xludf.DUMMYFUNCTION("""COMPUTED_VALUE"""),7.0)</f>
        <v>7</v>
      </c>
      <c r="B209" s="33" t="str">
        <f>IFERROR(__xludf.DUMMYFUNCTION("""COMPUTED_VALUE"""),"Manish Anand")</f>
        <v>Manish Anand</v>
      </c>
      <c r="C209" s="122">
        <f>IFERROR(__xludf.DUMMYFUNCTION("""COMPUTED_VALUE"""),6.0)</f>
        <v>6</v>
      </c>
      <c r="D209" s="122">
        <f>IFERROR(__xludf.DUMMYFUNCTION("""COMPUTED_VALUE"""),6.0)</f>
        <v>6</v>
      </c>
      <c r="E209" s="122">
        <f>IFERROR(__xludf.DUMMYFUNCTION("""COMPUTED_VALUE"""),6.0)</f>
        <v>6</v>
      </c>
      <c r="F209" s="122">
        <f>IFERROR(__xludf.DUMMYFUNCTION("""COMPUTED_VALUE"""),18.0)</f>
        <v>18</v>
      </c>
      <c r="G209" s="122">
        <f>IFERROR(__xludf.DUMMYFUNCTION("""COMPUTED_VALUE"""),2.0)</f>
        <v>2</v>
      </c>
    </row>
    <row r="210">
      <c r="A210" s="117">
        <f>IFERROR(__xludf.DUMMYFUNCTION("""COMPUTED_VALUE"""),7.0)</f>
        <v>7</v>
      </c>
      <c r="B210" s="33" t="str">
        <f>IFERROR(__xludf.DUMMYFUNCTION("""COMPUTED_VALUE"""),"Balaji Alahari")</f>
        <v>Balaji Alahari</v>
      </c>
      <c r="C210" s="122">
        <f>IFERROR(__xludf.DUMMYFUNCTION("""COMPUTED_VALUE"""),2.0)</f>
        <v>2</v>
      </c>
      <c r="D210" s="122">
        <f>IFERROR(__xludf.DUMMYFUNCTION("""COMPUTED_VALUE"""),6.0)</f>
        <v>6</v>
      </c>
      <c r="E210" s="122">
        <f>IFERROR(__xludf.DUMMYFUNCTION("""COMPUTED_VALUE"""),2.0)</f>
        <v>2</v>
      </c>
      <c r="F210" s="122">
        <f>IFERROR(__xludf.DUMMYFUNCTION("""COMPUTED_VALUE"""),10.0)</f>
        <v>10</v>
      </c>
      <c r="G210" s="122">
        <f>IFERROR(__xludf.DUMMYFUNCTION("""COMPUTED_VALUE"""),0.0)</f>
        <v>0</v>
      </c>
    </row>
    <row r="211">
      <c r="A211" s="117">
        <f>IFERROR(__xludf.DUMMYFUNCTION("""COMPUTED_VALUE"""),7.0)</f>
        <v>7</v>
      </c>
      <c r="B211" s="33" t="str">
        <f>IFERROR(__xludf.DUMMYFUNCTION("""COMPUTED_VALUE"""),"Naveen Raj")</f>
        <v>Naveen Raj</v>
      </c>
      <c r="C211" s="122">
        <f>IFERROR(__xludf.DUMMYFUNCTION("""COMPUTED_VALUE"""),6.0)</f>
        <v>6</v>
      </c>
      <c r="D211" s="122">
        <f>IFERROR(__xludf.DUMMYFUNCTION("""COMPUTED_VALUE"""),7.0)</f>
        <v>7</v>
      </c>
      <c r="E211" s="122">
        <f>IFERROR(__xludf.DUMMYFUNCTION("""COMPUTED_VALUE"""),2.0)</f>
        <v>2</v>
      </c>
      <c r="F211" s="122">
        <f>IFERROR(__xludf.DUMMYFUNCTION("""COMPUTED_VALUE"""),15.0)</f>
        <v>15</v>
      </c>
      <c r="G211" s="122">
        <f>IFERROR(__xludf.DUMMYFUNCTION("""COMPUTED_VALUE"""),2.0)</f>
        <v>2</v>
      </c>
    </row>
    <row r="212">
      <c r="A212" s="123">
        <f>IFERROR(__xludf.DUMMYFUNCTION("""COMPUTED_VALUE"""),8.0)</f>
        <v>8</v>
      </c>
      <c r="B212" s="124" t="str">
        <f>IFERROR(__xludf.DUMMYFUNCTION("""COMPUTED_VALUE"""),"Vinaya Kajla")</f>
        <v>Vinaya Kajla</v>
      </c>
      <c r="C212" s="125">
        <f>IFERROR(__xludf.DUMMYFUNCTION("""COMPUTED_VALUE"""),6.0)</f>
        <v>6</v>
      </c>
      <c r="D212" s="125">
        <f>IFERROR(__xludf.DUMMYFUNCTION("""COMPUTED_VALUE"""),1.0)</f>
        <v>1</v>
      </c>
      <c r="E212" s="125">
        <f>IFERROR(__xludf.DUMMYFUNCTION("""COMPUTED_VALUE"""),4.0)</f>
        <v>4</v>
      </c>
      <c r="F212" s="125">
        <f>IFERROR(__xludf.DUMMYFUNCTION("""COMPUTED_VALUE"""),11.0)</f>
        <v>11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IFERROR(__xludf.DUMMYFUNCTION("""COMPUTED_VALUE"""),"Kumar Palakeel")</f>
        <v>Kumar Palakeel</v>
      </c>
      <c r="C213" s="125">
        <f>IFERROR(__xludf.DUMMYFUNCTION("""COMPUTED_VALUE"""),2.0)</f>
        <v>2</v>
      </c>
      <c r="D213" s="125">
        <f>IFERROR(__xludf.DUMMYFUNCTION("""COMPUTED_VALUE"""),1.0)</f>
        <v>1</v>
      </c>
      <c r="E213" s="125">
        <f>IFERROR(__xludf.DUMMYFUNCTION("""COMPUTED_VALUE"""),6.0)</f>
        <v>6</v>
      </c>
      <c r="F213" s="125">
        <f>IFERROR(__xludf.DUMMYFUNCTION("""COMPUTED_VALUE"""),9.0)</f>
        <v>9</v>
      </c>
      <c r="G213" s="125">
        <f>IFERROR(__xludf.DUMMYFUNCTION("""COMPUTED_VALUE"""),1.0)</f>
        <v>1</v>
      </c>
    </row>
    <row r="214">
      <c r="A214" s="123">
        <f>IFERROR(__xludf.DUMMYFUNCTION("""COMPUTED_VALUE"""),8.0)</f>
        <v>8</v>
      </c>
      <c r="B214" s="124" t="str">
        <f>IFERROR(__xludf.DUMMYFUNCTION("""COMPUTED_VALUE"""),"Sandy Weyant")</f>
        <v>Sandy Weyant</v>
      </c>
      <c r="C214" s="125">
        <f>IFERROR(__xludf.DUMMYFUNCTION("""COMPUTED_VALUE"""),6.0)</f>
        <v>6</v>
      </c>
      <c r="D214" s="125">
        <f>IFERROR(__xludf.DUMMYFUNCTION("""COMPUTED_VALUE"""),6.0)</f>
        <v>6</v>
      </c>
      <c r="E214" s="125">
        <f>IFERROR(__xludf.DUMMYFUNCTION("""COMPUTED_VALUE"""),6.0)</f>
        <v>6</v>
      </c>
      <c r="F214" s="125">
        <f>IFERROR(__xludf.DUMMYFUNCTION("""COMPUTED_VALUE"""),18.0)</f>
        <v>18</v>
      </c>
      <c r="G214" s="125">
        <f>IFERROR(__xludf.DUMMYFUNCTION("""COMPUTED_VALUE"""),3.0)</f>
        <v>3</v>
      </c>
    </row>
    <row r="215">
      <c r="A215" s="123">
        <f>IFERROR(__xludf.DUMMYFUNCTION("""COMPUTED_VALUE"""),8.0)</f>
        <v>8</v>
      </c>
      <c r="B215" s="124" t="str">
        <f>IFERROR(__xludf.DUMMYFUNCTION("""COMPUTED_VALUE"""),"Trish Newlin")</f>
        <v>Trish Newlin</v>
      </c>
      <c r="C215" s="125">
        <f>IFERROR(__xludf.DUMMYFUNCTION("""COMPUTED_VALUE"""),2.0)</f>
        <v>2</v>
      </c>
      <c r="D215" s="125">
        <f>IFERROR(__xludf.DUMMYFUNCTION("""COMPUTED_VALUE"""),6.0)</f>
        <v>6</v>
      </c>
      <c r="E215" s="125">
        <f>IFERROR(__xludf.DUMMYFUNCTION("""COMPUTED_VALUE"""),4.0)</f>
        <v>4</v>
      </c>
      <c r="F215" s="125">
        <f>IFERROR(__xludf.DUMMYFUNCTION("""COMPUTED_VALUE"""),12.0)</f>
        <v>12</v>
      </c>
      <c r="G215" s="125">
        <f>IFERROR(__xludf.DUMMYFUNCTION("""COMPUTED_VALUE"""),1.0)</f>
        <v>1</v>
      </c>
    </row>
    <row r="216">
      <c r="A216" s="117">
        <f>IFERROR(__xludf.DUMMYFUNCTION("""COMPUTED_VALUE"""),9.0)</f>
        <v>9</v>
      </c>
      <c r="B216" s="33" t="str">
        <f>IFERROR(__xludf.DUMMYFUNCTION("""COMPUTED_VALUE"""),"Sean Chang")</f>
        <v>Sean Chang</v>
      </c>
      <c r="C216" s="122">
        <f>IFERROR(__xludf.DUMMYFUNCTION("""COMPUTED_VALUE"""),0.0)</f>
        <v>0</v>
      </c>
      <c r="D216" s="122">
        <f>IFERROR(__xludf.DUMMYFUNCTION("""COMPUTED_VALUE"""),2.0)</f>
        <v>2</v>
      </c>
      <c r="E216" s="122">
        <f>IFERROR(__xludf.DUMMYFUNCTION("""COMPUTED_VALUE"""),6.0)</f>
        <v>6</v>
      </c>
      <c r="F216" s="122">
        <f>IFERROR(__xludf.DUMMYFUNCTION("""COMPUTED_VALUE"""),8.0)</f>
        <v>8</v>
      </c>
      <c r="G216" s="122">
        <f>IFERROR(__xludf.DUMMYFUNCTION("""COMPUTED_VALUE"""),1.0)</f>
        <v>1</v>
      </c>
    </row>
    <row r="217">
      <c r="A217" s="117">
        <f>IFERROR(__xludf.DUMMYFUNCTION("""COMPUTED_VALUE"""),9.0)</f>
        <v>9</v>
      </c>
      <c r="B217" s="33" t="str">
        <f>IFERROR(__xludf.DUMMYFUNCTION("""COMPUTED_VALUE"""),"Allen Zhang")</f>
        <v>Allen Zhang</v>
      </c>
      <c r="C217" s="122">
        <f>IFERROR(__xludf.DUMMYFUNCTION("""COMPUTED_VALUE"""),6.0)</f>
        <v>6</v>
      </c>
      <c r="D217" s="122">
        <f>IFERROR(__xludf.DUMMYFUNCTION("""COMPUTED_VALUE"""),2.0)</f>
        <v>2</v>
      </c>
      <c r="E217" s="122">
        <f>IFERROR(__xludf.DUMMYFUNCTION("""COMPUTED_VALUE"""),3.0)</f>
        <v>3</v>
      </c>
      <c r="F217" s="122">
        <f>IFERROR(__xludf.DUMMYFUNCTION("""COMPUTED_VALUE"""),11.0)</f>
        <v>11</v>
      </c>
      <c r="G217" s="122">
        <f>IFERROR(__xludf.DUMMYFUNCTION("""COMPUTED_VALUE"""),1.0)</f>
        <v>1</v>
      </c>
    </row>
    <row r="218">
      <c r="A218" s="117">
        <f>IFERROR(__xludf.DUMMYFUNCTION("""COMPUTED_VALUE"""),9.0)</f>
        <v>9</v>
      </c>
      <c r="B218" s="33" t="str">
        <f>IFERROR(__xludf.DUMMYFUNCTION("""COMPUTED_VALUE"""),"Nicole Ni")</f>
        <v>Nicole Ni</v>
      </c>
      <c r="C218" s="122">
        <f>IFERROR(__xludf.DUMMYFUNCTION("""COMPUTED_VALUE"""),0.0)</f>
        <v>0</v>
      </c>
      <c r="D218" s="122">
        <f>IFERROR(__xludf.DUMMYFUNCTION("""COMPUTED_VALUE"""),6.0)</f>
        <v>6</v>
      </c>
      <c r="E218" s="122">
        <f>IFERROR(__xludf.DUMMYFUNCTION("""COMPUTED_VALUE"""),3.0)</f>
        <v>3</v>
      </c>
      <c r="F218" s="122">
        <f>IFERROR(__xludf.DUMMYFUNCTION("""COMPUTED_VALUE"""),9.0)</f>
        <v>9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IFERROR(__xludf.DUMMYFUNCTION("""COMPUTED_VALUE"""),"Tina Hanson")</f>
        <v>Tina Hanson</v>
      </c>
      <c r="C219" s="122">
        <f>IFERROR(__xludf.DUMMYFUNCTION("""COMPUTED_VALUE"""),6.0)</f>
        <v>6</v>
      </c>
      <c r="D219" s="122">
        <f>IFERROR(__xludf.DUMMYFUNCTION("""COMPUTED_VALUE"""),6.0)</f>
        <v>6</v>
      </c>
      <c r="E219" s="122">
        <f>IFERROR(__xludf.DUMMYFUNCTION("""COMPUTED_VALUE"""),6.0)</f>
        <v>6</v>
      </c>
      <c r="F219" s="122">
        <f>IFERROR(__xludf.DUMMYFUNCTION("""COMPUTED_VALUE"""),18.0)</f>
        <v>18</v>
      </c>
      <c r="G219" s="122">
        <f>IFERROR(__xludf.DUMMYFUNCTION("""COMPUTED_VALUE"""),3.0)</f>
        <v>3</v>
      </c>
    </row>
    <row r="220">
      <c r="A220" s="123">
        <f>IFERROR(__xludf.DUMMYFUNCTION("""COMPUTED_VALUE"""),10.0)</f>
        <v>10</v>
      </c>
      <c r="B220" s="124" t="str">
        <f>IFERROR(__xludf.DUMMYFUNCTION("""COMPUTED_VALUE"""),"Manuel Rivera")</f>
        <v>Manuel Rivera</v>
      </c>
      <c r="C220" s="125">
        <f>IFERROR(__xludf.DUMMYFUNCTION("""COMPUTED_VALUE"""),6.0)</f>
        <v>6</v>
      </c>
      <c r="D220" s="125">
        <f>IFERROR(__xludf.DUMMYFUNCTION("""COMPUTED_VALUE"""),6.0)</f>
        <v>6</v>
      </c>
      <c r="E220" s="125">
        <f>IFERROR(__xludf.DUMMYFUNCTION("""COMPUTED_VALUE"""),2.0)</f>
        <v>2</v>
      </c>
      <c r="F220" s="125">
        <f>IFERROR(__xludf.DUMMYFUNCTION("""COMPUTED_VALUE"""),14.0)</f>
        <v>14</v>
      </c>
      <c r="G220" s="125">
        <f>IFERROR(__xludf.DUMMYFUNCTION("""COMPUTED_VALUE"""),2.0)</f>
        <v>2</v>
      </c>
    </row>
    <row r="221">
      <c r="A221" s="123">
        <f>IFERROR(__xludf.DUMMYFUNCTION("""COMPUTED_VALUE"""),10.0)</f>
        <v>10</v>
      </c>
      <c r="B221" s="124" t="str">
        <f>IFERROR(__xludf.DUMMYFUNCTION("""COMPUTED_VALUE"""),"Vicki Martinet")</f>
        <v>Vicki Martinet</v>
      </c>
      <c r="C221" s="125">
        <f>IFERROR(__xludf.DUMMYFUNCTION("""COMPUTED_VALUE"""),0.0)</f>
        <v>0</v>
      </c>
      <c r="D221" s="125">
        <f>IFERROR(__xludf.DUMMYFUNCTION("""COMPUTED_VALUE"""),4.0)</f>
        <v>4</v>
      </c>
      <c r="E221" s="125">
        <f>IFERROR(__xludf.DUMMYFUNCTION("""COMPUTED_VALUE"""),2.0)</f>
        <v>2</v>
      </c>
      <c r="F221" s="125">
        <f>IFERROR(__xludf.DUMMYFUNCTION("""COMPUTED_VALUE"""),6.0)</f>
        <v>6</v>
      </c>
      <c r="G221" s="125">
        <f>IFERROR(__xludf.DUMMYFUNCTION("""COMPUTED_VALUE"""),0.0)</f>
        <v>0</v>
      </c>
    </row>
    <row r="222">
      <c r="A222" s="123">
        <f>IFERROR(__xludf.DUMMYFUNCTION("""COMPUTED_VALUE"""),10.0)</f>
        <v>10</v>
      </c>
      <c r="B222" s="124" t="str">
        <f>IFERROR(__xludf.DUMMYFUNCTION("""COMPUTED_VALUE"""),"Sanjaye Elayattu")</f>
        <v>Sanjaye Elayattu</v>
      </c>
      <c r="C222" s="125">
        <f>IFERROR(__xludf.DUMMYFUNCTION("""COMPUTED_VALUE"""),6.0)</f>
        <v>6</v>
      </c>
      <c r="D222" s="125">
        <f>IFERROR(__xludf.DUMMYFUNCTION("""COMPUTED_VALUE"""),4.0)</f>
        <v>4</v>
      </c>
      <c r="E222" s="125">
        <f>IFERROR(__xludf.DUMMYFUNCTION("""COMPUTED_VALUE"""),6.0)</f>
        <v>6</v>
      </c>
      <c r="F222" s="125">
        <f>IFERROR(__xludf.DUMMYFUNCTION("""COMPUTED_VALUE"""),16.0)</f>
        <v>16</v>
      </c>
      <c r="G222" s="125">
        <f>IFERROR(__xludf.DUMMYFUNCTION("""COMPUTED_VALUE"""),2.0)</f>
        <v>2</v>
      </c>
    </row>
    <row r="223">
      <c r="A223" s="123">
        <f>IFERROR(__xludf.DUMMYFUNCTION("""COMPUTED_VALUE"""),10.0)</f>
        <v>10</v>
      </c>
      <c r="B223" s="124" t="str">
        <f>IFERROR(__xludf.DUMMYFUNCTION("""COMPUTED_VALUE"""),"Joyce Zhu")</f>
        <v>Joyce Zhu</v>
      </c>
      <c r="C223" s="125">
        <f>IFERROR(__xludf.DUMMYFUNCTION("""COMPUTED_VALUE"""),0.0)</f>
        <v>0</v>
      </c>
      <c r="D223" s="125">
        <f>IFERROR(__xludf.DUMMYFUNCTION("""COMPUTED_VALUE"""),6.0)</f>
        <v>6</v>
      </c>
      <c r="E223" s="125">
        <f>IFERROR(__xludf.DUMMYFUNCTION("""COMPUTED_VALUE"""),6.0)</f>
        <v>6</v>
      </c>
      <c r="F223" s="125">
        <f>IFERROR(__xludf.DUMMYFUNCTION("""COMPUTED_VALUE"""),12.0)</f>
        <v>12</v>
      </c>
      <c r="G223" s="125">
        <f>IFERROR(__xludf.DUMMYFUNCTION("""COMPUTED_VALUE"""),2.0)</f>
        <v>2</v>
      </c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45934.0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14.0</v>
      </c>
      <c r="E2" s="1"/>
      <c r="F2" s="1"/>
      <c r="R2" s="17"/>
      <c r="AC2" s="21" t="str">
        <f>text(C1-7,"mm/dd/yy")</f>
        <v>09/27/25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45</v>
      </c>
      <c r="C5" s="34">
        <v>187.0</v>
      </c>
      <c r="D5" s="34">
        <v>22.0</v>
      </c>
      <c r="E5" s="35">
        <f t="shared" ref="E5:E69" si="2">if(S5&gt;0,(C5-(V5*9)-(T5*13))/S5,0)</f>
        <v>15.77777778</v>
      </c>
      <c r="F5" s="95">
        <v>1.0</v>
      </c>
      <c r="G5" s="96">
        <v>1.0</v>
      </c>
      <c r="H5" s="97">
        <v>0.0</v>
      </c>
      <c r="I5" s="96">
        <v>6.0</v>
      </c>
      <c r="J5" s="96">
        <v>6.0</v>
      </c>
      <c r="K5" s="96">
        <v>6.0</v>
      </c>
      <c r="L5" s="98">
        <v>18.0</v>
      </c>
      <c r="M5" s="96">
        <v>2.0</v>
      </c>
      <c r="N5" s="34">
        <f t="shared" ref="N5:O5" si="1">C5+L5</f>
        <v>205</v>
      </c>
      <c r="O5" s="34">
        <f t="shared" si="1"/>
        <v>24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9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5</v>
      </c>
      <c r="W5" s="52">
        <f t="shared" ref="W5:W69" si="7">vlookup(B5,indirect("'" &amp; AC$2 &amp; "'!B5:x69"),23,false)-X5</f>
        <v>2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73</v>
      </c>
      <c r="C6" s="34">
        <v>183.0</v>
      </c>
      <c r="D6" s="34">
        <v>17.0</v>
      </c>
      <c r="E6" s="35">
        <f t="shared" si="2"/>
        <v>14.18181818</v>
      </c>
      <c r="F6" s="95">
        <v>1.0</v>
      </c>
      <c r="G6" s="96">
        <v>1.0</v>
      </c>
      <c r="H6" s="97">
        <v>0.0</v>
      </c>
      <c r="I6" s="96">
        <v>7.0</v>
      </c>
      <c r="J6" s="96">
        <v>1.0</v>
      </c>
      <c r="K6" s="96">
        <v>6.0</v>
      </c>
      <c r="L6" s="98">
        <v>14.0</v>
      </c>
      <c r="M6" s="96">
        <v>2.0</v>
      </c>
      <c r="N6" s="34">
        <f t="shared" ref="N6:O6" si="3">C6+L6</f>
        <v>197</v>
      </c>
      <c r="O6" s="34">
        <f t="shared" si="3"/>
        <v>19</v>
      </c>
      <c r="P6" s="49" t="s">
        <v>58</v>
      </c>
      <c r="Q6" s="49" t="s">
        <v>58</v>
      </c>
      <c r="R6" s="49"/>
      <c r="S6" s="50">
        <f t="shared" si="4"/>
        <v>11</v>
      </c>
      <c r="T6" s="52">
        <f t="shared" si="5"/>
        <v>0</v>
      </c>
      <c r="U6" s="52"/>
      <c r="V6" s="50">
        <f t="shared" si="6"/>
        <v>3</v>
      </c>
      <c r="W6" s="52">
        <f t="shared" si="7"/>
        <v>2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84</v>
      </c>
      <c r="C7" s="34">
        <v>182.0</v>
      </c>
      <c r="D7" s="34">
        <v>20.0</v>
      </c>
      <c r="E7" s="35">
        <f t="shared" si="2"/>
        <v>14.09090909</v>
      </c>
      <c r="F7" s="95">
        <v>2.0</v>
      </c>
      <c r="G7" s="96">
        <v>1.0</v>
      </c>
      <c r="H7" s="97">
        <v>0.0</v>
      </c>
      <c r="I7" s="96">
        <v>7.0</v>
      </c>
      <c r="J7" s="96">
        <v>6.0</v>
      </c>
      <c r="K7" s="96">
        <v>2.0</v>
      </c>
      <c r="L7" s="98">
        <v>15.0</v>
      </c>
      <c r="M7" s="96">
        <v>2.0</v>
      </c>
      <c r="N7" s="34">
        <f t="shared" ref="N7:O7" si="11">C7+L7</f>
        <v>197</v>
      </c>
      <c r="O7" s="34">
        <f t="shared" si="11"/>
        <v>22</v>
      </c>
      <c r="P7" s="49" t="s">
        <v>58</v>
      </c>
      <c r="Q7" s="49" t="s">
        <v>58</v>
      </c>
      <c r="R7" s="49"/>
      <c r="S7" s="50">
        <f t="shared" si="4"/>
        <v>11</v>
      </c>
      <c r="T7" s="52">
        <f t="shared" si="5"/>
        <v>0</v>
      </c>
      <c r="U7" s="52"/>
      <c r="V7" s="50">
        <f t="shared" si="6"/>
        <v>3</v>
      </c>
      <c r="W7" s="52">
        <f t="shared" si="7"/>
        <v>-2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107</v>
      </c>
      <c r="C8" s="34">
        <v>182.0</v>
      </c>
      <c r="D8" s="34">
        <v>19.0</v>
      </c>
      <c r="E8" s="35">
        <f t="shared" si="2"/>
        <v>14.2</v>
      </c>
      <c r="F8" s="95">
        <v>2.0</v>
      </c>
      <c r="G8" s="96">
        <v>1.0</v>
      </c>
      <c r="H8" s="97">
        <v>0.0</v>
      </c>
      <c r="I8" s="96">
        <v>6.0</v>
      </c>
      <c r="J8" s="96">
        <v>1.0</v>
      </c>
      <c r="K8" s="96">
        <v>2.0</v>
      </c>
      <c r="L8" s="98">
        <v>9.0</v>
      </c>
      <c r="M8" s="96">
        <v>0.0</v>
      </c>
      <c r="N8" s="34">
        <f t="shared" ref="N8:O8" si="13">C8+L8</f>
        <v>191</v>
      </c>
      <c r="O8" s="34">
        <f t="shared" si="13"/>
        <v>19</v>
      </c>
      <c r="P8" s="49" t="s">
        <v>58</v>
      </c>
      <c r="Q8" s="49" t="s">
        <v>58</v>
      </c>
      <c r="R8" s="49"/>
      <c r="S8" s="50">
        <f t="shared" si="4"/>
        <v>10</v>
      </c>
      <c r="T8" s="52">
        <f t="shared" si="5"/>
        <v>1</v>
      </c>
      <c r="U8" s="52"/>
      <c r="V8" s="50">
        <f t="shared" si="6"/>
        <v>3</v>
      </c>
      <c r="W8" s="52">
        <f t="shared" si="7"/>
        <v>3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90</v>
      </c>
      <c r="C9" s="34">
        <v>180.0</v>
      </c>
      <c r="D9" s="34">
        <v>21.0</v>
      </c>
      <c r="E9" s="35">
        <f t="shared" si="2"/>
        <v>13.16666667</v>
      </c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4">C9+L9</f>
        <v>189</v>
      </c>
      <c r="O9" s="34">
        <f t="shared" si="14"/>
        <v>21</v>
      </c>
      <c r="P9" s="49" t="s">
        <v>58</v>
      </c>
      <c r="Q9" s="49" t="s">
        <v>58</v>
      </c>
      <c r="R9" s="49"/>
      <c r="S9" s="50">
        <f t="shared" si="4"/>
        <v>12</v>
      </c>
      <c r="T9" s="52">
        <f t="shared" si="5"/>
        <v>1</v>
      </c>
      <c r="U9" s="52"/>
      <c r="V9" s="50">
        <f t="shared" si="6"/>
        <v>1</v>
      </c>
      <c r="W9" s="52">
        <f t="shared" si="7"/>
        <v>-3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94</v>
      </c>
      <c r="C10" s="34">
        <v>177.0</v>
      </c>
      <c r="D10" s="34">
        <v>16.0</v>
      </c>
      <c r="E10" s="35">
        <f t="shared" si="2"/>
        <v>12.92307692</v>
      </c>
      <c r="F10" s="95">
        <v>1.0</v>
      </c>
      <c r="G10" s="96">
        <v>2.0</v>
      </c>
      <c r="H10" s="97">
        <v>0.0</v>
      </c>
      <c r="I10" s="96">
        <v>6.0</v>
      </c>
      <c r="J10" s="96">
        <v>6.0</v>
      </c>
      <c r="K10" s="96">
        <v>7.0</v>
      </c>
      <c r="L10" s="98">
        <v>19.0</v>
      </c>
      <c r="M10" s="96">
        <v>3.0</v>
      </c>
      <c r="N10" s="34">
        <f t="shared" ref="N10:O10" si="15">C10+L10</f>
        <v>196</v>
      </c>
      <c r="O10" s="34">
        <f t="shared" si="15"/>
        <v>19</v>
      </c>
      <c r="P10" s="49" t="s">
        <v>58</v>
      </c>
      <c r="Q10" s="49" t="s">
        <v>58</v>
      </c>
      <c r="R10" s="49"/>
      <c r="S10" s="50">
        <f t="shared" si="4"/>
        <v>13</v>
      </c>
      <c r="T10" s="52">
        <f t="shared" si="5"/>
        <v>0</v>
      </c>
      <c r="U10" s="52"/>
      <c r="V10" s="50">
        <f t="shared" si="6"/>
        <v>1</v>
      </c>
      <c r="W10" s="52">
        <f t="shared" si="7"/>
        <v>-1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98</v>
      </c>
      <c r="C11" s="34">
        <v>176.0</v>
      </c>
      <c r="D11" s="34">
        <v>22.0</v>
      </c>
      <c r="E11" s="35">
        <f t="shared" si="2"/>
        <v>12.84615385</v>
      </c>
      <c r="F11" s="95">
        <v>1.0</v>
      </c>
      <c r="G11" s="96">
        <v>2.0</v>
      </c>
      <c r="H11" s="97">
        <v>0.0</v>
      </c>
      <c r="I11" s="96">
        <v>4.0</v>
      </c>
      <c r="J11" s="96">
        <v>2.0</v>
      </c>
      <c r="K11" s="96">
        <v>7.0</v>
      </c>
      <c r="L11" s="98">
        <v>13.0</v>
      </c>
      <c r="M11" s="96">
        <v>1.0</v>
      </c>
      <c r="N11" s="34">
        <f t="shared" ref="N11:O11" si="16">C11+L11</f>
        <v>189</v>
      </c>
      <c r="O11" s="34">
        <f t="shared" si="16"/>
        <v>23</v>
      </c>
      <c r="P11" s="49" t="s">
        <v>58</v>
      </c>
      <c r="Q11" s="49" t="s">
        <v>58</v>
      </c>
      <c r="R11" s="49"/>
      <c r="S11" s="50">
        <f t="shared" si="4"/>
        <v>13</v>
      </c>
      <c r="T11" s="52">
        <f t="shared" si="5"/>
        <v>0</v>
      </c>
      <c r="U11" s="52"/>
      <c r="V11" s="50">
        <f t="shared" si="6"/>
        <v>1</v>
      </c>
      <c r="W11" s="52">
        <f t="shared" si="7"/>
        <v>2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113</v>
      </c>
      <c r="C12" s="34">
        <v>176.0</v>
      </c>
      <c r="D12" s="34">
        <v>16.0</v>
      </c>
      <c r="E12" s="35">
        <f t="shared" si="2"/>
        <v>14</v>
      </c>
      <c r="F12" s="95">
        <v>1.0</v>
      </c>
      <c r="G12" s="96">
        <v>2.0</v>
      </c>
      <c r="H12" s="97">
        <v>0.0</v>
      </c>
      <c r="I12" s="96">
        <v>4.0</v>
      </c>
      <c r="J12" s="96">
        <v>6.0</v>
      </c>
      <c r="K12" s="96">
        <v>6.0</v>
      </c>
      <c r="L12" s="98">
        <v>16.0</v>
      </c>
      <c r="M12" s="96">
        <v>1.0</v>
      </c>
      <c r="N12" s="34">
        <f t="shared" ref="N12:O12" si="17">C12+L12</f>
        <v>192</v>
      </c>
      <c r="O12" s="34">
        <f t="shared" si="17"/>
        <v>17</v>
      </c>
      <c r="P12" s="49" t="s">
        <v>58</v>
      </c>
      <c r="Q12" s="49" t="s">
        <v>58</v>
      </c>
      <c r="R12" s="49"/>
      <c r="S12" s="50">
        <f t="shared" si="4"/>
        <v>10</v>
      </c>
      <c r="T12" s="52">
        <f t="shared" si="5"/>
        <v>0</v>
      </c>
      <c r="U12" s="52"/>
      <c r="V12" s="50">
        <f t="shared" si="6"/>
        <v>4</v>
      </c>
      <c r="W12" s="52">
        <f t="shared" si="7"/>
        <v>0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67</v>
      </c>
      <c r="C13" s="34">
        <v>175.0</v>
      </c>
      <c r="D13" s="34">
        <v>19.0</v>
      </c>
      <c r="E13" s="35">
        <f t="shared" si="2"/>
        <v>15.125</v>
      </c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8">C13+L13</f>
        <v>184</v>
      </c>
      <c r="O13" s="34">
        <f t="shared" si="18"/>
        <v>19</v>
      </c>
      <c r="P13" s="49" t="s">
        <v>58</v>
      </c>
      <c r="Q13" s="49" t="s">
        <v>58</v>
      </c>
      <c r="R13" s="49"/>
      <c r="S13" s="50">
        <f t="shared" si="4"/>
        <v>8</v>
      </c>
      <c r="T13" s="52">
        <f t="shared" si="5"/>
        <v>0</v>
      </c>
      <c r="U13" s="52"/>
      <c r="V13" s="50">
        <f t="shared" si="6"/>
        <v>6</v>
      </c>
      <c r="W13" s="52">
        <f t="shared" si="7"/>
        <v>3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109</v>
      </c>
      <c r="C14" s="34">
        <v>174.0</v>
      </c>
      <c r="D14" s="34">
        <v>17.0</v>
      </c>
      <c r="E14" s="35">
        <f t="shared" si="2"/>
        <v>13.36363636</v>
      </c>
      <c r="F14" s="95">
        <v>1.0</v>
      </c>
      <c r="G14" s="96">
        <v>2.0</v>
      </c>
      <c r="H14" s="97">
        <v>0.0</v>
      </c>
      <c r="I14" s="96">
        <v>6.0</v>
      </c>
      <c r="J14" s="96">
        <v>2.0</v>
      </c>
      <c r="K14" s="96">
        <v>6.0</v>
      </c>
      <c r="L14" s="98">
        <v>14.0</v>
      </c>
      <c r="M14" s="96">
        <v>1.0</v>
      </c>
      <c r="N14" s="34">
        <f t="shared" ref="N14:O14" si="19">C14+L14</f>
        <v>188</v>
      </c>
      <c r="O14" s="34">
        <f t="shared" si="19"/>
        <v>18</v>
      </c>
      <c r="P14" s="49" t="s">
        <v>58</v>
      </c>
      <c r="Q14" s="49" t="s">
        <v>58</v>
      </c>
      <c r="R14" s="49"/>
      <c r="S14" s="50">
        <f t="shared" si="4"/>
        <v>11</v>
      </c>
      <c r="T14" s="52">
        <f t="shared" si="5"/>
        <v>0</v>
      </c>
      <c r="U14" s="52"/>
      <c r="V14" s="50">
        <f t="shared" si="6"/>
        <v>3</v>
      </c>
      <c r="W14" s="52">
        <f t="shared" si="7"/>
        <v>1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103</v>
      </c>
      <c r="C15" s="34">
        <v>174.0</v>
      </c>
      <c r="D15" s="34">
        <v>13.0</v>
      </c>
      <c r="E15" s="35">
        <f t="shared" si="2"/>
        <v>12.66666667</v>
      </c>
      <c r="F15" s="95">
        <v>1.0</v>
      </c>
      <c r="G15" s="96">
        <v>3.0</v>
      </c>
      <c r="H15" s="97">
        <v>0.0</v>
      </c>
      <c r="I15" s="96">
        <v>6.0</v>
      </c>
      <c r="J15" s="96">
        <v>5.0</v>
      </c>
      <c r="K15" s="96">
        <v>6.0</v>
      </c>
      <c r="L15" s="98">
        <v>17.0</v>
      </c>
      <c r="M15" s="96">
        <v>2.0</v>
      </c>
      <c r="N15" s="34">
        <f t="shared" ref="N15:O15" si="20">C15+L15</f>
        <v>191</v>
      </c>
      <c r="O15" s="34">
        <f t="shared" si="20"/>
        <v>15</v>
      </c>
      <c r="P15" s="49" t="s">
        <v>58</v>
      </c>
      <c r="Q15" s="49" t="s">
        <v>58</v>
      </c>
      <c r="R15" s="49"/>
      <c r="S15" s="50">
        <f t="shared" si="4"/>
        <v>12</v>
      </c>
      <c r="T15" s="52">
        <f t="shared" si="5"/>
        <v>1</v>
      </c>
      <c r="U15" s="52"/>
      <c r="V15" s="50">
        <f t="shared" si="6"/>
        <v>1</v>
      </c>
      <c r="W15" s="52">
        <f t="shared" si="7"/>
        <v>-5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91</v>
      </c>
      <c r="C16" s="34">
        <v>172.0</v>
      </c>
      <c r="D16" s="34">
        <v>19.0</v>
      </c>
      <c r="E16" s="35">
        <f t="shared" si="2"/>
        <v>12.5</v>
      </c>
      <c r="F16" s="95">
        <v>1.0</v>
      </c>
      <c r="G16" s="96">
        <v>3.0</v>
      </c>
      <c r="H16" s="97">
        <v>0.0</v>
      </c>
      <c r="I16" s="96">
        <v>6.0</v>
      </c>
      <c r="J16" s="96">
        <v>7.0</v>
      </c>
      <c r="K16" s="96">
        <v>4.0</v>
      </c>
      <c r="L16" s="98">
        <v>17.0</v>
      </c>
      <c r="M16" s="96">
        <v>2.0</v>
      </c>
      <c r="N16" s="34">
        <f t="shared" ref="N16:O16" si="21">C16+L16</f>
        <v>189</v>
      </c>
      <c r="O16" s="34">
        <f t="shared" si="21"/>
        <v>21</v>
      </c>
      <c r="P16" s="49" t="s">
        <v>58</v>
      </c>
      <c r="Q16" s="49" t="s">
        <v>58</v>
      </c>
      <c r="R16" s="49"/>
      <c r="S16" s="50">
        <f t="shared" si="4"/>
        <v>12</v>
      </c>
      <c r="T16" s="52">
        <f t="shared" si="5"/>
        <v>1</v>
      </c>
      <c r="U16" s="52"/>
      <c r="V16" s="50">
        <f t="shared" si="6"/>
        <v>1</v>
      </c>
      <c r="W16" s="52">
        <f t="shared" si="7"/>
        <v>6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87</v>
      </c>
      <c r="C17" s="34">
        <v>171.0</v>
      </c>
      <c r="D17" s="34">
        <v>19.0</v>
      </c>
      <c r="E17" s="35">
        <f t="shared" si="2"/>
        <v>12.46153846</v>
      </c>
      <c r="F17" s="95">
        <v>1.0</v>
      </c>
      <c r="G17" s="96">
        <v>3.0</v>
      </c>
      <c r="H17" s="97">
        <v>0.0</v>
      </c>
      <c r="I17" s="96">
        <v>4.0</v>
      </c>
      <c r="J17" s="96">
        <v>5.0</v>
      </c>
      <c r="K17" s="96">
        <v>4.0</v>
      </c>
      <c r="L17" s="98">
        <v>13.0</v>
      </c>
      <c r="M17" s="96">
        <v>0.0</v>
      </c>
      <c r="N17" s="34">
        <f t="shared" ref="N17:O17" si="22">C17+L17</f>
        <v>184</v>
      </c>
      <c r="O17" s="34">
        <f t="shared" si="22"/>
        <v>19</v>
      </c>
      <c r="P17" s="49" t="s">
        <v>58</v>
      </c>
      <c r="Q17" s="49" t="s">
        <v>58</v>
      </c>
      <c r="R17" s="49"/>
      <c r="S17" s="50">
        <f t="shared" si="4"/>
        <v>13</v>
      </c>
      <c r="T17" s="52">
        <f t="shared" si="5"/>
        <v>0</v>
      </c>
      <c r="U17" s="52"/>
      <c r="V17" s="50">
        <f t="shared" si="6"/>
        <v>1</v>
      </c>
      <c r="W17" s="52">
        <f t="shared" si="7"/>
        <v>0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128</v>
      </c>
      <c r="C18" s="34">
        <v>171.0</v>
      </c>
      <c r="D18" s="34">
        <v>16.0</v>
      </c>
      <c r="E18" s="35">
        <f t="shared" si="2"/>
        <v>12.75</v>
      </c>
      <c r="F18" s="95">
        <v>1.0</v>
      </c>
      <c r="G18" s="96">
        <v>3.0</v>
      </c>
      <c r="H18" s="97">
        <v>0.0</v>
      </c>
      <c r="I18" s="96">
        <v>4.0</v>
      </c>
      <c r="J18" s="96">
        <v>7.0</v>
      </c>
      <c r="K18" s="96">
        <v>6.0</v>
      </c>
      <c r="L18" s="98">
        <v>17.0</v>
      </c>
      <c r="M18" s="96">
        <v>2.0</v>
      </c>
      <c r="N18" s="34">
        <f t="shared" ref="N18:O18" si="23">C18+L18</f>
        <v>188</v>
      </c>
      <c r="O18" s="34">
        <f t="shared" si="23"/>
        <v>18</v>
      </c>
      <c r="P18" s="49" t="s">
        <v>58</v>
      </c>
      <c r="Q18" s="49" t="s">
        <v>58</v>
      </c>
      <c r="R18" s="49"/>
      <c r="S18" s="50">
        <f t="shared" si="4"/>
        <v>12</v>
      </c>
      <c r="T18" s="52">
        <f t="shared" si="5"/>
        <v>0</v>
      </c>
      <c r="U18" s="52"/>
      <c r="V18" s="50">
        <f t="shared" si="6"/>
        <v>2</v>
      </c>
      <c r="W18" s="52">
        <f t="shared" si="7"/>
        <v>0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97</v>
      </c>
      <c r="C19" s="34">
        <v>169.0</v>
      </c>
      <c r="D19" s="34">
        <v>18.0</v>
      </c>
      <c r="E19" s="35">
        <f t="shared" si="2"/>
        <v>13.3</v>
      </c>
      <c r="F19" s="95">
        <v>1.0</v>
      </c>
      <c r="G19" s="96">
        <v>4.0</v>
      </c>
      <c r="H19" s="97">
        <v>0.0</v>
      </c>
      <c r="I19" s="96">
        <v>4.0</v>
      </c>
      <c r="J19" s="96">
        <v>1.0</v>
      </c>
      <c r="K19" s="96">
        <v>6.0</v>
      </c>
      <c r="L19" s="98">
        <v>11.0</v>
      </c>
      <c r="M19" s="96">
        <v>1.0</v>
      </c>
      <c r="N19" s="34">
        <f t="shared" ref="N19:O19" si="24">C19+L19</f>
        <v>180</v>
      </c>
      <c r="O19" s="34">
        <f t="shared" si="24"/>
        <v>19</v>
      </c>
      <c r="P19" s="49" t="s">
        <v>58</v>
      </c>
      <c r="Q19" s="49" t="s">
        <v>58</v>
      </c>
      <c r="R19" s="49"/>
      <c r="S19" s="50">
        <f t="shared" si="4"/>
        <v>10</v>
      </c>
      <c r="T19" s="52">
        <f t="shared" si="5"/>
        <v>0</v>
      </c>
      <c r="U19" s="52"/>
      <c r="V19" s="50">
        <f t="shared" si="6"/>
        <v>4</v>
      </c>
      <c r="W19" s="52">
        <f t="shared" si="7"/>
        <v>2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134</v>
      </c>
      <c r="C20" s="34">
        <v>169.0</v>
      </c>
      <c r="D20" s="34">
        <v>16.0</v>
      </c>
      <c r="E20" s="35">
        <f t="shared" si="2"/>
        <v>15.14285714</v>
      </c>
      <c r="F20" s="95">
        <v>1.0</v>
      </c>
      <c r="G20" s="96">
        <v>4.0</v>
      </c>
      <c r="H20" s="97">
        <v>0.0</v>
      </c>
      <c r="I20" s="96">
        <v>6.0</v>
      </c>
      <c r="J20" s="96">
        <v>6.0</v>
      </c>
      <c r="K20" s="96">
        <v>6.0</v>
      </c>
      <c r="L20" s="98">
        <v>18.0</v>
      </c>
      <c r="M20" s="96">
        <v>3.0</v>
      </c>
      <c r="N20" s="34">
        <f t="shared" ref="N20:O20" si="25">C20+L20</f>
        <v>187</v>
      </c>
      <c r="O20" s="34">
        <f t="shared" si="25"/>
        <v>19</v>
      </c>
      <c r="P20" s="49" t="s">
        <v>58</v>
      </c>
      <c r="Q20" s="49" t="s">
        <v>58</v>
      </c>
      <c r="R20" s="49"/>
      <c r="S20" s="50">
        <f t="shared" si="4"/>
        <v>7</v>
      </c>
      <c r="T20" s="52">
        <f t="shared" si="5"/>
        <v>0</v>
      </c>
      <c r="U20" s="52"/>
      <c r="V20" s="50">
        <f t="shared" si="6"/>
        <v>7</v>
      </c>
      <c r="W20" s="52">
        <f t="shared" si="7"/>
        <v>5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110</v>
      </c>
      <c r="C21" s="34">
        <v>169.0</v>
      </c>
      <c r="D21" s="34">
        <v>16.0</v>
      </c>
      <c r="E21" s="35">
        <f t="shared" si="2"/>
        <v>12.07142857</v>
      </c>
      <c r="F21" s="95">
        <v>1.0</v>
      </c>
      <c r="G21" s="96">
        <v>4.0</v>
      </c>
      <c r="H21" s="97">
        <v>0.0</v>
      </c>
      <c r="I21" s="96">
        <v>4.0</v>
      </c>
      <c r="J21" s="96">
        <v>6.0</v>
      </c>
      <c r="K21" s="96">
        <v>3.0</v>
      </c>
      <c r="L21" s="98">
        <v>13.0</v>
      </c>
      <c r="M21" s="96">
        <v>1.0</v>
      </c>
      <c r="N21" s="34">
        <f t="shared" ref="N21:O21" si="26">C21+L21</f>
        <v>182</v>
      </c>
      <c r="O21" s="34">
        <f t="shared" si="26"/>
        <v>17</v>
      </c>
      <c r="P21" s="49" t="s">
        <v>58</v>
      </c>
      <c r="Q21" s="49" t="s">
        <v>58</v>
      </c>
      <c r="R21" s="49"/>
      <c r="S21" s="50">
        <f t="shared" si="4"/>
        <v>14</v>
      </c>
      <c r="T21" s="52">
        <f t="shared" si="5"/>
        <v>0</v>
      </c>
      <c r="U21" s="52"/>
      <c r="V21" s="50">
        <f t="shared" si="6"/>
        <v>0</v>
      </c>
      <c r="W21" s="52">
        <f t="shared" si="7"/>
        <v>-2</v>
      </c>
      <c r="X21" s="32">
        <f t="shared" si="12"/>
        <v>17</v>
      </c>
      <c r="Y21" s="32" t="str">
        <f t="shared" si="8"/>
        <v>Y</v>
      </c>
      <c r="Z21" s="16" t="str">
        <f t="shared" si="9"/>
        <v/>
      </c>
    </row>
    <row r="22">
      <c r="A22" s="32">
        <f t="shared" si="10"/>
        <v>18</v>
      </c>
      <c r="B22" s="33" t="s">
        <v>50</v>
      </c>
      <c r="C22" s="34">
        <v>166.0</v>
      </c>
      <c r="D22" s="34">
        <v>17.0</v>
      </c>
      <c r="E22" s="35">
        <f t="shared" si="2"/>
        <v>11.85714286</v>
      </c>
      <c r="F22" s="95">
        <v>1.0</v>
      </c>
      <c r="G22" s="96">
        <v>4.0</v>
      </c>
      <c r="H22" s="97">
        <v>0.0</v>
      </c>
      <c r="I22" s="96">
        <v>6.0</v>
      </c>
      <c r="J22" s="96">
        <v>1.0</v>
      </c>
      <c r="K22" s="96">
        <v>3.0</v>
      </c>
      <c r="L22" s="98">
        <v>10.0</v>
      </c>
      <c r="M22" s="96">
        <v>1.0</v>
      </c>
      <c r="N22" s="34">
        <f t="shared" ref="N22:O22" si="27">C22+L22</f>
        <v>176</v>
      </c>
      <c r="O22" s="34">
        <f t="shared" si="27"/>
        <v>18</v>
      </c>
      <c r="P22" s="49" t="s">
        <v>58</v>
      </c>
      <c r="Q22" s="49" t="s">
        <v>58</v>
      </c>
      <c r="R22" s="49"/>
      <c r="S22" s="50">
        <f t="shared" si="4"/>
        <v>14</v>
      </c>
      <c r="T22" s="52">
        <f t="shared" si="5"/>
        <v>0</v>
      </c>
      <c r="U22" s="52"/>
      <c r="V22" s="50">
        <f t="shared" si="6"/>
        <v>0</v>
      </c>
      <c r="W22" s="52">
        <f t="shared" si="7"/>
        <v>1</v>
      </c>
      <c r="X22" s="32">
        <f t="shared" si="12"/>
        <v>18</v>
      </c>
      <c r="Y22" s="32" t="str">
        <f t="shared" si="8"/>
        <v>Y</v>
      </c>
      <c r="Z22" s="16" t="str">
        <f t="shared" si="9"/>
        <v/>
      </c>
    </row>
    <row r="23">
      <c r="A23" s="32">
        <f t="shared" si="10"/>
        <v>19</v>
      </c>
      <c r="B23" s="33" t="s">
        <v>106</v>
      </c>
      <c r="C23" s="34">
        <v>165.0</v>
      </c>
      <c r="D23" s="34">
        <v>16.0</v>
      </c>
      <c r="E23" s="35">
        <f t="shared" si="2"/>
        <v>12.18181818</v>
      </c>
      <c r="F23" s="95">
        <v>2.0</v>
      </c>
      <c r="G23" s="96">
        <v>9.0</v>
      </c>
      <c r="H23" s="97">
        <v>0.0</v>
      </c>
      <c r="I23" s="96">
        <v>0.0</v>
      </c>
      <c r="J23" s="96">
        <v>2.0</v>
      </c>
      <c r="K23" s="96">
        <v>6.0</v>
      </c>
      <c r="L23" s="98">
        <v>8.0</v>
      </c>
      <c r="M23" s="96">
        <v>1.0</v>
      </c>
      <c r="N23" s="34">
        <f t="shared" ref="N23:O23" si="28">C23+L23</f>
        <v>173</v>
      </c>
      <c r="O23" s="34">
        <f t="shared" si="28"/>
        <v>17</v>
      </c>
      <c r="P23" s="49" t="s">
        <v>58</v>
      </c>
      <c r="Q23" s="49" t="s">
        <v>58</v>
      </c>
      <c r="R23" s="49"/>
      <c r="S23" s="50">
        <f t="shared" si="4"/>
        <v>11</v>
      </c>
      <c r="T23" s="52">
        <f t="shared" si="5"/>
        <v>1</v>
      </c>
      <c r="U23" s="52"/>
      <c r="V23" s="50">
        <f t="shared" si="6"/>
        <v>2</v>
      </c>
      <c r="W23" s="52">
        <f t="shared" si="7"/>
        <v>-9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83</v>
      </c>
      <c r="C24" s="34">
        <v>165.0</v>
      </c>
      <c r="D24" s="34">
        <v>14.0</v>
      </c>
      <c r="E24" s="35">
        <f t="shared" si="2"/>
        <v>14.57142857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9">C24+L24</f>
        <v>174</v>
      </c>
      <c r="O24" s="34">
        <f t="shared" si="29"/>
        <v>14</v>
      </c>
      <c r="P24" s="49" t="s">
        <v>58</v>
      </c>
      <c r="Q24" s="49" t="s">
        <v>58</v>
      </c>
      <c r="R24" s="49"/>
      <c r="S24" s="50">
        <f t="shared" si="4"/>
        <v>7</v>
      </c>
      <c r="T24" s="52">
        <f t="shared" si="5"/>
        <v>0</v>
      </c>
      <c r="U24" s="52"/>
      <c r="V24" s="50">
        <f t="shared" si="6"/>
        <v>7</v>
      </c>
      <c r="W24" s="52">
        <f t="shared" si="7"/>
        <v>-4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66</v>
      </c>
      <c r="C25" s="34">
        <v>162.0</v>
      </c>
      <c r="D25" s="34">
        <v>15.0</v>
      </c>
      <c r="E25" s="35">
        <f t="shared" si="2"/>
        <v>11.57142857</v>
      </c>
      <c r="F25" s="95">
        <v>1.0</v>
      </c>
      <c r="G25" s="96">
        <v>9.0</v>
      </c>
      <c r="H25" s="97">
        <v>0.0</v>
      </c>
      <c r="I25" s="96">
        <v>6.0</v>
      </c>
      <c r="J25" s="96">
        <v>2.0</v>
      </c>
      <c r="K25" s="96">
        <v>3.0</v>
      </c>
      <c r="L25" s="98">
        <v>11.0</v>
      </c>
      <c r="M25" s="96">
        <v>1.0</v>
      </c>
      <c r="N25" s="34">
        <f t="shared" ref="N25:O25" si="30">C25+L25</f>
        <v>173</v>
      </c>
      <c r="O25" s="34">
        <f t="shared" si="30"/>
        <v>16</v>
      </c>
      <c r="P25" s="49" t="s">
        <v>58</v>
      </c>
      <c r="Q25" s="49" t="s">
        <v>58</v>
      </c>
      <c r="R25" s="49"/>
      <c r="S25" s="50">
        <f t="shared" si="4"/>
        <v>14</v>
      </c>
      <c r="T25" s="52">
        <f t="shared" si="5"/>
        <v>0</v>
      </c>
      <c r="U25" s="52"/>
      <c r="V25" s="50">
        <f t="shared" si="6"/>
        <v>0</v>
      </c>
      <c r="W25" s="52">
        <f t="shared" si="7"/>
        <v>9</v>
      </c>
      <c r="X25" s="32">
        <f t="shared" si="12"/>
        <v>21</v>
      </c>
      <c r="Y25" s="32" t="str">
        <f t="shared" si="8"/>
        <v>Y</v>
      </c>
      <c r="Z25" s="16" t="str">
        <f t="shared" si="9"/>
        <v/>
      </c>
    </row>
    <row r="26">
      <c r="A26" s="32">
        <f t="shared" si="10"/>
        <v>22</v>
      </c>
      <c r="B26" s="33" t="s">
        <v>125</v>
      </c>
      <c r="C26" s="34">
        <v>161.0</v>
      </c>
      <c r="D26" s="34">
        <v>13.0</v>
      </c>
      <c r="E26" s="35">
        <f t="shared" si="2"/>
        <v>12.88888889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31">C26+L26</f>
        <v>170</v>
      </c>
      <c r="O26" s="34">
        <f t="shared" si="31"/>
        <v>13</v>
      </c>
      <c r="P26" s="49" t="s">
        <v>58</v>
      </c>
      <c r="Q26" s="49" t="s">
        <v>58</v>
      </c>
      <c r="R26" s="49"/>
      <c r="S26" s="50">
        <f t="shared" si="4"/>
        <v>9</v>
      </c>
      <c r="T26" s="52">
        <f t="shared" si="5"/>
        <v>0</v>
      </c>
      <c r="U26" s="52"/>
      <c r="V26" s="50">
        <f t="shared" si="6"/>
        <v>5</v>
      </c>
      <c r="W26" s="52">
        <f t="shared" si="7"/>
        <v>-2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136</v>
      </c>
      <c r="C27" s="34">
        <v>159.0</v>
      </c>
      <c r="D27" s="34">
        <v>14.0</v>
      </c>
      <c r="E27" s="35">
        <f t="shared" si="2"/>
        <v>11.35714286</v>
      </c>
      <c r="F27" s="95">
        <v>1.0</v>
      </c>
      <c r="G27" s="96">
        <v>9.0</v>
      </c>
      <c r="H27" s="97">
        <v>0.0</v>
      </c>
      <c r="I27" s="96">
        <v>0.0</v>
      </c>
      <c r="J27" s="96">
        <v>6.0</v>
      </c>
      <c r="K27" s="96">
        <v>3.0</v>
      </c>
      <c r="L27" s="98">
        <v>9.0</v>
      </c>
      <c r="M27" s="96">
        <v>1.0</v>
      </c>
      <c r="N27" s="34">
        <f t="shared" ref="N27:O27" si="32">C27+L27</f>
        <v>168</v>
      </c>
      <c r="O27" s="34">
        <f t="shared" si="32"/>
        <v>15</v>
      </c>
      <c r="P27" s="49" t="s">
        <v>58</v>
      </c>
      <c r="Q27" s="49" t="s">
        <v>58</v>
      </c>
      <c r="R27" s="49"/>
      <c r="S27" s="50">
        <f t="shared" si="4"/>
        <v>14</v>
      </c>
      <c r="T27" s="52">
        <f t="shared" si="5"/>
        <v>0</v>
      </c>
      <c r="U27" s="52"/>
      <c r="V27" s="50">
        <f t="shared" si="6"/>
        <v>0</v>
      </c>
      <c r="W27" s="52">
        <f t="shared" si="7"/>
        <v>1</v>
      </c>
      <c r="X27" s="32">
        <f t="shared" si="12"/>
        <v>23</v>
      </c>
      <c r="Y27" s="32" t="str">
        <f t="shared" si="8"/>
        <v>Y</v>
      </c>
      <c r="Z27" s="16" t="str">
        <f t="shared" si="9"/>
        <v/>
      </c>
    </row>
    <row r="28">
      <c r="A28" s="32">
        <f t="shared" si="10"/>
        <v>24</v>
      </c>
      <c r="B28" s="33" t="s">
        <v>133</v>
      </c>
      <c r="C28" s="34">
        <v>158.0</v>
      </c>
      <c r="D28" s="34">
        <v>14.0</v>
      </c>
      <c r="E28" s="35">
        <f t="shared" si="2"/>
        <v>12.55555556</v>
      </c>
      <c r="F28" s="95">
        <v>1.0</v>
      </c>
      <c r="G28" s="96">
        <v>9.0</v>
      </c>
      <c r="H28" s="97">
        <v>0.0</v>
      </c>
      <c r="I28" s="96">
        <v>6.0</v>
      </c>
      <c r="J28" s="96">
        <v>6.0</v>
      </c>
      <c r="K28" s="96">
        <v>6.0</v>
      </c>
      <c r="L28" s="98">
        <v>18.0</v>
      </c>
      <c r="M28" s="96">
        <v>3.0</v>
      </c>
      <c r="N28" s="34">
        <f t="shared" ref="N28:O28" si="33">C28+L28</f>
        <v>176</v>
      </c>
      <c r="O28" s="34">
        <f t="shared" si="33"/>
        <v>17</v>
      </c>
      <c r="P28" s="49" t="s">
        <v>58</v>
      </c>
      <c r="Q28" s="49" t="s">
        <v>58</v>
      </c>
      <c r="R28" s="49"/>
      <c r="S28" s="50">
        <f t="shared" si="4"/>
        <v>9</v>
      </c>
      <c r="T28" s="52">
        <f t="shared" si="5"/>
        <v>0</v>
      </c>
      <c r="U28" s="52"/>
      <c r="V28" s="50">
        <f t="shared" si="6"/>
        <v>5</v>
      </c>
      <c r="W28" s="52">
        <f t="shared" si="7"/>
        <v>3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89</v>
      </c>
      <c r="C29" s="34">
        <v>158.0</v>
      </c>
      <c r="D29" s="34">
        <v>13.0</v>
      </c>
      <c r="E29" s="35">
        <f t="shared" si="2"/>
        <v>12.55555556</v>
      </c>
      <c r="F29" s="95">
        <v>1.0</v>
      </c>
      <c r="G29" s="96">
        <v>5.0</v>
      </c>
      <c r="H29" s="97">
        <v>0.0</v>
      </c>
      <c r="I29" s="96">
        <v>6.0</v>
      </c>
      <c r="J29" s="96">
        <v>6.0</v>
      </c>
      <c r="K29" s="96">
        <v>6.0</v>
      </c>
      <c r="L29" s="98">
        <v>18.0</v>
      </c>
      <c r="M29" s="96">
        <v>3.0</v>
      </c>
      <c r="N29" s="34">
        <f t="shared" ref="N29:O29" si="34">C29+L29</f>
        <v>176</v>
      </c>
      <c r="O29" s="34">
        <f t="shared" si="34"/>
        <v>16</v>
      </c>
      <c r="P29" s="49" t="s">
        <v>58</v>
      </c>
      <c r="Q29" s="49" t="s">
        <v>58</v>
      </c>
      <c r="R29" s="49"/>
      <c r="S29" s="50">
        <f t="shared" si="4"/>
        <v>9</v>
      </c>
      <c r="T29" s="52">
        <f t="shared" si="5"/>
        <v>0</v>
      </c>
      <c r="U29" s="52"/>
      <c r="V29" s="50">
        <f t="shared" si="6"/>
        <v>5</v>
      </c>
      <c r="W29" s="52">
        <f t="shared" si="7"/>
        <v>-3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49</v>
      </c>
      <c r="C30" s="34">
        <v>156.0</v>
      </c>
      <c r="D30" s="34">
        <v>16.0</v>
      </c>
      <c r="E30" s="35">
        <f t="shared" si="2"/>
        <v>11.72727273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165</v>
      </c>
      <c r="O30" s="34">
        <f t="shared" si="35"/>
        <v>16</v>
      </c>
      <c r="P30" s="49" t="s">
        <v>58</v>
      </c>
      <c r="Q30" s="49" t="s">
        <v>58</v>
      </c>
      <c r="R30" s="49"/>
      <c r="S30" s="50">
        <f t="shared" si="4"/>
        <v>11</v>
      </c>
      <c r="T30" s="52">
        <f t="shared" si="5"/>
        <v>0</v>
      </c>
      <c r="U30" s="52"/>
      <c r="V30" s="50">
        <f t="shared" si="6"/>
        <v>3</v>
      </c>
      <c r="W30" s="52">
        <f t="shared" si="7"/>
        <v>-3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93</v>
      </c>
      <c r="C31" s="34">
        <v>156.0</v>
      </c>
      <c r="D31" s="34">
        <v>12.0</v>
      </c>
      <c r="E31" s="35">
        <f t="shared" si="2"/>
        <v>14</v>
      </c>
      <c r="F31" s="95">
        <v>1.0</v>
      </c>
      <c r="G31" s="96">
        <v>5.0</v>
      </c>
      <c r="H31" s="97">
        <v>0.0</v>
      </c>
      <c r="I31" s="96">
        <v>6.0</v>
      </c>
      <c r="J31" s="96">
        <v>4.0</v>
      </c>
      <c r="K31" s="96">
        <v>1.0</v>
      </c>
      <c r="L31" s="98">
        <v>11.0</v>
      </c>
      <c r="M31" s="96">
        <v>1.0</v>
      </c>
      <c r="N31" s="34">
        <f t="shared" ref="N31:O31" si="36">C31+L31</f>
        <v>167</v>
      </c>
      <c r="O31" s="34">
        <f t="shared" si="36"/>
        <v>13</v>
      </c>
      <c r="P31" s="49" t="s">
        <v>58</v>
      </c>
      <c r="Q31" s="49" t="s">
        <v>58</v>
      </c>
      <c r="R31" s="49"/>
      <c r="S31" s="50">
        <f t="shared" si="4"/>
        <v>6</v>
      </c>
      <c r="T31" s="52">
        <f t="shared" si="5"/>
        <v>0</v>
      </c>
      <c r="U31" s="52"/>
      <c r="V31" s="50">
        <f t="shared" si="6"/>
        <v>8</v>
      </c>
      <c r="W31" s="52">
        <f t="shared" si="7"/>
        <v>7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96</v>
      </c>
      <c r="C32" s="34">
        <v>156.0</v>
      </c>
      <c r="D32" s="34">
        <v>12.0</v>
      </c>
      <c r="E32" s="35">
        <f t="shared" si="2"/>
        <v>11.5</v>
      </c>
      <c r="F32" s="95">
        <v>1.0</v>
      </c>
      <c r="G32" s="96">
        <v>5.0</v>
      </c>
      <c r="H32" s="97">
        <v>0.0</v>
      </c>
      <c r="I32" s="96">
        <v>2.0</v>
      </c>
      <c r="J32" s="96">
        <v>6.0</v>
      </c>
      <c r="K32" s="96">
        <v>1.0</v>
      </c>
      <c r="L32" s="98">
        <v>9.0</v>
      </c>
      <c r="M32" s="96">
        <v>1.0</v>
      </c>
      <c r="N32" s="34">
        <f t="shared" ref="N32:O32" si="37">C32+L32</f>
        <v>165</v>
      </c>
      <c r="O32" s="34">
        <f t="shared" si="37"/>
        <v>13</v>
      </c>
      <c r="P32" s="49" t="s">
        <v>58</v>
      </c>
      <c r="Q32" s="49" t="s">
        <v>58</v>
      </c>
      <c r="R32" s="49"/>
      <c r="S32" s="50">
        <f t="shared" si="4"/>
        <v>12</v>
      </c>
      <c r="T32" s="52">
        <f t="shared" si="5"/>
        <v>0</v>
      </c>
      <c r="U32" s="52"/>
      <c r="V32" s="50">
        <f t="shared" si="6"/>
        <v>2</v>
      </c>
      <c r="W32" s="52">
        <f t="shared" si="7"/>
        <v>4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100</v>
      </c>
      <c r="C33" s="34">
        <v>155.0</v>
      </c>
      <c r="D33" s="34">
        <v>11.0</v>
      </c>
      <c r="E33" s="35">
        <f t="shared" si="2"/>
        <v>13.14285714</v>
      </c>
      <c r="F33" s="95">
        <v>1.0</v>
      </c>
      <c r="G33" s="96">
        <v>5.0</v>
      </c>
      <c r="H33" s="97">
        <v>0.0</v>
      </c>
      <c r="I33" s="96">
        <v>2.0</v>
      </c>
      <c r="J33" s="96">
        <v>4.0</v>
      </c>
      <c r="K33" s="96">
        <v>6.0</v>
      </c>
      <c r="L33" s="98">
        <v>12.0</v>
      </c>
      <c r="M33" s="96">
        <v>1.0</v>
      </c>
      <c r="N33" s="34">
        <f t="shared" ref="N33:O33" si="38">C33+L33</f>
        <v>167</v>
      </c>
      <c r="O33" s="34">
        <f t="shared" si="38"/>
        <v>12</v>
      </c>
      <c r="P33" s="49" t="s">
        <v>58</v>
      </c>
      <c r="Q33" s="49" t="s">
        <v>58</v>
      </c>
      <c r="R33" s="49"/>
      <c r="S33" s="50">
        <f t="shared" si="4"/>
        <v>7</v>
      </c>
      <c r="T33" s="52">
        <f t="shared" si="5"/>
        <v>0</v>
      </c>
      <c r="U33" s="52"/>
      <c r="V33" s="50">
        <f t="shared" si="6"/>
        <v>7</v>
      </c>
      <c r="W33" s="52">
        <f t="shared" si="7"/>
        <v>-4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111</v>
      </c>
      <c r="C34" s="34">
        <v>155.0</v>
      </c>
      <c r="D34" s="34">
        <v>10.0</v>
      </c>
      <c r="E34" s="35">
        <f t="shared" si="2"/>
        <v>11.77777778</v>
      </c>
      <c r="F34" s="95">
        <v>2.0</v>
      </c>
      <c r="G34" s="96">
        <v>6.0</v>
      </c>
      <c r="H34" s="97">
        <v>0.0</v>
      </c>
      <c r="I34" s="96">
        <v>7.0</v>
      </c>
      <c r="J34" s="96">
        <v>7.0</v>
      </c>
      <c r="K34" s="96">
        <v>6.0</v>
      </c>
      <c r="L34" s="98">
        <v>20.0</v>
      </c>
      <c r="M34" s="96">
        <v>3.0</v>
      </c>
      <c r="N34" s="34">
        <f t="shared" ref="N34:O34" si="39">C34+L34</f>
        <v>175</v>
      </c>
      <c r="O34" s="34">
        <f t="shared" si="39"/>
        <v>13</v>
      </c>
      <c r="P34" s="49" t="s">
        <v>58</v>
      </c>
      <c r="Q34" s="49" t="s">
        <v>58</v>
      </c>
      <c r="R34" s="49"/>
      <c r="S34" s="50">
        <f t="shared" si="4"/>
        <v>9</v>
      </c>
      <c r="T34" s="52">
        <f t="shared" si="5"/>
        <v>1</v>
      </c>
      <c r="U34" s="52"/>
      <c r="V34" s="50">
        <f t="shared" si="6"/>
        <v>4</v>
      </c>
      <c r="W34" s="52">
        <f t="shared" si="7"/>
        <v>-4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138</v>
      </c>
      <c r="C35" s="34">
        <v>154.0</v>
      </c>
      <c r="D35" s="34">
        <v>12.0</v>
      </c>
      <c r="E35" s="35">
        <f t="shared" si="2"/>
        <v>12.11111111</v>
      </c>
      <c r="F35" s="95">
        <v>1.0</v>
      </c>
      <c r="G35" s="96">
        <v>6.0</v>
      </c>
      <c r="H35" s="97">
        <v>0.0</v>
      </c>
      <c r="I35" s="96">
        <v>5.0</v>
      </c>
      <c r="J35" s="96">
        <v>7.0</v>
      </c>
      <c r="K35" s="96">
        <v>1.0</v>
      </c>
      <c r="L35" s="98">
        <v>13.0</v>
      </c>
      <c r="M35" s="96">
        <v>1.0</v>
      </c>
      <c r="N35" s="34">
        <f t="shared" ref="N35:O35" si="40">C35+L35</f>
        <v>167</v>
      </c>
      <c r="O35" s="34">
        <f t="shared" si="40"/>
        <v>13</v>
      </c>
      <c r="P35" s="49" t="s">
        <v>58</v>
      </c>
      <c r="Q35" s="49" t="s">
        <v>58</v>
      </c>
      <c r="R35" s="49"/>
      <c r="S35" s="50">
        <f t="shared" si="4"/>
        <v>9</v>
      </c>
      <c r="T35" s="52">
        <f t="shared" si="5"/>
        <v>0</v>
      </c>
      <c r="U35" s="52"/>
      <c r="V35" s="50">
        <f t="shared" si="6"/>
        <v>5</v>
      </c>
      <c r="W35" s="52">
        <f t="shared" si="7"/>
        <v>4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114</v>
      </c>
      <c r="C36" s="34">
        <v>154.0</v>
      </c>
      <c r="D36" s="34">
        <v>9.0</v>
      </c>
      <c r="E36" s="35">
        <f t="shared" si="2"/>
        <v>11.18181818</v>
      </c>
      <c r="F36" s="95">
        <v>1.0</v>
      </c>
      <c r="G36" s="96">
        <v>6.0</v>
      </c>
      <c r="H36" s="97">
        <v>0.0</v>
      </c>
      <c r="I36" s="96">
        <v>5.0</v>
      </c>
      <c r="J36" s="96">
        <v>5.0</v>
      </c>
      <c r="K36" s="96">
        <v>6.0</v>
      </c>
      <c r="L36" s="98">
        <v>16.0</v>
      </c>
      <c r="M36" s="96">
        <v>1.0</v>
      </c>
      <c r="N36" s="34">
        <f t="shared" ref="N36:O36" si="41">C36+L36</f>
        <v>170</v>
      </c>
      <c r="O36" s="34">
        <f t="shared" si="41"/>
        <v>10</v>
      </c>
      <c r="P36" s="49" t="s">
        <v>58</v>
      </c>
      <c r="Q36" s="49" t="s">
        <v>58</v>
      </c>
      <c r="R36" s="49"/>
      <c r="S36" s="50">
        <f t="shared" si="4"/>
        <v>11</v>
      </c>
      <c r="T36" s="52">
        <f t="shared" si="5"/>
        <v>1</v>
      </c>
      <c r="U36" s="52"/>
      <c r="V36" s="50">
        <f t="shared" si="6"/>
        <v>2</v>
      </c>
      <c r="W36" s="52">
        <f t="shared" si="7"/>
        <v>-4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65</v>
      </c>
      <c r="C37" s="34">
        <v>153.0</v>
      </c>
      <c r="D37" s="34">
        <v>13.0</v>
      </c>
      <c r="E37" s="35">
        <f t="shared" si="2"/>
        <v>14.4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2">C37+L37</f>
        <v>162</v>
      </c>
      <c r="O37" s="34">
        <f t="shared" si="42"/>
        <v>13</v>
      </c>
      <c r="P37" s="49" t="s">
        <v>58</v>
      </c>
      <c r="Q37" s="49" t="s">
        <v>58</v>
      </c>
      <c r="R37" s="49"/>
      <c r="S37" s="50">
        <f t="shared" si="4"/>
        <v>5</v>
      </c>
      <c r="T37" s="52">
        <f t="shared" si="5"/>
        <v>0</v>
      </c>
      <c r="U37" s="52"/>
      <c r="V37" s="50">
        <f t="shared" si="6"/>
        <v>9</v>
      </c>
      <c r="W37" s="52">
        <f t="shared" si="7"/>
        <v>-4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122</v>
      </c>
      <c r="C38" s="34">
        <v>153.0</v>
      </c>
      <c r="D38" s="34">
        <v>11.0</v>
      </c>
      <c r="E38" s="35">
        <f t="shared" si="2"/>
        <v>12.85714286</v>
      </c>
      <c r="F38" s="95">
        <v>1.0</v>
      </c>
      <c r="G38" s="96">
        <v>6.0</v>
      </c>
      <c r="H38" s="97">
        <v>0.0</v>
      </c>
      <c r="I38" s="96">
        <v>7.0</v>
      </c>
      <c r="J38" s="96">
        <v>5.0</v>
      </c>
      <c r="K38" s="96">
        <v>1.0</v>
      </c>
      <c r="L38" s="98">
        <v>13.0</v>
      </c>
      <c r="M38" s="96">
        <v>1.0</v>
      </c>
      <c r="N38" s="34">
        <f t="shared" ref="N38:O38" si="43">C38+L38</f>
        <v>166</v>
      </c>
      <c r="O38" s="34">
        <f t="shared" si="43"/>
        <v>12</v>
      </c>
      <c r="P38" s="49" t="s">
        <v>58</v>
      </c>
      <c r="Q38" s="49" t="s">
        <v>58</v>
      </c>
      <c r="R38" s="49"/>
      <c r="S38" s="50">
        <f t="shared" si="4"/>
        <v>7</v>
      </c>
      <c r="T38" s="52">
        <f t="shared" si="5"/>
        <v>0</v>
      </c>
      <c r="U38" s="52"/>
      <c r="V38" s="50">
        <f t="shared" si="6"/>
        <v>7</v>
      </c>
      <c r="W38" s="52">
        <f t="shared" si="7"/>
        <v>6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99</v>
      </c>
      <c r="C39" s="34">
        <v>152.0</v>
      </c>
      <c r="D39" s="34">
        <v>11.0</v>
      </c>
      <c r="E39" s="35">
        <f t="shared" si="2"/>
        <v>12.25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4">C39+L39</f>
        <v>161</v>
      </c>
      <c r="O39" s="34">
        <f t="shared" si="44"/>
        <v>11</v>
      </c>
      <c r="P39" s="49" t="s">
        <v>58</v>
      </c>
      <c r="Q39" s="49" t="s">
        <v>58</v>
      </c>
      <c r="R39" s="49"/>
      <c r="S39" s="50">
        <f t="shared" si="4"/>
        <v>8</v>
      </c>
      <c r="T39" s="52">
        <f t="shared" si="5"/>
        <v>0</v>
      </c>
      <c r="U39" s="52"/>
      <c r="V39" s="50">
        <f t="shared" si="6"/>
        <v>6</v>
      </c>
      <c r="W39" s="52">
        <f t="shared" si="7"/>
        <v>-4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60</v>
      </c>
      <c r="C40" s="34">
        <v>151.0</v>
      </c>
      <c r="D40" s="34">
        <v>15.0</v>
      </c>
      <c r="E40" s="35">
        <f t="shared" si="2"/>
        <v>11.08333333</v>
      </c>
      <c r="F40" s="95">
        <v>1.0</v>
      </c>
      <c r="G40" s="96">
        <v>7.0</v>
      </c>
      <c r="H40" s="97">
        <v>0.0</v>
      </c>
      <c r="I40" s="96">
        <v>2.0</v>
      </c>
      <c r="J40" s="96">
        <v>7.0</v>
      </c>
      <c r="K40" s="96">
        <v>6.0</v>
      </c>
      <c r="L40" s="98">
        <v>15.0</v>
      </c>
      <c r="M40" s="96">
        <v>2.0</v>
      </c>
      <c r="N40" s="34">
        <f t="shared" ref="N40:O40" si="45">C40+L40</f>
        <v>166</v>
      </c>
      <c r="O40" s="34">
        <f t="shared" si="45"/>
        <v>17</v>
      </c>
      <c r="P40" s="49" t="s">
        <v>58</v>
      </c>
      <c r="Q40" s="49" t="s">
        <v>58</v>
      </c>
      <c r="R40" s="49"/>
      <c r="S40" s="50">
        <f t="shared" si="4"/>
        <v>12</v>
      </c>
      <c r="T40" s="52">
        <f t="shared" si="5"/>
        <v>0</v>
      </c>
      <c r="U40" s="52"/>
      <c r="V40" s="50">
        <f t="shared" si="6"/>
        <v>2</v>
      </c>
      <c r="W40" s="52">
        <f t="shared" si="7"/>
        <v>1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137</v>
      </c>
      <c r="C41" s="34">
        <v>151.0</v>
      </c>
      <c r="D41" s="34">
        <v>11.0</v>
      </c>
      <c r="E41" s="35">
        <f t="shared" si="2"/>
        <v>11.77777778</v>
      </c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6">C41+L41</f>
        <v>160</v>
      </c>
      <c r="O41" s="34">
        <f t="shared" si="46"/>
        <v>11</v>
      </c>
      <c r="P41" s="49" t="s">
        <v>58</v>
      </c>
      <c r="Q41" s="49" t="s">
        <v>58</v>
      </c>
      <c r="R41" s="49"/>
      <c r="S41" s="50">
        <f t="shared" si="4"/>
        <v>9</v>
      </c>
      <c r="T41" s="52">
        <f t="shared" si="5"/>
        <v>0</v>
      </c>
      <c r="U41" s="52"/>
      <c r="V41" s="50">
        <f t="shared" si="6"/>
        <v>5</v>
      </c>
      <c r="W41" s="52">
        <f t="shared" si="7"/>
        <v>-4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132</v>
      </c>
      <c r="C42" s="34">
        <v>148.0</v>
      </c>
      <c r="D42" s="34">
        <v>10.0</v>
      </c>
      <c r="E42" s="35">
        <f t="shared" si="2"/>
        <v>12.14285714</v>
      </c>
      <c r="F42" s="95">
        <v>1.0</v>
      </c>
      <c r="G42" s="96">
        <v>7.0</v>
      </c>
      <c r="H42" s="97">
        <v>0.0</v>
      </c>
      <c r="I42" s="96">
        <v>6.0</v>
      </c>
      <c r="J42" s="96">
        <v>6.0</v>
      </c>
      <c r="K42" s="96">
        <v>6.0</v>
      </c>
      <c r="L42" s="98">
        <v>18.0</v>
      </c>
      <c r="M42" s="96">
        <v>2.0</v>
      </c>
      <c r="N42" s="34">
        <f t="shared" ref="N42:O42" si="47">C42+L42</f>
        <v>166</v>
      </c>
      <c r="O42" s="34">
        <f t="shared" si="47"/>
        <v>12</v>
      </c>
      <c r="P42" s="49" t="s">
        <v>58</v>
      </c>
      <c r="Q42" s="49" t="s">
        <v>58</v>
      </c>
      <c r="R42" s="49"/>
      <c r="S42" s="50">
        <f t="shared" si="4"/>
        <v>7</v>
      </c>
      <c r="T42" s="52">
        <f t="shared" si="5"/>
        <v>0</v>
      </c>
      <c r="U42" s="52"/>
      <c r="V42" s="50">
        <f t="shared" si="6"/>
        <v>7</v>
      </c>
      <c r="W42" s="52">
        <f t="shared" si="7"/>
        <v>-2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75</v>
      </c>
      <c r="C43" s="34">
        <v>144.0</v>
      </c>
      <c r="D43" s="34">
        <v>7.0</v>
      </c>
      <c r="E43" s="35">
        <f t="shared" si="2"/>
        <v>12.6</v>
      </c>
      <c r="F43" s="95">
        <v>1.0</v>
      </c>
      <c r="G43" s="96">
        <v>7.0</v>
      </c>
      <c r="H43" s="97">
        <v>0.0</v>
      </c>
      <c r="I43" s="96">
        <v>2.0</v>
      </c>
      <c r="J43" s="96">
        <v>6.0</v>
      </c>
      <c r="K43" s="96">
        <v>2.0</v>
      </c>
      <c r="L43" s="98">
        <v>10.0</v>
      </c>
      <c r="M43" s="96">
        <v>0.0</v>
      </c>
      <c r="N43" s="34">
        <f t="shared" ref="N43:O43" si="48">C43+L43</f>
        <v>154</v>
      </c>
      <c r="O43" s="34">
        <f t="shared" si="48"/>
        <v>7</v>
      </c>
      <c r="P43" s="49" t="s">
        <v>58</v>
      </c>
      <c r="Q43" s="49" t="s">
        <v>58</v>
      </c>
      <c r="R43" s="49"/>
      <c r="S43" s="50">
        <f t="shared" si="4"/>
        <v>5</v>
      </c>
      <c r="T43" s="52">
        <f t="shared" si="5"/>
        <v>0</v>
      </c>
      <c r="U43" s="52"/>
      <c r="V43" s="50">
        <f t="shared" si="6"/>
        <v>9</v>
      </c>
      <c r="W43" s="52">
        <f t="shared" si="7"/>
        <v>7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108</v>
      </c>
      <c r="C44" s="34">
        <v>144.0</v>
      </c>
      <c r="D44" s="34">
        <v>7.0</v>
      </c>
      <c r="E44" s="35">
        <f t="shared" si="2"/>
        <v>10.63636364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153</v>
      </c>
      <c r="O44" s="34">
        <f t="shared" si="49"/>
        <v>7</v>
      </c>
      <c r="P44" s="49" t="s">
        <v>58</v>
      </c>
      <c r="Q44" s="49" t="s">
        <v>58</v>
      </c>
      <c r="R44" s="49"/>
      <c r="S44" s="50">
        <f t="shared" si="4"/>
        <v>11</v>
      </c>
      <c r="T44" s="52">
        <f t="shared" si="5"/>
        <v>0</v>
      </c>
      <c r="U44" s="52"/>
      <c r="V44" s="50">
        <f t="shared" si="6"/>
        <v>3</v>
      </c>
      <c r="W44" s="52">
        <f t="shared" si="7"/>
        <v>-2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135</v>
      </c>
      <c r="C45" s="34">
        <v>143.0</v>
      </c>
      <c r="D45" s="34">
        <v>11.0</v>
      </c>
      <c r="E45" s="35">
        <f t="shared" si="2"/>
        <v>11.125</v>
      </c>
      <c r="F45" s="95">
        <v>1.0</v>
      </c>
      <c r="G45" s="96">
        <v>7.0</v>
      </c>
      <c r="H45" s="97">
        <v>0.0</v>
      </c>
      <c r="I45" s="96">
        <v>6.0</v>
      </c>
      <c r="J45" s="96">
        <v>7.0</v>
      </c>
      <c r="K45" s="96">
        <v>2.0</v>
      </c>
      <c r="L45" s="98">
        <v>15.0</v>
      </c>
      <c r="M45" s="96">
        <v>2.0</v>
      </c>
      <c r="N45" s="34">
        <f t="shared" ref="N45:O45" si="50">C45+L45</f>
        <v>158</v>
      </c>
      <c r="O45" s="34">
        <f t="shared" si="50"/>
        <v>13</v>
      </c>
      <c r="P45" s="49" t="s">
        <v>58</v>
      </c>
      <c r="Q45" s="49" t="s">
        <v>58</v>
      </c>
      <c r="R45" s="49"/>
      <c r="S45" s="50">
        <f t="shared" si="4"/>
        <v>8</v>
      </c>
      <c r="T45" s="52">
        <f t="shared" si="5"/>
        <v>0</v>
      </c>
      <c r="U45" s="52"/>
      <c r="V45" s="50">
        <f t="shared" si="6"/>
        <v>6</v>
      </c>
      <c r="W45" s="52">
        <f t="shared" si="7"/>
        <v>-2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47</v>
      </c>
      <c r="C46" s="34">
        <v>142.0</v>
      </c>
      <c r="D46" s="34">
        <v>8.0</v>
      </c>
      <c r="E46" s="35">
        <f t="shared" si="2"/>
        <v>14.33333333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151</v>
      </c>
      <c r="O46" s="34">
        <f t="shared" si="51"/>
        <v>8</v>
      </c>
      <c r="P46" s="49" t="s">
        <v>58</v>
      </c>
      <c r="Q46" s="49" t="s">
        <v>58</v>
      </c>
      <c r="R46" s="49"/>
      <c r="S46" s="50">
        <f t="shared" si="4"/>
        <v>3</v>
      </c>
      <c r="T46" s="52">
        <f t="shared" si="5"/>
        <v>0</v>
      </c>
      <c r="U46" s="52"/>
      <c r="V46" s="50">
        <f t="shared" si="6"/>
        <v>11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72</v>
      </c>
      <c r="C47" s="34">
        <v>141.0</v>
      </c>
      <c r="D47" s="34">
        <v>8.0</v>
      </c>
      <c r="E47" s="35">
        <f t="shared" si="2"/>
        <v>10.57142857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150</v>
      </c>
      <c r="O47" s="34">
        <f t="shared" si="52"/>
        <v>8</v>
      </c>
      <c r="P47" s="49" t="s">
        <v>58</v>
      </c>
      <c r="Q47" s="49" t="s">
        <v>58</v>
      </c>
      <c r="R47" s="49"/>
      <c r="S47" s="50">
        <f t="shared" si="4"/>
        <v>7</v>
      </c>
      <c r="T47" s="52">
        <f t="shared" si="5"/>
        <v>1</v>
      </c>
      <c r="U47" s="52"/>
      <c r="V47" s="50">
        <f t="shared" si="6"/>
        <v>6</v>
      </c>
      <c r="W47" s="52">
        <f t="shared" si="7"/>
        <v>-1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139.0</v>
      </c>
      <c r="D48" s="34">
        <v>13.0</v>
      </c>
      <c r="E48" s="35">
        <f t="shared" si="2"/>
        <v>10.18181818</v>
      </c>
      <c r="F48" s="95">
        <v>1.0</v>
      </c>
      <c r="G48" s="96">
        <v>8.0</v>
      </c>
      <c r="H48" s="97">
        <v>0.0</v>
      </c>
      <c r="I48" s="96">
        <v>6.0</v>
      </c>
      <c r="J48" s="96">
        <v>1.0</v>
      </c>
      <c r="K48" s="96">
        <v>4.0</v>
      </c>
      <c r="L48" s="98">
        <v>11.0</v>
      </c>
      <c r="M48" s="96">
        <v>1.0</v>
      </c>
      <c r="N48" s="34">
        <f t="shared" ref="N48:O48" si="53">C48+L48</f>
        <v>150</v>
      </c>
      <c r="O48" s="34">
        <f t="shared" si="53"/>
        <v>14</v>
      </c>
      <c r="P48" s="49" t="s">
        <v>58</v>
      </c>
      <c r="Q48" s="49" t="s">
        <v>58</v>
      </c>
      <c r="R48" s="49"/>
      <c r="S48" s="50">
        <f t="shared" si="4"/>
        <v>11</v>
      </c>
      <c r="T48" s="52">
        <f t="shared" si="5"/>
        <v>0</v>
      </c>
      <c r="U48" s="52"/>
      <c r="V48" s="50">
        <f t="shared" si="6"/>
        <v>3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129</v>
      </c>
      <c r="C49" s="34">
        <v>138.0</v>
      </c>
      <c r="D49" s="34">
        <v>12.0</v>
      </c>
      <c r="E49" s="35">
        <f t="shared" si="2"/>
        <v>10.09090909</v>
      </c>
      <c r="F49" s="95">
        <v>1.0</v>
      </c>
      <c r="G49" s="96">
        <v>8.0</v>
      </c>
      <c r="H49" s="97">
        <v>0.0</v>
      </c>
      <c r="I49" s="96">
        <v>2.0</v>
      </c>
      <c r="J49" s="96">
        <v>1.0</v>
      </c>
      <c r="K49" s="96">
        <v>6.0</v>
      </c>
      <c r="L49" s="98">
        <v>9.0</v>
      </c>
      <c r="M49" s="96">
        <v>1.0</v>
      </c>
      <c r="N49" s="34">
        <f t="shared" ref="N49:O49" si="54">C49+L49</f>
        <v>147</v>
      </c>
      <c r="O49" s="34">
        <f t="shared" si="54"/>
        <v>13</v>
      </c>
      <c r="P49" s="49" t="s">
        <v>58</v>
      </c>
      <c r="Q49" s="49" t="s">
        <v>58</v>
      </c>
      <c r="R49" s="49"/>
      <c r="S49" s="50">
        <f t="shared" si="4"/>
        <v>11</v>
      </c>
      <c r="T49" s="52">
        <f t="shared" si="5"/>
        <v>0</v>
      </c>
      <c r="U49" s="52"/>
      <c r="V49" s="50">
        <f t="shared" si="6"/>
        <v>3</v>
      </c>
      <c r="W49" s="52">
        <f t="shared" si="7"/>
        <v>-2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139</v>
      </c>
      <c r="C50" s="34">
        <v>136.0</v>
      </c>
      <c r="D50" s="34">
        <v>10.0</v>
      </c>
      <c r="E50" s="35">
        <f t="shared" si="2"/>
        <v>10</v>
      </c>
      <c r="F50" s="95">
        <v>1.0</v>
      </c>
      <c r="G50" s="96">
        <v>8.0</v>
      </c>
      <c r="H50" s="97">
        <v>0.0</v>
      </c>
      <c r="I50" s="96">
        <v>6.0</v>
      </c>
      <c r="J50" s="96">
        <v>6.0</v>
      </c>
      <c r="K50" s="96">
        <v>6.0</v>
      </c>
      <c r="L50" s="98">
        <v>18.0</v>
      </c>
      <c r="M50" s="96">
        <v>3.0</v>
      </c>
      <c r="N50" s="34">
        <f t="shared" ref="N50:O50" si="55">C50+L50</f>
        <v>154</v>
      </c>
      <c r="O50" s="34">
        <f t="shared" si="55"/>
        <v>13</v>
      </c>
      <c r="P50" s="49" t="s">
        <v>58</v>
      </c>
      <c r="Q50" s="49" t="s">
        <v>58</v>
      </c>
      <c r="R50" s="49"/>
      <c r="S50" s="50">
        <f t="shared" si="4"/>
        <v>10</v>
      </c>
      <c r="T50" s="52">
        <f t="shared" si="5"/>
        <v>0</v>
      </c>
      <c r="U50" s="52"/>
      <c r="V50" s="50">
        <f t="shared" si="6"/>
        <v>4</v>
      </c>
      <c r="W50" s="52">
        <f t="shared" si="7"/>
        <v>6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144</v>
      </c>
      <c r="C51" s="34">
        <v>136.0</v>
      </c>
      <c r="D51" s="34">
        <v>8.0</v>
      </c>
      <c r="E51" s="35">
        <f t="shared" si="2"/>
        <v>9.857142857</v>
      </c>
      <c r="F51" s="95">
        <v>2.0</v>
      </c>
      <c r="G51" s="96">
        <v>8.0</v>
      </c>
      <c r="H51" s="97">
        <v>0.0</v>
      </c>
      <c r="I51" s="96">
        <v>2.0</v>
      </c>
      <c r="J51" s="96">
        <v>6.0</v>
      </c>
      <c r="K51" s="96">
        <v>4.0</v>
      </c>
      <c r="L51" s="98">
        <v>12.0</v>
      </c>
      <c r="M51" s="96">
        <v>1.0</v>
      </c>
      <c r="N51" s="34">
        <f t="shared" ref="N51:O51" si="56">C51+L51</f>
        <v>148</v>
      </c>
      <c r="O51" s="34">
        <f t="shared" si="56"/>
        <v>9</v>
      </c>
      <c r="P51" s="49" t="s">
        <v>58</v>
      </c>
      <c r="Q51" s="49" t="s">
        <v>58</v>
      </c>
      <c r="R51" s="49"/>
      <c r="S51" s="50">
        <f t="shared" si="4"/>
        <v>7</v>
      </c>
      <c r="T51" s="52">
        <f t="shared" si="5"/>
        <v>1</v>
      </c>
      <c r="U51" s="52"/>
      <c r="V51" s="50">
        <f t="shared" si="6"/>
        <v>6</v>
      </c>
      <c r="W51" s="52">
        <f t="shared" si="7"/>
        <v>2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143</v>
      </c>
      <c r="C52" s="34">
        <v>135.0</v>
      </c>
      <c r="D52" s="34">
        <v>5.0</v>
      </c>
      <c r="E52" s="35">
        <f t="shared" si="2"/>
        <v>12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144</v>
      </c>
      <c r="O52" s="34">
        <f t="shared" si="57"/>
        <v>5</v>
      </c>
      <c r="P52" s="49" t="s">
        <v>58</v>
      </c>
      <c r="Q52" s="49" t="s">
        <v>58</v>
      </c>
      <c r="R52" s="49"/>
      <c r="S52" s="50">
        <f t="shared" si="4"/>
        <v>3</v>
      </c>
      <c r="T52" s="52">
        <f t="shared" si="5"/>
        <v>0</v>
      </c>
      <c r="U52" s="52"/>
      <c r="V52" s="50">
        <f t="shared" si="6"/>
        <v>11</v>
      </c>
      <c r="W52" s="52">
        <f t="shared" si="7"/>
        <v>-3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105</v>
      </c>
      <c r="C53" s="34">
        <v>133.0</v>
      </c>
      <c r="D53" s="34">
        <v>6.0</v>
      </c>
      <c r="E53" s="35">
        <f t="shared" si="2"/>
        <v>11.33333333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8">C53+L53</f>
        <v>142</v>
      </c>
      <c r="O53" s="34">
        <f t="shared" si="58"/>
        <v>6</v>
      </c>
      <c r="P53" s="49" t="s">
        <v>58</v>
      </c>
      <c r="Q53" s="49" t="s">
        <v>58</v>
      </c>
      <c r="R53" s="49"/>
      <c r="S53" s="50">
        <f t="shared" si="4"/>
        <v>3</v>
      </c>
      <c r="T53" s="52">
        <f t="shared" si="5"/>
        <v>0</v>
      </c>
      <c r="U53" s="52"/>
      <c r="V53" s="50">
        <f t="shared" si="6"/>
        <v>11</v>
      </c>
      <c r="W53" s="52">
        <f t="shared" si="7"/>
        <v>-2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145</v>
      </c>
      <c r="C54" s="34">
        <v>132.0</v>
      </c>
      <c r="D54" s="34">
        <v>9.0</v>
      </c>
      <c r="E54" s="35">
        <f t="shared" si="2"/>
        <v>9.75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141</v>
      </c>
      <c r="O54" s="34">
        <f t="shared" si="59"/>
        <v>9</v>
      </c>
      <c r="P54" s="49" t="s">
        <v>58</v>
      </c>
      <c r="Q54" s="49" t="s">
        <v>58</v>
      </c>
      <c r="R54" s="49"/>
      <c r="S54" s="50">
        <f t="shared" si="4"/>
        <v>8</v>
      </c>
      <c r="T54" s="52">
        <f t="shared" si="5"/>
        <v>0</v>
      </c>
      <c r="U54" s="52"/>
      <c r="V54" s="50">
        <f t="shared" si="6"/>
        <v>6</v>
      </c>
      <c r="W54" s="52">
        <f t="shared" si="7"/>
        <v>-2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142</v>
      </c>
      <c r="C55" s="34">
        <v>131.0</v>
      </c>
      <c r="D55" s="34">
        <v>10.0</v>
      </c>
      <c r="E55" s="35">
        <f t="shared" si="2"/>
        <v>9.555555556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140</v>
      </c>
      <c r="O55" s="34">
        <f t="shared" si="60"/>
        <v>10</v>
      </c>
      <c r="P55" s="49" t="s">
        <v>58</v>
      </c>
      <c r="Q55" s="49" t="s">
        <v>58</v>
      </c>
      <c r="R55" s="49"/>
      <c r="S55" s="50">
        <f t="shared" si="4"/>
        <v>9</v>
      </c>
      <c r="T55" s="52">
        <f t="shared" si="5"/>
        <v>0</v>
      </c>
      <c r="U55" s="52"/>
      <c r="V55" s="50">
        <f t="shared" si="6"/>
        <v>5</v>
      </c>
      <c r="W55" s="52">
        <f t="shared" si="7"/>
        <v>-1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69</v>
      </c>
      <c r="C56" s="34">
        <v>130.0</v>
      </c>
      <c r="D56" s="34">
        <v>5.0</v>
      </c>
      <c r="E56" s="35">
        <f t="shared" si="2"/>
        <v>11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1">C56+L56</f>
        <v>139</v>
      </c>
      <c r="O56" s="34">
        <f t="shared" si="61"/>
        <v>5</v>
      </c>
      <c r="P56" s="49" t="s">
        <v>58</v>
      </c>
      <c r="Q56" s="49" t="s">
        <v>58</v>
      </c>
      <c r="R56" s="49"/>
      <c r="S56" s="50">
        <f t="shared" si="4"/>
        <v>2</v>
      </c>
      <c r="T56" s="52">
        <f t="shared" si="5"/>
        <v>0</v>
      </c>
      <c r="U56" s="52"/>
      <c r="V56" s="50">
        <f t="shared" si="6"/>
        <v>12</v>
      </c>
      <c r="W56" s="52">
        <f t="shared" si="7"/>
        <v>-1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121</v>
      </c>
      <c r="C57" s="34">
        <v>130.0</v>
      </c>
      <c r="D57" s="34">
        <v>3.0</v>
      </c>
      <c r="E57" s="35">
        <f t="shared" si="2"/>
        <v>9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139</v>
      </c>
      <c r="O57" s="34">
        <f t="shared" si="62"/>
        <v>3</v>
      </c>
      <c r="P57" s="49" t="s">
        <v>58</v>
      </c>
      <c r="Q57" s="49" t="s">
        <v>58</v>
      </c>
      <c r="R57" s="49"/>
      <c r="S57" s="50">
        <f t="shared" si="4"/>
        <v>1</v>
      </c>
      <c r="T57" s="52">
        <f t="shared" si="5"/>
        <v>1</v>
      </c>
      <c r="U57" s="52"/>
      <c r="V57" s="50">
        <f t="shared" si="6"/>
        <v>12</v>
      </c>
      <c r="W57" s="52">
        <f t="shared" si="7"/>
        <v>1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95</v>
      </c>
      <c r="C58" s="34">
        <v>127.0</v>
      </c>
      <c r="D58" s="34">
        <v>3.0</v>
      </c>
      <c r="E58" s="35">
        <f t="shared" si="2"/>
        <v>8</v>
      </c>
      <c r="F58" s="95">
        <v>1.0</v>
      </c>
      <c r="G58" s="96">
        <v>10.0</v>
      </c>
      <c r="H58" s="97">
        <v>0.0</v>
      </c>
      <c r="I58" s="96">
        <v>6.0</v>
      </c>
      <c r="J58" s="96">
        <v>6.0</v>
      </c>
      <c r="K58" s="96">
        <v>2.0</v>
      </c>
      <c r="L58" s="98">
        <v>14.0</v>
      </c>
      <c r="M58" s="96">
        <v>2.0</v>
      </c>
      <c r="N58" s="34">
        <f t="shared" ref="N58:O58" si="63">C58+L58</f>
        <v>141</v>
      </c>
      <c r="O58" s="34">
        <f t="shared" si="63"/>
        <v>5</v>
      </c>
      <c r="P58" s="49" t="s">
        <v>58</v>
      </c>
      <c r="Q58" s="49" t="s">
        <v>58</v>
      </c>
      <c r="R58" s="49"/>
      <c r="S58" s="50">
        <f t="shared" si="4"/>
        <v>3</v>
      </c>
      <c r="T58" s="52">
        <f t="shared" si="5"/>
        <v>1</v>
      </c>
      <c r="U58" s="52"/>
      <c r="V58" s="50">
        <f t="shared" si="6"/>
        <v>10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148</v>
      </c>
      <c r="C59" s="34">
        <v>125.0</v>
      </c>
      <c r="D59" s="34">
        <v>1.0</v>
      </c>
      <c r="E59" s="35">
        <f t="shared" si="2"/>
        <v>8</v>
      </c>
      <c r="F59" s="95">
        <v>1.0</v>
      </c>
      <c r="G59" s="96">
        <v>10.0</v>
      </c>
      <c r="H59" s="97">
        <v>0.0</v>
      </c>
      <c r="I59" s="96">
        <v>0.0</v>
      </c>
      <c r="J59" s="96">
        <v>4.0</v>
      </c>
      <c r="K59" s="96">
        <v>2.0</v>
      </c>
      <c r="L59" s="98">
        <v>6.0</v>
      </c>
      <c r="M59" s="96">
        <v>0.0</v>
      </c>
      <c r="N59" s="34">
        <f t="shared" ref="N59:O59" si="64">C59+L59</f>
        <v>131</v>
      </c>
      <c r="O59" s="34">
        <f t="shared" si="64"/>
        <v>1</v>
      </c>
      <c r="P59" s="49" t="s">
        <v>58</v>
      </c>
      <c r="Q59" s="49" t="s">
        <v>58</v>
      </c>
      <c r="R59" s="49"/>
      <c r="S59" s="50">
        <f t="shared" si="4"/>
        <v>5</v>
      </c>
      <c r="T59" s="52">
        <f t="shared" si="5"/>
        <v>1</v>
      </c>
      <c r="U59" s="52"/>
      <c r="V59" s="50">
        <f t="shared" si="6"/>
        <v>8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123.0</v>
      </c>
      <c r="D60" s="34">
        <v>3.0</v>
      </c>
      <c r="E60" s="35">
        <f t="shared" si="2"/>
        <v>7.5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132</v>
      </c>
      <c r="O60" s="34">
        <f t="shared" si="65"/>
        <v>3</v>
      </c>
      <c r="P60" s="49" t="s">
        <v>58</v>
      </c>
      <c r="Q60" s="49" t="s">
        <v>58</v>
      </c>
      <c r="R60" s="49"/>
      <c r="S60" s="50">
        <f t="shared" si="4"/>
        <v>2</v>
      </c>
      <c r="T60" s="52">
        <f t="shared" si="5"/>
        <v>0</v>
      </c>
      <c r="U60" s="52"/>
      <c r="V60" s="50">
        <f t="shared" si="6"/>
        <v>12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140</v>
      </c>
      <c r="C61" s="34">
        <v>121.0</v>
      </c>
      <c r="D61" s="34">
        <v>2.0</v>
      </c>
      <c r="E61" s="35">
        <f t="shared" si="2"/>
        <v>6.5</v>
      </c>
      <c r="F61" s="95">
        <v>1.0</v>
      </c>
      <c r="G61" s="96">
        <v>10.0</v>
      </c>
      <c r="H61" s="97">
        <v>0.0</v>
      </c>
      <c r="I61" s="96">
        <v>6.0</v>
      </c>
      <c r="J61" s="96">
        <v>4.0</v>
      </c>
      <c r="K61" s="96">
        <v>6.0</v>
      </c>
      <c r="L61" s="98">
        <v>16.0</v>
      </c>
      <c r="M61" s="96">
        <v>2.0</v>
      </c>
      <c r="N61" s="34">
        <f t="shared" ref="N61:O61" si="66">C61+L61</f>
        <v>137</v>
      </c>
      <c r="O61" s="34">
        <f t="shared" si="66"/>
        <v>4</v>
      </c>
      <c r="P61" s="49" t="s">
        <v>58</v>
      </c>
      <c r="Q61" s="49" t="s">
        <v>58</v>
      </c>
      <c r="R61" s="49"/>
      <c r="S61" s="50">
        <f t="shared" si="4"/>
        <v>2</v>
      </c>
      <c r="T61" s="52">
        <f t="shared" si="5"/>
        <v>0</v>
      </c>
      <c r="U61" s="52"/>
      <c r="V61" s="50">
        <f t="shared" si="6"/>
        <v>12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101</v>
      </c>
      <c r="C62" s="34">
        <v>120.0</v>
      </c>
      <c r="D62" s="34">
        <v>3.0</v>
      </c>
      <c r="E62" s="35">
        <f t="shared" si="2"/>
        <v>8.25</v>
      </c>
      <c r="F62" s="95">
        <v>1.0</v>
      </c>
      <c r="G62" s="96">
        <v>10.0</v>
      </c>
      <c r="H62" s="97">
        <v>0.0</v>
      </c>
      <c r="I62" s="96">
        <v>0.0</v>
      </c>
      <c r="J62" s="96">
        <v>6.0</v>
      </c>
      <c r="K62" s="96">
        <v>6.0</v>
      </c>
      <c r="L62" s="98">
        <v>12.0</v>
      </c>
      <c r="M62" s="96">
        <v>2.0</v>
      </c>
      <c r="N62" s="34">
        <f t="shared" ref="N62:O62" si="67">C62+L62</f>
        <v>132</v>
      </c>
      <c r="O62" s="34">
        <f t="shared" si="67"/>
        <v>5</v>
      </c>
      <c r="P62" s="49" t="s">
        <v>58</v>
      </c>
      <c r="Q62" s="49" t="s">
        <v>58</v>
      </c>
      <c r="R62" s="49"/>
      <c r="S62" s="50">
        <f t="shared" si="4"/>
        <v>8</v>
      </c>
      <c r="T62" s="52">
        <f t="shared" si="5"/>
        <v>0</v>
      </c>
      <c r="U62" s="52"/>
      <c r="V62" s="50">
        <f t="shared" si="6"/>
        <v>6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147</v>
      </c>
      <c r="C63" s="34">
        <v>119.0</v>
      </c>
      <c r="D63" s="34">
        <v>2.0</v>
      </c>
      <c r="E63" s="35">
        <f t="shared" si="2"/>
        <v>5.5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128</v>
      </c>
      <c r="O63" s="34">
        <f t="shared" si="68"/>
        <v>2</v>
      </c>
      <c r="P63" s="49" t="s">
        <v>58</v>
      </c>
      <c r="Q63" s="49" t="s">
        <v>58</v>
      </c>
      <c r="R63" s="49"/>
      <c r="S63" s="50">
        <f t="shared" si="4"/>
        <v>2</v>
      </c>
      <c r="T63" s="52">
        <f t="shared" si="5"/>
        <v>0</v>
      </c>
      <c r="U63" s="52"/>
      <c r="V63" s="50">
        <f t="shared" si="6"/>
        <v>12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117.0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126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14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117.0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126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14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117.0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126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14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146</v>
      </c>
      <c r="C67" s="34">
        <v>114.0</v>
      </c>
      <c r="D67" s="34">
        <v>2.0</v>
      </c>
      <c r="E67" s="35">
        <f t="shared" si="2"/>
        <v>1</v>
      </c>
      <c r="F67" s="95">
        <v>5.0</v>
      </c>
      <c r="G67" s="96">
        <v>0.0</v>
      </c>
      <c r="H67" s="97">
        <v>13.0</v>
      </c>
      <c r="I67" s="96">
        <v>0.0</v>
      </c>
      <c r="J67" s="96">
        <v>0.0</v>
      </c>
      <c r="K67" s="96">
        <v>0.0</v>
      </c>
      <c r="L67" s="98">
        <v>13.0</v>
      </c>
      <c r="M67" s="96">
        <v>0.0</v>
      </c>
      <c r="N67" s="34">
        <f t="shared" ref="N67:O67" si="72">C67+L67</f>
        <v>127</v>
      </c>
      <c r="O67" s="34">
        <f t="shared" si="72"/>
        <v>2</v>
      </c>
      <c r="P67" s="49" t="s">
        <v>58</v>
      </c>
      <c r="Q67" s="49" t="s">
        <v>58</v>
      </c>
      <c r="R67" s="49"/>
      <c r="S67" s="50">
        <f t="shared" si="4"/>
        <v>2</v>
      </c>
      <c r="T67" s="52">
        <f t="shared" si="5"/>
        <v>1</v>
      </c>
      <c r="U67" s="52"/>
      <c r="V67" s="50">
        <f t="shared" si="6"/>
        <v>11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111.0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120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12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109.0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118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11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09/27/25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desc"",0)"),"Adrian Tay")</f>
        <v>Adrian Tay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IFERROR(__xludf.DUMMYFUNCTION("""COMPUTED_VALUE"""),1.0)</f>
        <v>1</v>
      </c>
      <c r="F81" s="1"/>
    </row>
    <row r="82">
      <c r="A82" s="1"/>
      <c r="B82" s="33" t="str">
        <f>IFERROR(__xludf.DUMMYFUNCTION("""COMPUTED_VALUE"""),"Tom Le")</f>
        <v>Tom Le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IFERROR(__xludf.DUMMYFUNCTION("""COMPUTED_VALUE"""),2.0)</f>
        <v>2</v>
      </c>
      <c r="F82" s="1"/>
    </row>
    <row r="83">
      <c r="A83" s="1"/>
      <c r="B83" s="33" t="str">
        <f>IFERROR(__xludf.DUMMYFUNCTION("""COMPUTED_VALUE"""),"Rajasekar Ramasamy")</f>
        <v>Rajasekar Ramasamy</v>
      </c>
      <c r="C83" s="117">
        <f>IFERROR(__xludf.DUMMYFUNCTION("""COMPUTED_VALUE"""),19.0)</f>
        <v>19</v>
      </c>
      <c r="D83" s="117">
        <f>IFERROR(__xludf.DUMMYFUNCTION("""COMPUTED_VALUE"""),3.0)</f>
        <v>3</v>
      </c>
      <c r="E83" s="117">
        <f>IFERROR(__xludf.DUMMYFUNCTION("""COMPUTED_VALUE"""),4.0)</f>
        <v>4</v>
      </c>
      <c r="F83" s="1"/>
    </row>
    <row r="84">
      <c r="A84" s="1"/>
      <c r="B84" s="33" t="str">
        <f>IFERROR(__xludf.DUMMYFUNCTION("""COMPUTED_VALUE"""),"Matthew Huang")</f>
        <v>Matthew Huang</v>
      </c>
      <c r="C84" s="117">
        <f>IFERROR(__xludf.DUMMYFUNCTION("""COMPUTED_VALUE"""),19.0)</f>
        <v>19</v>
      </c>
      <c r="D84" s="117">
        <f>IFERROR(__xludf.DUMMYFUNCTION("""COMPUTED_VALUE"""),3.0)</f>
        <v>3</v>
      </c>
      <c r="E84" s="117">
        <f>IFERROR(__xludf.DUMMYFUNCTION("""COMPUTED_VALUE"""),9.0)</f>
        <v>9</v>
      </c>
      <c r="F84" s="1"/>
    </row>
    <row r="85">
      <c r="A85" s="1"/>
      <c r="B85" s="33" t="str">
        <f>IFERROR(__xludf.DUMMYFUNCTION("""COMPUTED_VALUE"""),"Allen Zhang")</f>
        <v>Allen Zhang</v>
      </c>
      <c r="C85" s="117">
        <f>IFERROR(__xludf.DUMMYFUNCTION("""COMPUTED_VALUE"""),19.0)</f>
        <v>19</v>
      </c>
      <c r="D85" s="117">
        <f>IFERROR(__xludf.DUMMYFUNCTION("""COMPUTED_VALUE"""),3.0)</f>
        <v>3</v>
      </c>
      <c r="E85" s="117">
        <f>IFERROR(__xludf.DUMMYFUNCTION("""COMPUTED_VALUE"""),5.0)</f>
        <v>5</v>
      </c>
      <c r="F85" s="1"/>
    </row>
    <row r="86">
      <c r="A86" s="1"/>
      <c r="B86" s="33" t="str">
        <f>IFERROR(__xludf.DUMMYFUNCTION("""COMPUTED_VALUE"""),"Jim Miao")</f>
        <v>Jim Miao</v>
      </c>
      <c r="C86" s="117">
        <f>IFERROR(__xludf.DUMMYFUNCTION("""COMPUTED_VALUE"""),19.0)</f>
        <v>19</v>
      </c>
      <c r="D86" s="117">
        <f>IFERROR(__xludf.DUMMYFUNCTION("""COMPUTED_VALUE"""),3.0)</f>
        <v>3</v>
      </c>
      <c r="E86" s="117">
        <f>IFERROR(__xludf.DUMMYFUNCTION("""COMPUTED_VALUE"""),7.0)</f>
        <v>7</v>
      </c>
      <c r="F86" s="1"/>
    </row>
    <row r="87">
      <c r="A87" s="1"/>
      <c r="B87" s="33" t="str">
        <f>IFERROR(__xludf.DUMMYFUNCTION("""COMPUTED_VALUE"""),"Balaji Alahari")</f>
        <v>Balaji Alahari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IFERROR(__xludf.DUMMYFUNCTION("""COMPUTED_VALUE"""),8.0)</f>
        <v>8</v>
      </c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10"")"),"Allen Zhang")</f>
        <v>Allen Zhang</v>
      </c>
      <c r="C100" s="117">
        <f>IFERROR(__xludf.DUMMYFUNCTION("""COMPUTED_VALUE"""),9.0)</f>
        <v>9</v>
      </c>
      <c r="D100" s="117">
        <f t="shared" ref="D100:D109" si="75">VLOOKUP(B100,indirect($AC$2&amp;"!B$5:X$69"),23, false)</f>
        <v>30</v>
      </c>
      <c r="E100" s="117">
        <f t="shared" ref="E100:E109" si="76">VLOOKUP(B100,B$5:X$69,23, false)</f>
        <v>21</v>
      </c>
      <c r="F100" s="117">
        <f t="shared" ref="F100:F109" si="77">VLOOKUP(B100,indirect($AC$2&amp;"!B$5:U$70"),11, false)</f>
        <v>19</v>
      </c>
      <c r="G100" s="117">
        <f t="shared" ref="G100:G109" si="78">VLOOKUP(B100,indirect($AC$2&amp;"!B$5:U$70"),6, false)</f>
        <v>5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IFERROR(__xludf.DUMMYFUNCTION("""COMPUTED_VALUE"""),"Cid Macaraeg")</f>
        <v>Cid Macaraeg</v>
      </c>
      <c r="C101" s="117">
        <f>IFERROR(__xludf.DUMMYFUNCTION("""COMPUTED_VALUE"""),7.0)</f>
        <v>7</v>
      </c>
      <c r="D101" s="117">
        <f t="shared" si="75"/>
        <v>34</v>
      </c>
      <c r="E101" s="117">
        <f t="shared" si="76"/>
        <v>27</v>
      </c>
      <c r="F101" s="117">
        <f t="shared" si="77"/>
        <v>15</v>
      </c>
      <c r="G101" s="117">
        <f t="shared" si="78"/>
        <v>6</v>
      </c>
      <c r="L101" s="117" t="str">
        <f t="shared" si="79"/>
        <v>ok</v>
      </c>
    </row>
    <row r="102">
      <c r="A102" s="1"/>
      <c r="B102" s="33" t="str">
        <f>IFERROR(__xludf.DUMMYFUNCTION("""COMPUTED_VALUE"""),"Balaji Alahari")</f>
        <v>Balaji Alahari</v>
      </c>
      <c r="C102" s="117">
        <f>IFERROR(__xludf.DUMMYFUNCTION("""COMPUTED_VALUE"""),7.0)</f>
        <v>7</v>
      </c>
      <c r="D102" s="117">
        <f t="shared" si="75"/>
        <v>46</v>
      </c>
      <c r="E102" s="117">
        <f t="shared" si="76"/>
        <v>39</v>
      </c>
      <c r="F102" s="117">
        <f t="shared" si="77"/>
        <v>18</v>
      </c>
      <c r="G102" s="117">
        <f t="shared" si="78"/>
        <v>8</v>
      </c>
      <c r="L102" s="117" t="str">
        <f t="shared" si="79"/>
        <v>ok</v>
      </c>
    </row>
    <row r="103">
      <c r="A103" s="1"/>
      <c r="B103" s="33" t="str">
        <f>IFERROR(__xludf.DUMMYFUNCTION("""COMPUTED_VALUE"""),"Rajasekar Ramasamy")</f>
        <v>Rajasekar Ramasamy</v>
      </c>
      <c r="C103" s="117">
        <f>IFERROR(__xludf.DUMMYFUNCTION("""COMPUTED_VALUE"""),6.0)</f>
        <v>6</v>
      </c>
      <c r="D103" s="117">
        <f t="shared" si="75"/>
        <v>18</v>
      </c>
      <c r="E103" s="117">
        <f t="shared" si="76"/>
        <v>12</v>
      </c>
      <c r="F103" s="117">
        <f t="shared" si="77"/>
        <v>19</v>
      </c>
      <c r="G103" s="117">
        <f t="shared" si="78"/>
        <v>4</v>
      </c>
      <c r="L103" s="117" t="str">
        <f t="shared" si="79"/>
        <v>ok</v>
      </c>
    </row>
    <row r="104">
      <c r="A104" s="1"/>
      <c r="B104" s="33" t="str">
        <f>IFERROR(__xludf.DUMMYFUNCTION("""COMPUTED_VALUE"""),"Jim Miao")</f>
        <v>Jim Miao</v>
      </c>
      <c r="C104" s="117">
        <f>IFERROR(__xludf.DUMMYFUNCTION("""COMPUTED_VALUE"""),6.0)</f>
        <v>6</v>
      </c>
      <c r="D104" s="117">
        <f t="shared" si="75"/>
        <v>40</v>
      </c>
      <c r="E104" s="117">
        <f t="shared" si="76"/>
        <v>34</v>
      </c>
      <c r="F104" s="117">
        <f t="shared" si="77"/>
        <v>19</v>
      </c>
      <c r="G104" s="117">
        <f t="shared" si="78"/>
        <v>7</v>
      </c>
      <c r="L104" s="117" t="str">
        <f t="shared" si="79"/>
        <v>ok</v>
      </c>
    </row>
    <row r="105">
      <c r="A105" s="1"/>
      <c r="B105" s="33" t="str">
        <f>IFERROR(__xludf.DUMMYFUNCTION("""COMPUTED_VALUE"""),"Sandy Weyant")</f>
        <v>Sandy Weyant</v>
      </c>
      <c r="C105" s="117">
        <f>IFERROR(__xludf.DUMMYFUNCTION("""COMPUTED_VALUE"""),6.0)</f>
        <v>6</v>
      </c>
      <c r="D105" s="117">
        <f t="shared" si="75"/>
        <v>52</v>
      </c>
      <c r="E105" s="117">
        <f t="shared" si="76"/>
        <v>46</v>
      </c>
      <c r="F105" s="117">
        <f t="shared" si="77"/>
        <v>16</v>
      </c>
      <c r="G105" s="117">
        <f t="shared" si="78"/>
        <v>8</v>
      </c>
      <c r="L105" s="117" t="str">
        <f t="shared" si="79"/>
        <v>ok</v>
      </c>
    </row>
    <row r="106">
      <c r="A106" s="1"/>
      <c r="B106" s="33" t="str">
        <f>IFERROR(__xludf.DUMMYFUNCTION("""COMPUTED_VALUE"""),"Matthew Huang")</f>
        <v>Matthew Huang</v>
      </c>
      <c r="C106" s="117">
        <f>IFERROR(__xludf.DUMMYFUNCTION("""COMPUTED_VALUE"""),5.0)</f>
        <v>5</v>
      </c>
      <c r="D106" s="117">
        <f t="shared" si="75"/>
        <v>21</v>
      </c>
      <c r="E106" s="117">
        <f t="shared" si="76"/>
        <v>16</v>
      </c>
      <c r="F106" s="117">
        <f t="shared" si="77"/>
        <v>19</v>
      </c>
      <c r="G106" s="117">
        <f t="shared" si="78"/>
        <v>9</v>
      </c>
      <c r="L106" s="117" t="str">
        <f t="shared" si="79"/>
        <v>ok</v>
      </c>
    </row>
    <row r="107">
      <c r="A107" s="1"/>
      <c r="B107" s="33" t="str">
        <f>IFERROR(__xludf.DUMMYFUNCTION("""COMPUTED_VALUE"""),"Coco Yan")</f>
        <v>Coco Yan</v>
      </c>
      <c r="C107" s="117">
        <f>IFERROR(__xludf.DUMMYFUNCTION("""COMPUTED_VALUE"""),4.0)</f>
        <v>4</v>
      </c>
      <c r="D107" s="117">
        <f t="shared" si="75"/>
        <v>32</v>
      </c>
      <c r="E107" s="117">
        <f t="shared" si="76"/>
        <v>28</v>
      </c>
      <c r="F107" s="117">
        <f t="shared" si="77"/>
        <v>13</v>
      </c>
      <c r="G107" s="117">
        <f t="shared" si="78"/>
        <v>5</v>
      </c>
      <c r="L107" s="117" t="str">
        <f t="shared" si="79"/>
        <v>ok</v>
      </c>
    </row>
    <row r="108">
      <c r="A108" s="1"/>
      <c r="B108" s="33" t="str">
        <f>IFERROR(__xludf.DUMMYFUNCTION("""COMPUTED_VALUE"""),"Ramesh Bandaru")</f>
        <v>Ramesh Bandaru</v>
      </c>
      <c r="C108" s="117">
        <f>IFERROR(__xludf.DUMMYFUNCTION("""COMPUTED_VALUE"""),4.0)</f>
        <v>4</v>
      </c>
      <c r="D108" s="117">
        <f t="shared" si="75"/>
        <v>35</v>
      </c>
      <c r="E108" s="117">
        <f t="shared" si="76"/>
        <v>31</v>
      </c>
      <c r="F108" s="117">
        <f t="shared" si="77"/>
        <v>14</v>
      </c>
      <c r="G108" s="117">
        <f t="shared" si="78"/>
        <v>6</v>
      </c>
      <c r="L108" s="117" t="str">
        <f t="shared" si="79"/>
        <v>ok</v>
      </c>
    </row>
    <row r="109">
      <c r="A109" s="1"/>
      <c r="B109" s="33" t="str">
        <f>IFERROR(__xludf.DUMMYFUNCTION("""COMPUTED_VALUE"""),"Tom Le")</f>
        <v>Tom Le</v>
      </c>
      <c r="C109" s="117">
        <f>IFERROR(__xludf.DUMMYFUNCTION("""COMPUTED_VALUE"""),3.0)</f>
        <v>3</v>
      </c>
      <c r="D109" s="117">
        <f t="shared" si="75"/>
        <v>7</v>
      </c>
      <c r="E109" s="117">
        <f t="shared" si="76"/>
        <v>4</v>
      </c>
      <c r="F109" s="117">
        <f t="shared" si="77"/>
        <v>19</v>
      </c>
      <c r="G109" s="117">
        <f t="shared" si="78"/>
        <v>2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14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Adrian Tay</v>
      </c>
      <c r="C118" s="117">
        <f t="shared" si="80"/>
        <v>187</v>
      </c>
      <c r="D118" s="117">
        <f t="shared" si="80"/>
        <v>22</v>
      </c>
      <c r="E118" s="117">
        <f t="shared" si="80"/>
        <v>15.77777778</v>
      </c>
      <c r="F118" s="1"/>
    </row>
    <row r="119">
      <c r="A119" s="117">
        <f t="shared" ref="A119:E119" si="81">A6</f>
        <v>2</v>
      </c>
      <c r="B119" s="33" t="str">
        <f t="shared" si="81"/>
        <v>Lam Bui</v>
      </c>
      <c r="C119" s="117">
        <f t="shared" si="81"/>
        <v>183</v>
      </c>
      <c r="D119" s="117">
        <f t="shared" si="81"/>
        <v>17</v>
      </c>
      <c r="E119" s="117">
        <f t="shared" si="81"/>
        <v>14.18181818</v>
      </c>
      <c r="F119" s="1"/>
    </row>
    <row r="120">
      <c r="A120" s="117">
        <f t="shared" ref="A120:E120" si="82">A7</f>
        <v>3</v>
      </c>
      <c r="B120" s="33" t="str">
        <f t="shared" si="82"/>
        <v>Pulkit Mathur</v>
      </c>
      <c r="C120" s="117">
        <f t="shared" si="82"/>
        <v>182</v>
      </c>
      <c r="D120" s="117">
        <f t="shared" si="82"/>
        <v>20</v>
      </c>
      <c r="E120" s="117">
        <f t="shared" si="82"/>
        <v>14.09090909</v>
      </c>
      <c r="F120" s="1"/>
    </row>
    <row r="121">
      <c r="A121" s="117">
        <f t="shared" ref="A121:E121" si="83">A8</f>
        <v>4</v>
      </c>
      <c r="B121" s="33" t="str">
        <f t="shared" si="83"/>
        <v>Tom Le</v>
      </c>
      <c r="C121" s="117">
        <f t="shared" si="83"/>
        <v>182</v>
      </c>
      <c r="D121" s="117">
        <f t="shared" si="83"/>
        <v>19</v>
      </c>
      <c r="E121" s="117">
        <f t="shared" si="83"/>
        <v>14.2</v>
      </c>
      <c r="F121" s="1"/>
    </row>
    <row r="122">
      <c r="A122" s="117">
        <f t="shared" ref="A122:E122" si="84">A9</f>
        <v>5</v>
      </c>
      <c r="B122" s="33" t="str">
        <f t="shared" si="84"/>
        <v>Sandeep Kamalon</v>
      </c>
      <c r="C122" s="117">
        <f t="shared" si="84"/>
        <v>180</v>
      </c>
      <c r="D122" s="117">
        <f t="shared" si="84"/>
        <v>21</v>
      </c>
      <c r="E122" s="117">
        <f t="shared" si="84"/>
        <v>13.16666667</v>
      </c>
      <c r="F122" s="1"/>
    </row>
    <row r="123">
      <c r="A123" s="117">
        <f t="shared" ref="A123:E123" si="85">A10</f>
        <v>6</v>
      </c>
      <c r="B123" s="33" t="str">
        <f t="shared" si="85"/>
        <v>David Shin</v>
      </c>
      <c r="C123" s="117">
        <f t="shared" si="85"/>
        <v>177</v>
      </c>
      <c r="D123" s="117">
        <f t="shared" si="85"/>
        <v>16</v>
      </c>
      <c r="E123" s="117">
        <f t="shared" si="85"/>
        <v>12.92307692</v>
      </c>
      <c r="F123" s="1"/>
    </row>
    <row r="124">
      <c r="A124" s="117">
        <f t="shared" ref="A124:E124" si="86">A11</f>
        <v>7</v>
      </c>
      <c r="B124" s="33" t="str">
        <f t="shared" si="86"/>
        <v>Ethan Gu</v>
      </c>
      <c r="C124" s="117">
        <f t="shared" si="86"/>
        <v>176</v>
      </c>
      <c r="D124" s="117">
        <f t="shared" si="86"/>
        <v>22</v>
      </c>
      <c r="E124" s="117">
        <f t="shared" si="86"/>
        <v>12.84615385</v>
      </c>
      <c r="F124" s="1"/>
    </row>
    <row r="125">
      <c r="A125" s="117">
        <f t="shared" ref="A125:E125" si="87">A12</f>
        <v>8</v>
      </c>
      <c r="B125" s="33" t="str">
        <f t="shared" si="87"/>
        <v>Pavan Akkimsetty</v>
      </c>
      <c r="C125" s="117">
        <f t="shared" si="87"/>
        <v>176</v>
      </c>
      <c r="D125" s="117">
        <f t="shared" si="87"/>
        <v>16</v>
      </c>
      <c r="E125" s="117">
        <f t="shared" si="87"/>
        <v>14</v>
      </c>
      <c r="F125" s="1"/>
    </row>
    <row r="126">
      <c r="A126" s="117">
        <f t="shared" ref="A126:E126" si="88">A13</f>
        <v>9</v>
      </c>
      <c r="B126" s="33" t="str">
        <f t="shared" si="88"/>
        <v>Darren Wong</v>
      </c>
      <c r="C126" s="117">
        <f t="shared" si="88"/>
        <v>175</v>
      </c>
      <c r="D126" s="117">
        <f t="shared" si="88"/>
        <v>19</v>
      </c>
      <c r="E126" s="117">
        <f t="shared" si="88"/>
        <v>15.125</v>
      </c>
      <c r="F126" s="1"/>
    </row>
    <row r="127">
      <c r="A127" s="117">
        <f t="shared" ref="A127:E127" si="89">A14</f>
        <v>10</v>
      </c>
      <c r="B127" s="33" t="str">
        <f t="shared" si="89"/>
        <v>Erik Hoeckmann</v>
      </c>
      <c r="C127" s="117">
        <f t="shared" si="89"/>
        <v>174</v>
      </c>
      <c r="D127" s="117">
        <f t="shared" si="89"/>
        <v>17</v>
      </c>
      <c r="E127" s="117">
        <f t="shared" si="89"/>
        <v>13.36363636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IFERROR(__xludf.DUMMYFUNCTION("""COMPUTED_VALUE"""),"Chinna Ponnaganti")</f>
        <v>Chinna Ponnaganti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IFERROR(__xludf.DUMMYFUNCTION("""COMPUTED_VALUE"""),"Frank Moon")</f>
        <v>Frank Moon</v>
      </c>
      <c r="C155" s="1"/>
      <c r="D155" s="1"/>
      <c r="E155" s="1"/>
      <c r="F155" s="1"/>
    </row>
    <row r="156">
      <c r="A156" s="117">
        <f t="shared" si="90"/>
        <v>4</v>
      </c>
      <c r="B156" s="33" t="str">
        <f>IFERROR(__xludf.DUMMYFUNCTION("""COMPUTED_VALUE"""),"Nicole Ni")</f>
        <v>Nicole Ni</v>
      </c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09/27/25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IFERROR(__xludf.DUMMYFUNCTION("""COMPUTED_VALUE"""),"Sandeep Kamalon")</f>
        <v>Sandeep Kamalon</v>
      </c>
      <c r="C184" s="122">
        <f>IFERROR(__xludf.DUMMYFUNCTION("""COMPUTED_VALUE"""),1.0)</f>
        <v>1</v>
      </c>
      <c r="D184" s="122">
        <f>IFERROR(__xludf.DUMMYFUNCTION("""COMPUTED_VALUE"""),4.0)</f>
        <v>4</v>
      </c>
      <c r="E184" s="122">
        <f>IFERROR(__xludf.DUMMYFUNCTION("""COMPUTED_VALUE"""),7.0)</f>
        <v>7</v>
      </c>
      <c r="F184" s="122">
        <f>IFERROR(__xludf.DUMMYFUNCTION("""COMPUTED_VALUE"""),12.0)</f>
        <v>12</v>
      </c>
      <c r="G184" s="122">
        <f>IFERROR(__xludf.DUMMYFUNCTION("""COMPUTED_VALUE"""),1.0)</f>
        <v>1</v>
      </c>
    </row>
    <row r="185">
      <c r="A185" s="117">
        <f>IFERROR(__xludf.DUMMYFUNCTION("""COMPUTED_VALUE"""),1.0)</f>
        <v>1</v>
      </c>
      <c r="B185" s="33" t="str">
        <f>IFERROR(__xludf.DUMMYFUNCTION("""COMPUTED_VALUE"""),"Adrian Tay")</f>
        <v>Adrian Tay</v>
      </c>
      <c r="C185" s="122">
        <f>IFERROR(__xludf.DUMMYFUNCTION("""COMPUTED_VALUE"""),6.0)</f>
        <v>6</v>
      </c>
      <c r="D185" s="122">
        <f>IFERROR(__xludf.DUMMYFUNCTION("""COMPUTED_VALUE"""),6.0)</f>
        <v>6</v>
      </c>
      <c r="E185" s="122">
        <f>IFERROR(__xludf.DUMMYFUNCTION("""COMPUTED_VALUE"""),7.0)</f>
        <v>7</v>
      </c>
      <c r="F185" s="122">
        <f>IFERROR(__xludf.DUMMYFUNCTION("""COMPUTED_VALUE"""),19.0)</f>
        <v>19</v>
      </c>
      <c r="G185" s="122">
        <f>IFERROR(__xludf.DUMMYFUNCTION("""COMPUTED_VALUE"""),3.0)</f>
        <v>3</v>
      </c>
    </row>
    <row r="186">
      <c r="A186" s="117">
        <f>IFERROR(__xludf.DUMMYFUNCTION("""COMPUTED_VALUE"""),1.0)</f>
        <v>1</v>
      </c>
      <c r="B186" s="33" t="str">
        <f>IFERROR(__xludf.DUMMYFUNCTION("""COMPUTED_VALUE"""),"Lam Bui")</f>
        <v>Lam Bui</v>
      </c>
      <c r="C186" s="122">
        <f>IFERROR(__xludf.DUMMYFUNCTION("""COMPUTED_VALUE"""),6.0)</f>
        <v>6</v>
      </c>
      <c r="D186" s="122">
        <f>IFERROR(__xludf.DUMMYFUNCTION("""COMPUTED_VALUE"""),4.0)</f>
        <v>4</v>
      </c>
      <c r="E186" s="122">
        <f>IFERROR(__xludf.DUMMYFUNCTION("""COMPUTED_VALUE"""),6.0)</f>
        <v>6</v>
      </c>
      <c r="F186" s="122">
        <f>IFERROR(__xludf.DUMMYFUNCTION("""COMPUTED_VALUE"""),16.0)</f>
        <v>16</v>
      </c>
      <c r="G186" s="122">
        <f>IFERROR(__xludf.DUMMYFUNCTION("""COMPUTED_VALUE"""),1.0)</f>
        <v>1</v>
      </c>
    </row>
    <row r="187">
      <c r="A187" s="117">
        <f>IFERROR(__xludf.DUMMYFUNCTION("""COMPUTED_VALUE"""),1.0)</f>
        <v>1</v>
      </c>
      <c r="B187" s="33" t="str">
        <f>IFERROR(__xludf.DUMMYFUNCTION("""COMPUTED_VALUE"""),"David Shin")</f>
        <v>David Shin</v>
      </c>
      <c r="C187" s="122">
        <f>IFERROR(__xludf.DUMMYFUNCTION("""COMPUTED_VALUE"""),1.0)</f>
        <v>1</v>
      </c>
      <c r="D187" s="122">
        <f>IFERROR(__xludf.DUMMYFUNCTION("""COMPUTED_VALUE"""),6.0)</f>
        <v>6</v>
      </c>
      <c r="E187" s="122">
        <f>IFERROR(__xludf.DUMMYFUNCTION("""COMPUTED_VALUE"""),6.0)</f>
        <v>6</v>
      </c>
      <c r="F187" s="122">
        <f>IFERROR(__xludf.DUMMYFUNCTION("""COMPUTED_VALUE"""),13.0)</f>
        <v>13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IFERROR(__xludf.DUMMYFUNCTION("""COMPUTED_VALUE"""),"Joe Luzzi")</f>
        <v>Joe Luzzi</v>
      </c>
      <c r="C188" s="125">
        <f>IFERROR(__xludf.DUMMYFUNCTION("""COMPUTED_VALUE"""),2.0)</f>
        <v>2</v>
      </c>
      <c r="D188" s="125">
        <f>IFERROR(__xludf.DUMMYFUNCTION("""COMPUTED_VALUE"""),7.0)</f>
        <v>7</v>
      </c>
      <c r="E188" s="125">
        <f>IFERROR(__xludf.DUMMYFUNCTION("""COMPUTED_VALUE"""),1.0)</f>
        <v>1</v>
      </c>
      <c r="F188" s="125">
        <f>IFERROR(__xludf.DUMMYFUNCTION("""COMPUTED_VALUE"""),10.0)</f>
        <v>10</v>
      </c>
      <c r="G188" s="125">
        <f>IFERROR(__xludf.DUMMYFUNCTION("""COMPUTED_VALUE"""),1.0)</f>
        <v>1</v>
      </c>
    </row>
    <row r="189">
      <c r="A189" s="123">
        <f>IFERROR(__xludf.DUMMYFUNCTION("""COMPUTED_VALUE"""),2.0)</f>
        <v>2</v>
      </c>
      <c r="B189" s="124" t="str">
        <f>IFERROR(__xludf.DUMMYFUNCTION("""COMPUTED_VALUE"""),"Tom Le")</f>
        <v>Tom Le</v>
      </c>
      <c r="C189" s="125">
        <f>IFERROR(__xludf.DUMMYFUNCTION("""COMPUTED_VALUE"""),6.0)</f>
        <v>6</v>
      </c>
      <c r="D189" s="125">
        <f>IFERROR(__xludf.DUMMYFUNCTION("""COMPUTED_VALUE"""),7.0)</f>
        <v>7</v>
      </c>
      <c r="E189" s="125">
        <f>IFERROR(__xludf.DUMMYFUNCTION("""COMPUTED_VALUE"""),6.0)</f>
        <v>6</v>
      </c>
      <c r="F189" s="125">
        <f>IFERROR(__xludf.DUMMYFUNCTION("""COMPUTED_VALUE"""),19.0)</f>
        <v>19</v>
      </c>
      <c r="G189" s="125">
        <f>IFERROR(__xludf.DUMMYFUNCTION("""COMPUTED_VALUE"""),3.0)</f>
        <v>3</v>
      </c>
    </row>
    <row r="190">
      <c r="A190" s="123">
        <f>IFERROR(__xludf.DUMMYFUNCTION("""COMPUTED_VALUE"""),2.0)</f>
        <v>2</v>
      </c>
      <c r="B190" s="124" t="str">
        <f>IFERROR(__xludf.DUMMYFUNCTION("""COMPUTED_VALUE"""),"Pavan Akkimsetty")</f>
        <v>Pavan Akkimsetty</v>
      </c>
      <c r="C190" s="125">
        <f>IFERROR(__xludf.DUMMYFUNCTION("""COMPUTED_VALUE"""),6.0)</f>
        <v>6</v>
      </c>
      <c r="D190" s="125">
        <f>IFERROR(__xludf.DUMMYFUNCTION("""COMPUTED_VALUE"""),6.0)</f>
        <v>6</v>
      </c>
      <c r="E190" s="125">
        <f>IFERROR(__xludf.DUMMYFUNCTION("""COMPUTED_VALUE"""),1.0)</f>
        <v>1</v>
      </c>
      <c r="F190" s="125">
        <f>IFERROR(__xludf.DUMMYFUNCTION("""COMPUTED_VALUE"""),13.0)</f>
        <v>13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IFERROR(__xludf.DUMMYFUNCTION("""COMPUTED_VALUE"""),"Ethan Gu")</f>
        <v>Ethan Gu</v>
      </c>
      <c r="C191" s="125">
        <f>IFERROR(__xludf.DUMMYFUNCTION("""COMPUTED_VALUE"""),2.0)</f>
        <v>2</v>
      </c>
      <c r="D191" s="125">
        <f>IFERROR(__xludf.DUMMYFUNCTION("""COMPUTED_VALUE"""),6.0)</f>
        <v>6</v>
      </c>
      <c r="E191" s="125">
        <f>IFERROR(__xludf.DUMMYFUNCTION("""COMPUTED_VALUE"""),6.0)</f>
        <v>6</v>
      </c>
      <c r="F191" s="125">
        <f>IFERROR(__xludf.DUMMYFUNCTION("""COMPUTED_VALUE"""),14.0)</f>
        <v>14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IFERROR(__xludf.DUMMYFUNCTION("""COMPUTED_VALUE"""),"Sean Chang")</f>
        <v>Sean Chang</v>
      </c>
      <c r="C192" s="122">
        <f>IFERROR(__xludf.DUMMYFUNCTION("""COMPUTED_VALUE"""),1.0)</f>
        <v>1</v>
      </c>
      <c r="D192" s="122">
        <f>IFERROR(__xludf.DUMMYFUNCTION("""COMPUTED_VALUE"""),0.0)</f>
        <v>0</v>
      </c>
      <c r="E192" s="122">
        <f>IFERROR(__xludf.DUMMYFUNCTION("""COMPUTED_VALUE"""),3.0)</f>
        <v>3</v>
      </c>
      <c r="F192" s="122">
        <f>IFERROR(__xludf.DUMMYFUNCTION("""COMPUTED_VALUE"""),4.0)</f>
        <v>4</v>
      </c>
      <c r="G192" s="122">
        <f>IFERROR(__xludf.DUMMYFUNCTION("""COMPUTED_VALUE"""),0.0)</f>
        <v>0</v>
      </c>
    </row>
    <row r="193">
      <c r="A193" s="117">
        <f>IFERROR(__xludf.DUMMYFUNCTION("""COMPUTED_VALUE"""),3.0)</f>
        <v>3</v>
      </c>
      <c r="B193" s="33" t="str">
        <f>IFERROR(__xludf.DUMMYFUNCTION("""COMPUTED_VALUE"""),"Erik Hoeckmann")</f>
        <v>Erik Hoeckmann</v>
      </c>
      <c r="C193" s="122">
        <f>IFERROR(__xludf.DUMMYFUNCTION("""COMPUTED_VALUE"""),1.0)</f>
        <v>1</v>
      </c>
      <c r="D193" s="122">
        <f>IFERROR(__xludf.DUMMYFUNCTION("""COMPUTED_VALUE"""),6.0)</f>
        <v>6</v>
      </c>
      <c r="E193" s="122">
        <f>IFERROR(__xludf.DUMMYFUNCTION("""COMPUTED_VALUE"""),6.0)</f>
        <v>6</v>
      </c>
      <c r="F193" s="122">
        <f>IFERROR(__xludf.DUMMYFUNCTION("""COMPUTED_VALUE"""),13.0)</f>
        <v>13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IFERROR(__xludf.DUMMYFUNCTION("""COMPUTED_VALUE"""),"Darren Wong")</f>
        <v>Darren Wong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IFERROR(__xludf.DUMMYFUNCTION("""COMPUTED_VALUE"""),3.0)</f>
        <v>3</v>
      </c>
      <c r="F194" s="122">
        <f>IFERROR(__xludf.DUMMYFUNCTION("""COMPUTED_VALUE"""),15.0)</f>
        <v>15</v>
      </c>
      <c r="G194" s="122">
        <f>IFERROR(__xludf.DUMMYFUNCTION("""COMPUTED_VALUE"""),2.0)</f>
        <v>2</v>
      </c>
    </row>
    <row r="195">
      <c r="A195" s="117">
        <f>IFERROR(__xludf.DUMMYFUNCTION("""COMPUTED_VALUE"""),3.0)</f>
        <v>3</v>
      </c>
      <c r="B195" s="33" t="str">
        <f>IFERROR(__xludf.DUMMYFUNCTION("""COMPUTED_VALUE"""),"Scott Li")</f>
        <v>Scott Li</v>
      </c>
      <c r="C195" s="122">
        <f>IFERROR(__xludf.DUMMYFUNCTION("""COMPUTED_VALUE"""),6.0)</f>
        <v>6</v>
      </c>
      <c r="D195" s="122">
        <f>IFERROR(__xludf.DUMMYFUNCTION("""COMPUTED_VALUE"""),0.0)</f>
        <v>0</v>
      </c>
      <c r="E195" s="122">
        <f>IFERROR(__xludf.DUMMYFUNCTION("""COMPUTED_VALUE"""),6.0)</f>
        <v>6</v>
      </c>
      <c r="F195" s="122">
        <f>IFERROR(__xludf.DUMMYFUNCTION("""COMPUTED_VALUE"""),12.0)</f>
        <v>12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IFERROR(__xludf.DUMMYFUNCTION("""COMPUTED_VALUE"""),"Jonathan Phan")</f>
        <v>Jonathan Phan</v>
      </c>
      <c r="C196" s="125">
        <f>IFERROR(__xludf.DUMMYFUNCTION("""COMPUTED_VALUE"""),6.0)</f>
        <v>6</v>
      </c>
      <c r="D196" s="125">
        <f>IFERROR(__xludf.DUMMYFUNCTION("""COMPUTED_VALUE"""),5.0)</f>
        <v>5</v>
      </c>
      <c r="E196" s="125">
        <f>IFERROR(__xludf.DUMMYFUNCTION("""COMPUTED_VALUE"""),2.0)</f>
        <v>2</v>
      </c>
      <c r="F196" s="125">
        <f>IFERROR(__xludf.DUMMYFUNCTION("""COMPUTED_VALUE"""),13.0)</f>
        <v>13</v>
      </c>
      <c r="G196" s="125">
        <f>IFERROR(__xludf.DUMMYFUNCTION("""COMPUTED_VALUE"""),1.0)</f>
        <v>1</v>
      </c>
    </row>
    <row r="197">
      <c r="A197" s="123">
        <f>IFERROR(__xludf.DUMMYFUNCTION("""COMPUTED_VALUE"""),4.0)</f>
        <v>4</v>
      </c>
      <c r="B197" s="124" t="str">
        <f>IFERROR(__xludf.DUMMYFUNCTION("""COMPUTED_VALUE"""),"Frank Moon")</f>
        <v>Frank Moon</v>
      </c>
      <c r="C197" s="125">
        <f>IFERROR(__xludf.DUMMYFUNCTION("""COMPUTED_VALUE"""),3.0)</f>
        <v>3</v>
      </c>
      <c r="D197" s="125">
        <f>IFERROR(__xludf.DUMMYFUNCTION("""COMPUTED_VALUE"""),7.0)</f>
        <v>7</v>
      </c>
      <c r="E197" s="125">
        <f>IFERROR(__xludf.DUMMYFUNCTION("""COMPUTED_VALUE"""),2.0)</f>
        <v>2</v>
      </c>
      <c r="F197" s="125">
        <f>IFERROR(__xludf.DUMMYFUNCTION("""COMPUTED_VALUE"""),12.0)</f>
        <v>12</v>
      </c>
      <c r="G197" s="125">
        <f>IFERROR(__xludf.DUMMYFUNCTION("""COMPUTED_VALUE"""),1.0)</f>
        <v>1</v>
      </c>
    </row>
    <row r="198">
      <c r="A198" s="123">
        <f>IFERROR(__xludf.DUMMYFUNCTION("""COMPUTED_VALUE"""),4.0)</f>
        <v>4</v>
      </c>
      <c r="B198" s="124" t="str">
        <f>IFERROR(__xludf.DUMMYFUNCTION("""COMPUTED_VALUE"""),"Ted Shen")</f>
        <v>Ted Shen</v>
      </c>
      <c r="C198" s="125">
        <f>IFERROR(__xludf.DUMMYFUNCTION("""COMPUTED_VALUE"""),3.0)</f>
        <v>3</v>
      </c>
      <c r="D198" s="125">
        <f>IFERROR(__xludf.DUMMYFUNCTION("""COMPUTED_VALUE"""),5.0)</f>
        <v>5</v>
      </c>
      <c r="E198" s="125">
        <f>IFERROR(__xludf.DUMMYFUNCTION("""COMPUTED_VALUE"""),6.0)</f>
        <v>6</v>
      </c>
      <c r="F198" s="125">
        <f>IFERROR(__xludf.DUMMYFUNCTION("""COMPUTED_VALUE"""),14.0)</f>
        <v>14</v>
      </c>
      <c r="G198" s="125">
        <f>IFERROR(__xludf.DUMMYFUNCTION("""COMPUTED_VALUE"""),1.0)</f>
        <v>1</v>
      </c>
    </row>
    <row r="199">
      <c r="A199" s="123">
        <f>IFERROR(__xludf.DUMMYFUNCTION("""COMPUTED_VALUE"""),4.0)</f>
        <v>4</v>
      </c>
      <c r="B199" s="124" t="str">
        <f>IFERROR(__xludf.DUMMYFUNCTION("""COMPUTED_VALUE"""),"Rajasekar Ramasamy")</f>
        <v>Rajasekar Ramasamy</v>
      </c>
      <c r="C199" s="125">
        <f>IFERROR(__xludf.DUMMYFUNCTION("""COMPUTED_VALUE"""),6.0)</f>
        <v>6</v>
      </c>
      <c r="D199" s="125">
        <f>IFERROR(__xludf.DUMMYFUNCTION("""COMPUTED_VALUE"""),7.0)</f>
        <v>7</v>
      </c>
      <c r="E199" s="125">
        <f>IFERROR(__xludf.DUMMYFUNCTION("""COMPUTED_VALUE"""),6.0)</f>
        <v>6</v>
      </c>
      <c r="F199" s="125">
        <f>IFERROR(__xludf.DUMMYFUNCTION("""COMPUTED_VALUE"""),19.0)</f>
        <v>19</v>
      </c>
      <c r="G199" s="125">
        <f>IFERROR(__xludf.DUMMYFUNCTION("""COMPUTED_VALUE"""),3.0)</f>
        <v>3</v>
      </c>
    </row>
    <row r="200">
      <c r="A200" s="117">
        <f>IFERROR(__xludf.DUMMYFUNCTION("""COMPUTED_VALUE"""),5.0)</f>
        <v>5</v>
      </c>
      <c r="B200" s="33" t="str">
        <f>IFERROR(__xludf.DUMMYFUNCTION("""COMPUTED_VALUE"""),"Tina Hanson")</f>
        <v>Tina Hanson</v>
      </c>
      <c r="C200" s="122">
        <f>IFERROR(__xludf.DUMMYFUNCTION("""COMPUTED_VALUE"""),6.0)</f>
        <v>6</v>
      </c>
      <c r="D200" s="122">
        <f>IFERROR(__xludf.DUMMYFUNCTION("""COMPUTED_VALUE"""),1.0)</f>
        <v>1</v>
      </c>
      <c r="E200" s="122">
        <f>IFERROR(__xludf.DUMMYFUNCTION("""COMPUTED_VALUE"""),6.0)</f>
        <v>6</v>
      </c>
      <c r="F200" s="122">
        <f>IFERROR(__xludf.DUMMYFUNCTION("""COMPUTED_VALUE"""),13.0)</f>
        <v>13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IFERROR(__xludf.DUMMYFUNCTION("""COMPUTED_VALUE"""),"Allen Zhang")</f>
        <v>Allen Zhang</v>
      </c>
      <c r="C201" s="122">
        <f>IFERROR(__xludf.DUMMYFUNCTION("""COMPUTED_VALUE"""),7.0)</f>
        <v>7</v>
      </c>
      <c r="D201" s="122">
        <f>IFERROR(__xludf.DUMMYFUNCTION("""COMPUTED_VALUE"""),6.0)</f>
        <v>6</v>
      </c>
      <c r="E201" s="122">
        <f>IFERROR(__xludf.DUMMYFUNCTION("""COMPUTED_VALUE"""),6.0)</f>
        <v>6</v>
      </c>
      <c r="F201" s="122">
        <f>IFERROR(__xludf.DUMMYFUNCTION("""COMPUTED_VALUE"""),19.0)</f>
        <v>19</v>
      </c>
      <c r="G201" s="122">
        <f>IFERROR(__xludf.DUMMYFUNCTION("""COMPUTED_VALUE"""),3.0)</f>
        <v>3</v>
      </c>
    </row>
    <row r="202">
      <c r="A202" s="117">
        <f>IFERROR(__xludf.DUMMYFUNCTION("""COMPUTED_VALUE"""),5.0)</f>
        <v>5</v>
      </c>
      <c r="B202" s="33" t="str">
        <f>IFERROR(__xludf.DUMMYFUNCTION("""COMPUTED_VALUE"""),"Coco Yan")</f>
        <v>Coco Yan</v>
      </c>
      <c r="C202" s="122">
        <f>IFERROR(__xludf.DUMMYFUNCTION("""COMPUTED_VALUE"""),6.0)</f>
        <v>6</v>
      </c>
      <c r="D202" s="122">
        <f>IFERROR(__xludf.DUMMYFUNCTION("""COMPUTED_VALUE"""),6.0)</f>
        <v>6</v>
      </c>
      <c r="E202" s="122">
        <f>IFERROR(__xludf.DUMMYFUNCTION("""COMPUTED_VALUE"""),1.0)</f>
        <v>1</v>
      </c>
      <c r="F202" s="122">
        <f>IFERROR(__xludf.DUMMYFUNCTION("""COMPUTED_VALUE"""),13.0)</f>
        <v>13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IFERROR(__xludf.DUMMYFUNCTION("""COMPUTED_VALUE"""),"Rajesh Dorairaj")</f>
        <v>Rajesh Dorairaj</v>
      </c>
      <c r="C203" s="122">
        <f>IFERROR(__xludf.DUMMYFUNCTION("""COMPUTED_VALUE"""),7.0)</f>
        <v>7</v>
      </c>
      <c r="D203" s="122">
        <f>IFERROR(__xludf.DUMMYFUNCTION("""COMPUTED_VALUE"""),1.0)</f>
        <v>1</v>
      </c>
      <c r="E203" s="122">
        <f>IFERROR(__xludf.DUMMYFUNCTION("""COMPUTED_VALUE"""),1.0)</f>
        <v>1</v>
      </c>
      <c r="F203" s="122">
        <f>IFERROR(__xludf.DUMMYFUNCTION("""COMPUTED_VALUE"""),9.0)</f>
        <v>9</v>
      </c>
      <c r="G203" s="122">
        <f>IFERROR(__xludf.DUMMYFUNCTION("""COMPUTED_VALUE"""),1.0)</f>
        <v>1</v>
      </c>
    </row>
    <row r="204">
      <c r="A204" s="123">
        <f>IFERROR(__xludf.DUMMYFUNCTION("""COMPUTED_VALUE"""),6.0)</f>
        <v>6</v>
      </c>
      <c r="B204" s="124" t="str">
        <f>IFERROR(__xludf.DUMMYFUNCTION("""COMPUTED_VALUE"""),"Cid Macaraeg")</f>
        <v>Cid Macaraeg</v>
      </c>
      <c r="C204" s="125">
        <f>IFERROR(__xludf.DUMMYFUNCTION("""COMPUTED_VALUE"""),6.0)</f>
        <v>6</v>
      </c>
      <c r="D204" s="125">
        <f>IFERROR(__xludf.DUMMYFUNCTION("""COMPUTED_VALUE"""),6.0)</f>
        <v>6</v>
      </c>
      <c r="E204" s="125">
        <f>IFERROR(__xludf.DUMMYFUNCTION("""COMPUTED_VALUE"""),3.0)</f>
        <v>3</v>
      </c>
      <c r="F204" s="125">
        <f>IFERROR(__xludf.DUMMYFUNCTION("""COMPUTED_VALUE"""),15.0)</f>
        <v>15</v>
      </c>
      <c r="G204" s="125">
        <f>IFERROR(__xludf.DUMMYFUNCTION("""COMPUTED_VALUE"""),2.0)</f>
        <v>2</v>
      </c>
    </row>
    <row r="205">
      <c r="A205" s="123">
        <f>IFERROR(__xludf.DUMMYFUNCTION("""COMPUTED_VALUE"""),6.0)</f>
        <v>6</v>
      </c>
      <c r="B205" s="124" t="str">
        <f>IFERROR(__xludf.DUMMYFUNCTION("""COMPUTED_VALUE"""),"Ramesh Bandaru")</f>
        <v>Ramesh Bandaru</v>
      </c>
      <c r="C205" s="125">
        <f>IFERROR(__xludf.DUMMYFUNCTION("""COMPUTED_VALUE"""),2.0)</f>
        <v>2</v>
      </c>
      <c r="D205" s="125">
        <f>IFERROR(__xludf.DUMMYFUNCTION("""COMPUTED_VALUE"""),6.0)</f>
        <v>6</v>
      </c>
      <c r="E205" s="125">
        <f>IFERROR(__xludf.DUMMYFUNCTION("""COMPUTED_VALUE"""),6.0)</f>
        <v>6</v>
      </c>
      <c r="F205" s="125">
        <f>IFERROR(__xludf.DUMMYFUNCTION("""COMPUTED_VALUE"""),14.0)</f>
        <v>14</v>
      </c>
      <c r="G205" s="125">
        <f>IFERROR(__xludf.DUMMYFUNCTION("""COMPUTED_VALUE"""),2.0)</f>
        <v>2</v>
      </c>
    </row>
    <row r="206">
      <c r="A206" s="123">
        <f>IFERROR(__xludf.DUMMYFUNCTION("""COMPUTED_VALUE"""),6.0)</f>
        <v>6</v>
      </c>
      <c r="B206" s="124" t="str">
        <f>IFERROR(__xludf.DUMMYFUNCTION("""COMPUTED_VALUE"""),"Alex Hou")</f>
        <v>Alex Hou</v>
      </c>
      <c r="C206" s="125">
        <f>IFERROR(__xludf.DUMMYFUNCTION("""COMPUTED_VALUE"""),6.0)</f>
        <v>6</v>
      </c>
      <c r="D206" s="125">
        <f>IFERROR(__xludf.DUMMYFUNCTION("""COMPUTED_VALUE"""),2.0)</f>
        <v>2</v>
      </c>
      <c r="E206" s="125">
        <f>IFERROR(__xludf.DUMMYFUNCTION("""COMPUTED_VALUE"""),6.0)</f>
        <v>6</v>
      </c>
      <c r="F206" s="125">
        <f>IFERROR(__xludf.DUMMYFUNCTION("""COMPUTED_VALUE"""),14.0)</f>
        <v>14</v>
      </c>
      <c r="G206" s="125">
        <f>IFERROR(__xludf.DUMMYFUNCTION("""COMPUTED_VALUE"""),2.0)</f>
        <v>2</v>
      </c>
    </row>
    <row r="207">
      <c r="A207" s="123">
        <f>IFERROR(__xludf.DUMMYFUNCTION("""COMPUTED_VALUE"""),6.0)</f>
        <v>6</v>
      </c>
      <c r="B207" s="124" t="str">
        <f>IFERROR(__xludf.DUMMYFUNCTION("""COMPUTED_VALUE"""),"Eric Tan")</f>
        <v>Eric Tan</v>
      </c>
      <c r="C207" s="125">
        <f>IFERROR(__xludf.DUMMYFUNCTION("""COMPUTED_VALUE"""),2.0)</f>
        <v>2</v>
      </c>
      <c r="D207" s="125">
        <f>IFERROR(__xludf.DUMMYFUNCTION("""COMPUTED_VALUE"""),2.0)</f>
        <v>2</v>
      </c>
      <c r="E207" s="125">
        <f>IFERROR(__xludf.DUMMYFUNCTION("""COMPUTED_VALUE"""),3.0)</f>
        <v>3</v>
      </c>
      <c r="F207" s="125">
        <f>IFERROR(__xludf.DUMMYFUNCTION("""COMPUTED_VALUE"""),7.0)</f>
        <v>7</v>
      </c>
      <c r="G207" s="125">
        <f>IFERROR(__xludf.DUMMYFUNCTION("""COMPUTED_VALUE"""),0.0)</f>
        <v>0</v>
      </c>
    </row>
    <row r="208">
      <c r="A208" s="117">
        <f>IFERROR(__xludf.DUMMYFUNCTION("""COMPUTED_VALUE"""),7.0)</f>
        <v>7</v>
      </c>
      <c r="B208" s="33" t="str">
        <f>IFERROR(__xludf.DUMMYFUNCTION("""COMPUTED_VALUE"""),"Jim Miao")</f>
        <v>Jim Miao</v>
      </c>
      <c r="C208" s="122">
        <f>IFERROR(__xludf.DUMMYFUNCTION("""COMPUTED_VALUE"""),7.0)</f>
        <v>7</v>
      </c>
      <c r="D208" s="122">
        <f>IFERROR(__xludf.DUMMYFUNCTION("""COMPUTED_VALUE"""),6.0)</f>
        <v>6</v>
      </c>
      <c r="E208" s="122">
        <f>IFERROR(__xludf.DUMMYFUNCTION("""COMPUTED_VALUE"""),6.0)</f>
        <v>6</v>
      </c>
      <c r="F208" s="122">
        <f>IFERROR(__xludf.DUMMYFUNCTION("""COMPUTED_VALUE"""),19.0)</f>
        <v>19</v>
      </c>
      <c r="G208" s="122">
        <f>IFERROR(__xludf.DUMMYFUNCTION("""COMPUTED_VALUE"""),3.0)</f>
        <v>3</v>
      </c>
    </row>
    <row r="209">
      <c r="A209" s="117">
        <f>IFERROR(__xludf.DUMMYFUNCTION("""COMPUTED_VALUE"""),7.0)</f>
        <v>7</v>
      </c>
      <c r="B209" s="33" t="str">
        <f>IFERROR(__xludf.DUMMYFUNCTION("""COMPUTED_VALUE"""),"Andrew Wen")</f>
        <v>Andrew Wen</v>
      </c>
      <c r="C209" s="122">
        <f>IFERROR(__xludf.DUMMYFUNCTION("""COMPUTED_VALUE"""),5.0)</f>
        <v>5</v>
      </c>
      <c r="D209" s="122">
        <f>IFERROR(__xludf.DUMMYFUNCTION("""COMPUTED_VALUE"""),2.0)</f>
        <v>2</v>
      </c>
      <c r="E209" s="122">
        <f>IFERROR(__xludf.DUMMYFUNCTION("""COMPUTED_VALUE"""),6.0)</f>
        <v>6</v>
      </c>
      <c r="F209" s="122">
        <f>IFERROR(__xludf.DUMMYFUNCTION("""COMPUTED_VALUE"""),13.0)</f>
        <v>13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IFERROR(__xludf.DUMMYFUNCTION("""COMPUTED_VALUE"""),"Kumar Palakeel")</f>
        <v>Kumar Palakeel</v>
      </c>
      <c r="C210" s="122">
        <f>IFERROR(__xludf.DUMMYFUNCTION("""COMPUTED_VALUE"""),7.0)</f>
        <v>7</v>
      </c>
      <c r="D210" s="122">
        <f>IFERROR(__xludf.DUMMYFUNCTION("""COMPUTED_VALUE"""),2.0)</f>
        <v>2</v>
      </c>
      <c r="E210" s="122">
        <f>IFERROR(__xludf.DUMMYFUNCTION("""COMPUTED_VALUE"""),2.0)</f>
        <v>2</v>
      </c>
      <c r="F210" s="122">
        <f>IFERROR(__xludf.DUMMYFUNCTION("""COMPUTED_VALUE"""),11.0)</f>
        <v>11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IFERROR(__xludf.DUMMYFUNCTION("""COMPUTED_VALUE"""),"Vinaya Kajla")</f>
        <v>Vinaya Kajla</v>
      </c>
      <c r="C211" s="122">
        <f>IFERROR(__xludf.DUMMYFUNCTION("""COMPUTED_VALUE"""),5.0)</f>
        <v>5</v>
      </c>
      <c r="D211" s="122">
        <f>IFERROR(__xludf.DUMMYFUNCTION("""COMPUTED_VALUE"""),6.0)</f>
        <v>6</v>
      </c>
      <c r="E211" s="122">
        <f>IFERROR(__xludf.DUMMYFUNCTION("""COMPUTED_VALUE"""),2.0)</f>
        <v>2</v>
      </c>
      <c r="F211" s="122">
        <f>IFERROR(__xludf.DUMMYFUNCTION("""COMPUTED_VALUE"""),13.0)</f>
        <v>13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IFERROR(__xludf.DUMMYFUNCTION("""COMPUTED_VALUE"""),"Balaji Alahari")</f>
        <v>Balaji Alahari</v>
      </c>
      <c r="C212" s="125">
        <f>IFERROR(__xludf.DUMMYFUNCTION("""COMPUTED_VALUE"""),6.0)</f>
        <v>6</v>
      </c>
      <c r="D212" s="125">
        <f>IFERROR(__xludf.DUMMYFUNCTION("""COMPUTED_VALUE"""),6.0)</f>
        <v>6</v>
      </c>
      <c r="E212" s="125">
        <f>IFERROR(__xludf.DUMMYFUNCTION("""COMPUTED_VALUE"""),6.0)</f>
        <v>6</v>
      </c>
      <c r="F212" s="125">
        <f>IFERROR(__xludf.DUMMYFUNCTION("""COMPUTED_VALUE"""),18.0)</f>
        <v>18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IFERROR(__xludf.DUMMYFUNCTION("""COMPUTED_VALUE"""),"Trish Newlin")</f>
        <v>Trish Newlin</v>
      </c>
      <c r="C213" s="125">
        <f>IFERROR(__xludf.DUMMYFUNCTION("""COMPUTED_VALUE"""),6.0)</f>
        <v>6</v>
      </c>
      <c r="D213" s="125">
        <f>IFERROR(__xludf.DUMMYFUNCTION("""COMPUTED_VALUE"""),7.0)</f>
        <v>7</v>
      </c>
      <c r="E213" s="125">
        <f>IFERROR(__xludf.DUMMYFUNCTION("""COMPUTED_VALUE"""),0.0)</f>
        <v>0</v>
      </c>
      <c r="F213" s="125">
        <f>IFERROR(__xludf.DUMMYFUNCTION("""COMPUTED_VALUE"""),13.0)</f>
        <v>13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IFERROR(__xludf.DUMMYFUNCTION("""COMPUTED_VALUE"""),"Sandy Weyant")</f>
        <v>Sandy Weyant</v>
      </c>
      <c r="C214" s="125">
        <f>IFERROR(__xludf.DUMMYFUNCTION("""COMPUTED_VALUE"""),3.0)</f>
        <v>3</v>
      </c>
      <c r="D214" s="125">
        <f>IFERROR(__xludf.DUMMYFUNCTION("""COMPUTED_VALUE"""),7.0)</f>
        <v>7</v>
      </c>
      <c r="E214" s="125">
        <f>IFERROR(__xludf.DUMMYFUNCTION("""COMPUTED_VALUE"""),6.0)</f>
        <v>6</v>
      </c>
      <c r="F214" s="125">
        <f>IFERROR(__xludf.DUMMYFUNCTION("""COMPUTED_VALUE"""),16.0)</f>
        <v>16</v>
      </c>
      <c r="G214" s="125">
        <f>IFERROR(__xludf.DUMMYFUNCTION("""COMPUTED_VALUE"""),2.0)</f>
        <v>2</v>
      </c>
    </row>
    <row r="215">
      <c r="A215" s="123">
        <f>IFERROR(__xludf.DUMMYFUNCTION("""COMPUTED_VALUE"""),8.0)</f>
        <v>8</v>
      </c>
      <c r="B215" s="124" t="str">
        <f>IFERROR(__xludf.DUMMYFUNCTION("""COMPUTED_VALUE"""),"Joyce Zhu")</f>
        <v>Joyce Zhu</v>
      </c>
      <c r="C215" s="125">
        <f>IFERROR(__xludf.DUMMYFUNCTION("""COMPUTED_VALUE"""),3.0)</f>
        <v>3</v>
      </c>
      <c r="D215" s="125">
        <f>IFERROR(__xludf.DUMMYFUNCTION("""COMPUTED_VALUE"""),6.0)</f>
        <v>6</v>
      </c>
      <c r="E215" s="125">
        <f>IFERROR(__xludf.DUMMYFUNCTION("""COMPUTED_VALUE"""),0.0)</f>
        <v>0</v>
      </c>
      <c r="F215" s="125">
        <f>IFERROR(__xludf.DUMMYFUNCTION("""COMPUTED_VALUE"""),9.0)</f>
        <v>9</v>
      </c>
      <c r="G215" s="125">
        <f>IFERROR(__xludf.DUMMYFUNCTION("""COMPUTED_VALUE"""),0.0)</f>
        <v>0</v>
      </c>
    </row>
    <row r="216">
      <c r="A216" s="117">
        <f>IFERROR(__xludf.DUMMYFUNCTION("""COMPUTED_VALUE"""),9.0)</f>
        <v>9</v>
      </c>
      <c r="B216" s="33" t="str">
        <f>IFERROR(__xludf.DUMMYFUNCTION("""COMPUTED_VALUE"""),"Chinna Ponnaganti")</f>
        <v>Chinna Ponnaganti</v>
      </c>
      <c r="C216" s="122">
        <f>IFERROR(__xludf.DUMMYFUNCTION("""COMPUTED_VALUE"""),1.0)</f>
        <v>1</v>
      </c>
      <c r="D216" s="122">
        <f>IFERROR(__xludf.DUMMYFUNCTION("""COMPUTED_VALUE"""),6.0)</f>
        <v>6</v>
      </c>
      <c r="E216" s="122">
        <f>IFERROR(__xludf.DUMMYFUNCTION("""COMPUTED_VALUE"""),6.0)</f>
        <v>6</v>
      </c>
      <c r="F216" s="122">
        <f>IFERROR(__xludf.DUMMYFUNCTION("""COMPUTED_VALUE"""),13.0)</f>
        <v>13</v>
      </c>
      <c r="G216" s="122">
        <f>IFERROR(__xludf.DUMMYFUNCTION("""COMPUTED_VALUE"""),1.0)</f>
        <v>1</v>
      </c>
    </row>
    <row r="217">
      <c r="A217" s="117">
        <f>IFERROR(__xludf.DUMMYFUNCTION("""COMPUTED_VALUE"""),9.0)</f>
        <v>9</v>
      </c>
      <c r="B217" s="33" t="str">
        <f>IFERROR(__xludf.DUMMYFUNCTION("""COMPUTED_VALUE"""),"Matthew Huang")</f>
        <v>Matthew Huang</v>
      </c>
      <c r="C217" s="122">
        <f>IFERROR(__xludf.DUMMYFUNCTION("""COMPUTED_VALUE"""),6.0)</f>
        <v>6</v>
      </c>
      <c r="D217" s="122">
        <f>IFERROR(__xludf.DUMMYFUNCTION("""COMPUTED_VALUE"""),6.0)</f>
        <v>6</v>
      </c>
      <c r="E217" s="122">
        <f>IFERROR(__xludf.DUMMYFUNCTION("""COMPUTED_VALUE"""),7.0)</f>
        <v>7</v>
      </c>
      <c r="F217" s="122">
        <f>IFERROR(__xludf.DUMMYFUNCTION("""COMPUTED_VALUE"""),19.0)</f>
        <v>19</v>
      </c>
      <c r="G217" s="122">
        <f>IFERROR(__xludf.DUMMYFUNCTION("""COMPUTED_VALUE"""),3.0)</f>
        <v>3</v>
      </c>
    </row>
    <row r="218">
      <c r="A218" s="117">
        <f>IFERROR(__xludf.DUMMYFUNCTION("""COMPUTED_VALUE"""),9.0)</f>
        <v>9</v>
      </c>
      <c r="B218" s="33" t="str">
        <f>IFERROR(__xludf.DUMMYFUNCTION("""COMPUTED_VALUE"""),"Jimmy Awolesi")</f>
        <v>Jimmy Awolesi</v>
      </c>
      <c r="C218" s="122">
        <f>IFERROR(__xludf.DUMMYFUNCTION("""COMPUTED_VALUE"""),1.0)</f>
        <v>1</v>
      </c>
      <c r="D218" s="122">
        <f>IFERROR(__xludf.DUMMYFUNCTION("""COMPUTED_VALUE"""),1.0)</f>
        <v>1</v>
      </c>
      <c r="E218" s="122">
        <f>IFERROR(__xludf.DUMMYFUNCTION("""COMPUTED_VALUE"""),7.0)</f>
        <v>7</v>
      </c>
      <c r="F218" s="122">
        <f>IFERROR(__xludf.DUMMYFUNCTION("""COMPUTED_VALUE"""),9.0)</f>
        <v>9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IFERROR(__xludf.DUMMYFUNCTION("""COMPUTED_VALUE"""),"Nicole Ni")</f>
        <v>Nicole Ni</v>
      </c>
      <c r="C219" s="122">
        <f>IFERROR(__xludf.DUMMYFUNCTION("""COMPUTED_VALUE"""),6.0)</f>
        <v>6</v>
      </c>
      <c r="D219" s="122">
        <f>IFERROR(__xludf.DUMMYFUNCTION("""COMPUTED_VALUE"""),1.0)</f>
        <v>1</v>
      </c>
      <c r="E219" s="122">
        <f>IFERROR(__xludf.DUMMYFUNCTION("""COMPUTED_VALUE"""),6.0)</f>
        <v>6</v>
      </c>
      <c r="F219" s="122">
        <f>IFERROR(__xludf.DUMMYFUNCTION("""COMPUTED_VALUE"""),13.0)</f>
        <v>13</v>
      </c>
      <c r="G219" s="122">
        <f>IFERROR(__xludf.DUMMYFUNCTION("""COMPUTED_VALUE"""),1.0)</f>
        <v>1</v>
      </c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45927.0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13.0</v>
      </c>
      <c r="E2" s="1"/>
      <c r="F2" s="1"/>
      <c r="R2" s="17"/>
      <c r="AC2" s="21" t="str">
        <f>text(C1-7,"mm/dd/yy")</f>
        <v>09/20/25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84</v>
      </c>
      <c r="C5" s="34">
        <v>173.0</v>
      </c>
      <c r="D5" s="34">
        <v>20.0</v>
      </c>
      <c r="E5" s="35">
        <f t="shared" ref="E5:E69" si="2">if(S5&gt;0,(C5-(V5*9)-(T5*13))/S5,0)</f>
        <v>14.6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182</v>
      </c>
      <c r="O5" s="34">
        <f t="shared" si="1"/>
        <v>20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10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3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90</v>
      </c>
      <c r="C6" s="34">
        <v>168.0</v>
      </c>
      <c r="D6" s="34">
        <v>20.0</v>
      </c>
      <c r="E6" s="35">
        <f t="shared" si="2"/>
        <v>12.91666667</v>
      </c>
      <c r="F6" s="95">
        <v>1.0</v>
      </c>
      <c r="G6" s="96">
        <v>1.0</v>
      </c>
      <c r="H6" s="97">
        <v>0.0</v>
      </c>
      <c r="I6" s="96">
        <v>1.0</v>
      </c>
      <c r="J6" s="96">
        <v>4.0</v>
      </c>
      <c r="K6" s="96">
        <v>7.0</v>
      </c>
      <c r="L6" s="98">
        <v>12.0</v>
      </c>
      <c r="M6" s="96">
        <v>1.0</v>
      </c>
      <c r="N6" s="34">
        <f t="shared" ref="N6:O6" si="3">C6+L6</f>
        <v>180</v>
      </c>
      <c r="O6" s="34">
        <f t="shared" si="3"/>
        <v>21</v>
      </c>
      <c r="P6" s="49" t="s">
        <v>58</v>
      </c>
      <c r="Q6" s="49" t="s">
        <v>58</v>
      </c>
      <c r="R6" s="49"/>
      <c r="S6" s="50">
        <f t="shared" si="4"/>
        <v>12</v>
      </c>
      <c r="T6" s="52">
        <f t="shared" si="5"/>
        <v>1</v>
      </c>
      <c r="U6" s="52"/>
      <c r="V6" s="50">
        <f t="shared" si="6"/>
        <v>0</v>
      </c>
      <c r="W6" s="52">
        <f t="shared" si="7"/>
        <v>6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45</v>
      </c>
      <c r="C7" s="34">
        <v>168.0</v>
      </c>
      <c r="D7" s="34">
        <v>19.0</v>
      </c>
      <c r="E7" s="35">
        <f t="shared" si="2"/>
        <v>15.375</v>
      </c>
      <c r="F7" s="95">
        <v>1.0</v>
      </c>
      <c r="G7" s="96">
        <v>1.0</v>
      </c>
      <c r="H7" s="97">
        <v>0.0</v>
      </c>
      <c r="I7" s="96">
        <v>6.0</v>
      </c>
      <c r="J7" s="96">
        <v>6.0</v>
      </c>
      <c r="K7" s="96">
        <v>7.0</v>
      </c>
      <c r="L7" s="98">
        <v>19.0</v>
      </c>
      <c r="M7" s="96">
        <v>3.0</v>
      </c>
      <c r="N7" s="34">
        <f t="shared" ref="N7:O7" si="11">C7+L7</f>
        <v>187</v>
      </c>
      <c r="O7" s="34">
        <f t="shared" si="11"/>
        <v>22</v>
      </c>
      <c r="P7" s="49" t="s">
        <v>58</v>
      </c>
      <c r="Q7" s="49" t="s">
        <v>58</v>
      </c>
      <c r="R7" s="49"/>
      <c r="S7" s="50">
        <f t="shared" si="4"/>
        <v>8</v>
      </c>
      <c r="T7" s="52">
        <f t="shared" si="5"/>
        <v>0</v>
      </c>
      <c r="U7" s="52"/>
      <c r="V7" s="50">
        <f t="shared" si="6"/>
        <v>5</v>
      </c>
      <c r="W7" s="52">
        <f t="shared" si="7"/>
        <v>3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73</v>
      </c>
      <c r="C8" s="34">
        <v>167.0</v>
      </c>
      <c r="D8" s="34">
        <v>16.0</v>
      </c>
      <c r="E8" s="35">
        <f t="shared" si="2"/>
        <v>14</v>
      </c>
      <c r="F8" s="95">
        <v>1.0</v>
      </c>
      <c r="G8" s="96">
        <v>1.0</v>
      </c>
      <c r="H8" s="97">
        <v>0.0</v>
      </c>
      <c r="I8" s="96">
        <v>6.0</v>
      </c>
      <c r="J8" s="96">
        <v>4.0</v>
      </c>
      <c r="K8" s="96">
        <v>6.0</v>
      </c>
      <c r="L8" s="98">
        <v>16.0</v>
      </c>
      <c r="M8" s="96">
        <v>1.0</v>
      </c>
      <c r="N8" s="34">
        <f t="shared" ref="N8:O8" si="13">C8+L8</f>
        <v>183</v>
      </c>
      <c r="O8" s="34">
        <f t="shared" si="13"/>
        <v>17</v>
      </c>
      <c r="P8" s="49" t="s">
        <v>58</v>
      </c>
      <c r="Q8" s="49" t="s">
        <v>58</v>
      </c>
      <c r="R8" s="49"/>
      <c r="S8" s="50">
        <f t="shared" si="4"/>
        <v>10</v>
      </c>
      <c r="T8" s="52">
        <f t="shared" si="5"/>
        <v>0</v>
      </c>
      <c r="U8" s="52"/>
      <c r="V8" s="50">
        <f t="shared" si="6"/>
        <v>3</v>
      </c>
      <c r="W8" s="52">
        <f t="shared" si="7"/>
        <v>-2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94</v>
      </c>
      <c r="C9" s="34">
        <v>164.0</v>
      </c>
      <c r="D9" s="34">
        <v>15.0</v>
      </c>
      <c r="E9" s="35">
        <f t="shared" si="2"/>
        <v>12.91666667</v>
      </c>
      <c r="F9" s="95">
        <v>1.0</v>
      </c>
      <c r="G9" s="96">
        <v>1.0</v>
      </c>
      <c r="H9" s="97">
        <v>0.0</v>
      </c>
      <c r="I9" s="96">
        <v>1.0</v>
      </c>
      <c r="J9" s="96">
        <v>6.0</v>
      </c>
      <c r="K9" s="96">
        <v>6.0</v>
      </c>
      <c r="L9" s="98">
        <v>13.0</v>
      </c>
      <c r="M9" s="96">
        <v>1.0</v>
      </c>
      <c r="N9" s="34">
        <f t="shared" ref="N9:O9" si="14">C9+L9</f>
        <v>177</v>
      </c>
      <c r="O9" s="34">
        <f t="shared" si="14"/>
        <v>16</v>
      </c>
      <c r="P9" s="49" t="s">
        <v>58</v>
      </c>
      <c r="Q9" s="49" t="s">
        <v>58</v>
      </c>
      <c r="R9" s="49"/>
      <c r="S9" s="50">
        <f t="shared" si="4"/>
        <v>12</v>
      </c>
      <c r="T9" s="52">
        <f t="shared" si="5"/>
        <v>0</v>
      </c>
      <c r="U9" s="52"/>
      <c r="V9" s="50">
        <f t="shared" si="6"/>
        <v>1</v>
      </c>
      <c r="W9" s="52">
        <f t="shared" si="7"/>
        <v>6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103</v>
      </c>
      <c r="C10" s="34">
        <v>164.0</v>
      </c>
      <c r="D10" s="34">
        <v>12.0</v>
      </c>
      <c r="E10" s="35">
        <f t="shared" si="2"/>
        <v>12.90909091</v>
      </c>
      <c r="F10" s="95">
        <v>2.0</v>
      </c>
      <c r="G10" s="96">
        <v>2.0</v>
      </c>
      <c r="H10" s="97">
        <v>0.0</v>
      </c>
      <c r="I10" s="96">
        <v>2.0</v>
      </c>
      <c r="J10" s="96">
        <v>7.0</v>
      </c>
      <c r="K10" s="96">
        <v>1.0</v>
      </c>
      <c r="L10" s="98">
        <v>10.0</v>
      </c>
      <c r="M10" s="96">
        <v>1.0</v>
      </c>
      <c r="N10" s="34">
        <f t="shared" ref="N10:O10" si="15">C10+L10</f>
        <v>174</v>
      </c>
      <c r="O10" s="34">
        <f t="shared" si="15"/>
        <v>13</v>
      </c>
      <c r="P10" s="49" t="s">
        <v>58</v>
      </c>
      <c r="Q10" s="49" t="s">
        <v>58</v>
      </c>
      <c r="R10" s="49"/>
      <c r="S10" s="50">
        <f t="shared" si="4"/>
        <v>11</v>
      </c>
      <c r="T10" s="52">
        <f t="shared" si="5"/>
        <v>1</v>
      </c>
      <c r="U10" s="52"/>
      <c r="V10" s="50">
        <f t="shared" si="6"/>
        <v>1</v>
      </c>
      <c r="W10" s="52">
        <f t="shared" si="7"/>
        <v>10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107</v>
      </c>
      <c r="C11" s="34">
        <v>163.0</v>
      </c>
      <c r="D11" s="34">
        <v>16.0</v>
      </c>
      <c r="E11" s="35">
        <f t="shared" si="2"/>
        <v>13.66666667</v>
      </c>
      <c r="F11" s="95">
        <v>2.0</v>
      </c>
      <c r="G11" s="96">
        <v>2.0</v>
      </c>
      <c r="H11" s="97">
        <v>0.0</v>
      </c>
      <c r="I11" s="96">
        <v>6.0</v>
      </c>
      <c r="J11" s="96">
        <v>7.0</v>
      </c>
      <c r="K11" s="96">
        <v>6.0</v>
      </c>
      <c r="L11" s="98">
        <v>19.0</v>
      </c>
      <c r="M11" s="96">
        <v>3.0</v>
      </c>
      <c r="N11" s="34">
        <f t="shared" ref="N11:O11" si="16">C11+L11</f>
        <v>182</v>
      </c>
      <c r="O11" s="34">
        <f t="shared" si="16"/>
        <v>19</v>
      </c>
      <c r="P11" s="49" t="s">
        <v>58</v>
      </c>
      <c r="Q11" s="49" t="s">
        <v>58</v>
      </c>
      <c r="R11" s="49"/>
      <c r="S11" s="50">
        <f t="shared" si="4"/>
        <v>9</v>
      </c>
      <c r="T11" s="52">
        <f t="shared" si="5"/>
        <v>1</v>
      </c>
      <c r="U11" s="52"/>
      <c r="V11" s="50">
        <f t="shared" si="6"/>
        <v>3</v>
      </c>
      <c r="W11" s="52">
        <f t="shared" si="7"/>
        <v>-2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113</v>
      </c>
      <c r="C12" s="34">
        <v>163.0</v>
      </c>
      <c r="D12" s="34">
        <v>15.0</v>
      </c>
      <c r="E12" s="35">
        <f t="shared" si="2"/>
        <v>14.11111111</v>
      </c>
      <c r="F12" s="95">
        <v>1.0</v>
      </c>
      <c r="G12" s="96">
        <v>2.0</v>
      </c>
      <c r="H12" s="97">
        <v>0.0</v>
      </c>
      <c r="I12" s="96">
        <v>6.0</v>
      </c>
      <c r="J12" s="96">
        <v>6.0</v>
      </c>
      <c r="K12" s="96">
        <v>1.0</v>
      </c>
      <c r="L12" s="98">
        <v>13.0</v>
      </c>
      <c r="M12" s="96">
        <v>1.0</v>
      </c>
      <c r="N12" s="34">
        <f t="shared" ref="N12:O12" si="17">C12+L12</f>
        <v>176</v>
      </c>
      <c r="O12" s="34">
        <f t="shared" si="17"/>
        <v>16</v>
      </c>
      <c r="P12" s="49" t="s">
        <v>58</v>
      </c>
      <c r="Q12" s="49" t="s">
        <v>58</v>
      </c>
      <c r="R12" s="49"/>
      <c r="S12" s="50">
        <f t="shared" si="4"/>
        <v>9</v>
      </c>
      <c r="T12" s="52">
        <f t="shared" si="5"/>
        <v>0</v>
      </c>
      <c r="U12" s="52"/>
      <c r="V12" s="50">
        <f t="shared" si="6"/>
        <v>4</v>
      </c>
      <c r="W12" s="52">
        <f t="shared" si="7"/>
        <v>1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98</v>
      </c>
      <c r="C13" s="34">
        <v>162.0</v>
      </c>
      <c r="D13" s="34">
        <v>21.0</v>
      </c>
      <c r="E13" s="35">
        <f t="shared" si="2"/>
        <v>12.75</v>
      </c>
      <c r="F13" s="95">
        <v>1.0</v>
      </c>
      <c r="G13" s="96">
        <v>2.0</v>
      </c>
      <c r="H13" s="97">
        <v>0.0</v>
      </c>
      <c r="I13" s="96">
        <v>2.0</v>
      </c>
      <c r="J13" s="96">
        <v>6.0</v>
      </c>
      <c r="K13" s="96">
        <v>6.0</v>
      </c>
      <c r="L13" s="98">
        <v>14.0</v>
      </c>
      <c r="M13" s="96">
        <v>1.0</v>
      </c>
      <c r="N13" s="34">
        <f t="shared" ref="N13:O13" si="18">C13+L13</f>
        <v>176</v>
      </c>
      <c r="O13" s="34">
        <f t="shared" si="18"/>
        <v>22</v>
      </c>
      <c r="P13" s="49" t="s">
        <v>58</v>
      </c>
      <c r="Q13" s="49" t="s">
        <v>58</v>
      </c>
      <c r="R13" s="49"/>
      <c r="S13" s="50">
        <f t="shared" si="4"/>
        <v>12</v>
      </c>
      <c r="T13" s="52">
        <f t="shared" si="5"/>
        <v>0</v>
      </c>
      <c r="U13" s="52"/>
      <c r="V13" s="50">
        <f t="shared" si="6"/>
        <v>1</v>
      </c>
      <c r="W13" s="52">
        <f t="shared" si="7"/>
        <v>-6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106</v>
      </c>
      <c r="C14" s="34">
        <v>161.0</v>
      </c>
      <c r="D14" s="34">
        <v>16.0</v>
      </c>
      <c r="E14" s="35">
        <f t="shared" si="2"/>
        <v>13</v>
      </c>
      <c r="F14" s="95">
        <v>1.0</v>
      </c>
      <c r="G14" s="96">
        <v>3.0</v>
      </c>
      <c r="H14" s="97">
        <v>0.0</v>
      </c>
      <c r="I14" s="96">
        <v>1.0</v>
      </c>
      <c r="J14" s="96">
        <v>0.0</v>
      </c>
      <c r="K14" s="96">
        <v>3.0</v>
      </c>
      <c r="L14" s="98">
        <v>4.0</v>
      </c>
      <c r="M14" s="96">
        <v>0.0</v>
      </c>
      <c r="N14" s="34">
        <f t="shared" ref="N14:O14" si="19">C14+L14</f>
        <v>165</v>
      </c>
      <c r="O14" s="34">
        <f t="shared" si="19"/>
        <v>16</v>
      </c>
      <c r="P14" s="49" t="s">
        <v>58</v>
      </c>
      <c r="Q14" s="49" t="s">
        <v>58</v>
      </c>
      <c r="R14" s="49"/>
      <c r="S14" s="50">
        <f t="shared" si="4"/>
        <v>10</v>
      </c>
      <c r="T14" s="52">
        <f t="shared" si="5"/>
        <v>1</v>
      </c>
      <c r="U14" s="52"/>
      <c r="V14" s="50">
        <f t="shared" si="6"/>
        <v>2</v>
      </c>
      <c r="W14" s="52">
        <f t="shared" si="7"/>
        <v>4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109</v>
      </c>
      <c r="C15" s="34">
        <v>161.0</v>
      </c>
      <c r="D15" s="34">
        <v>15.0</v>
      </c>
      <c r="E15" s="35">
        <f t="shared" si="2"/>
        <v>13.4</v>
      </c>
      <c r="F15" s="95">
        <v>1.0</v>
      </c>
      <c r="G15" s="96">
        <v>3.0</v>
      </c>
      <c r="H15" s="97">
        <v>0.0</v>
      </c>
      <c r="I15" s="96">
        <v>1.0</v>
      </c>
      <c r="J15" s="96">
        <v>6.0</v>
      </c>
      <c r="K15" s="96">
        <v>6.0</v>
      </c>
      <c r="L15" s="98">
        <v>13.0</v>
      </c>
      <c r="M15" s="96">
        <v>2.0</v>
      </c>
      <c r="N15" s="34">
        <f t="shared" ref="N15:O15" si="20">C15+L15</f>
        <v>174</v>
      </c>
      <c r="O15" s="34">
        <f t="shared" si="20"/>
        <v>17</v>
      </c>
      <c r="P15" s="49" t="s">
        <v>58</v>
      </c>
      <c r="Q15" s="49" t="s">
        <v>58</v>
      </c>
      <c r="R15" s="49"/>
      <c r="S15" s="50">
        <f t="shared" si="4"/>
        <v>10</v>
      </c>
      <c r="T15" s="52">
        <f t="shared" si="5"/>
        <v>0</v>
      </c>
      <c r="U15" s="52"/>
      <c r="V15" s="50">
        <f t="shared" si="6"/>
        <v>3</v>
      </c>
      <c r="W15" s="52">
        <f t="shared" si="7"/>
        <v>-1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67</v>
      </c>
      <c r="C16" s="34">
        <v>160.0</v>
      </c>
      <c r="D16" s="34">
        <v>17.0</v>
      </c>
      <c r="E16" s="35">
        <f t="shared" si="2"/>
        <v>14.375</v>
      </c>
      <c r="F16" s="95">
        <v>1.0</v>
      </c>
      <c r="G16" s="96">
        <v>3.0</v>
      </c>
      <c r="H16" s="97">
        <v>0.0</v>
      </c>
      <c r="I16" s="96">
        <v>6.0</v>
      </c>
      <c r="J16" s="96">
        <v>6.0</v>
      </c>
      <c r="K16" s="96">
        <v>3.0</v>
      </c>
      <c r="L16" s="98">
        <v>15.0</v>
      </c>
      <c r="M16" s="96">
        <v>2.0</v>
      </c>
      <c r="N16" s="34">
        <f t="shared" ref="N16:O16" si="21">C16+L16</f>
        <v>175</v>
      </c>
      <c r="O16" s="34">
        <f t="shared" si="21"/>
        <v>19</v>
      </c>
      <c r="P16" s="49" t="s">
        <v>58</v>
      </c>
      <c r="Q16" s="49" t="s">
        <v>58</v>
      </c>
      <c r="R16" s="49"/>
      <c r="S16" s="50">
        <f t="shared" si="4"/>
        <v>8</v>
      </c>
      <c r="T16" s="52">
        <f t="shared" si="5"/>
        <v>0</v>
      </c>
      <c r="U16" s="52"/>
      <c r="V16" s="50">
        <f t="shared" si="6"/>
        <v>5</v>
      </c>
      <c r="W16" s="52">
        <f t="shared" si="7"/>
        <v>-8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87</v>
      </c>
      <c r="C17" s="34">
        <v>159.0</v>
      </c>
      <c r="D17" s="34">
        <v>17.0</v>
      </c>
      <c r="E17" s="35">
        <f t="shared" si="2"/>
        <v>12.5</v>
      </c>
      <c r="F17" s="95">
        <v>1.0</v>
      </c>
      <c r="G17" s="96">
        <v>3.0</v>
      </c>
      <c r="H17" s="97">
        <v>0.0</v>
      </c>
      <c r="I17" s="96">
        <v>6.0</v>
      </c>
      <c r="J17" s="96">
        <v>0.0</v>
      </c>
      <c r="K17" s="96">
        <v>6.0</v>
      </c>
      <c r="L17" s="98">
        <v>12.0</v>
      </c>
      <c r="M17" s="96">
        <v>2.0</v>
      </c>
      <c r="N17" s="34">
        <f t="shared" ref="N17:O17" si="22">C17+L17</f>
        <v>171</v>
      </c>
      <c r="O17" s="34">
        <f t="shared" si="22"/>
        <v>19</v>
      </c>
      <c r="P17" s="49" t="s">
        <v>58</v>
      </c>
      <c r="Q17" s="49" t="s">
        <v>58</v>
      </c>
      <c r="R17" s="49"/>
      <c r="S17" s="50">
        <f t="shared" si="4"/>
        <v>12</v>
      </c>
      <c r="T17" s="52">
        <f t="shared" si="5"/>
        <v>0</v>
      </c>
      <c r="U17" s="52"/>
      <c r="V17" s="50">
        <f t="shared" si="6"/>
        <v>1</v>
      </c>
      <c r="W17" s="52">
        <f t="shared" si="7"/>
        <v>4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128</v>
      </c>
      <c r="C18" s="34">
        <v>158.0</v>
      </c>
      <c r="D18" s="34">
        <v>15.0</v>
      </c>
      <c r="E18" s="35">
        <f t="shared" si="2"/>
        <v>12.72727273</v>
      </c>
      <c r="F18" s="95">
        <v>1.0</v>
      </c>
      <c r="G18" s="96">
        <v>4.0</v>
      </c>
      <c r="H18" s="97">
        <v>0.0</v>
      </c>
      <c r="I18" s="96">
        <v>6.0</v>
      </c>
      <c r="J18" s="96">
        <v>5.0</v>
      </c>
      <c r="K18" s="96">
        <v>2.0</v>
      </c>
      <c r="L18" s="98">
        <v>13.0</v>
      </c>
      <c r="M18" s="96">
        <v>1.0</v>
      </c>
      <c r="N18" s="34">
        <f t="shared" ref="N18:O18" si="23">C18+L18</f>
        <v>171</v>
      </c>
      <c r="O18" s="34">
        <f t="shared" si="23"/>
        <v>16</v>
      </c>
      <c r="P18" s="49" t="s">
        <v>58</v>
      </c>
      <c r="Q18" s="49" t="s">
        <v>58</v>
      </c>
      <c r="R18" s="49"/>
      <c r="S18" s="50">
        <f t="shared" si="4"/>
        <v>11</v>
      </c>
      <c r="T18" s="52">
        <f t="shared" si="5"/>
        <v>0</v>
      </c>
      <c r="U18" s="52"/>
      <c r="V18" s="50">
        <f t="shared" si="6"/>
        <v>2</v>
      </c>
      <c r="W18" s="52">
        <f t="shared" si="7"/>
        <v>-7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110</v>
      </c>
      <c r="C19" s="34">
        <v>157.0</v>
      </c>
      <c r="D19" s="34">
        <v>15.0</v>
      </c>
      <c r="E19" s="35">
        <f t="shared" si="2"/>
        <v>12.07692308</v>
      </c>
      <c r="F19" s="95">
        <v>1.0</v>
      </c>
      <c r="G19" s="96">
        <v>4.0</v>
      </c>
      <c r="H19" s="97">
        <v>0.0</v>
      </c>
      <c r="I19" s="96">
        <v>3.0</v>
      </c>
      <c r="J19" s="96">
        <v>7.0</v>
      </c>
      <c r="K19" s="96">
        <v>2.0</v>
      </c>
      <c r="L19" s="98">
        <v>12.0</v>
      </c>
      <c r="M19" s="96">
        <v>1.0</v>
      </c>
      <c r="N19" s="34">
        <f t="shared" ref="N19:O19" si="24">C19+L19</f>
        <v>169</v>
      </c>
      <c r="O19" s="34">
        <f t="shared" si="24"/>
        <v>16</v>
      </c>
      <c r="P19" s="49" t="s">
        <v>58</v>
      </c>
      <c r="Q19" s="49" t="s">
        <v>58</v>
      </c>
      <c r="R19" s="49"/>
      <c r="S19" s="50">
        <f t="shared" si="4"/>
        <v>13</v>
      </c>
      <c r="T19" s="52">
        <f t="shared" si="5"/>
        <v>0</v>
      </c>
      <c r="U19" s="52"/>
      <c r="V19" s="50">
        <f t="shared" si="6"/>
        <v>0</v>
      </c>
      <c r="W19" s="52">
        <f t="shared" si="7"/>
        <v>-3</v>
      </c>
      <c r="X19" s="32">
        <f t="shared" si="12"/>
        <v>15</v>
      </c>
      <c r="Y19" s="32" t="str">
        <f t="shared" si="8"/>
        <v>Y</v>
      </c>
      <c r="Z19" s="16" t="str">
        <f t="shared" si="9"/>
        <v/>
      </c>
    </row>
    <row r="20">
      <c r="A20" s="32">
        <f t="shared" si="10"/>
        <v>16</v>
      </c>
      <c r="B20" s="33" t="s">
        <v>83</v>
      </c>
      <c r="C20" s="34">
        <v>156.0</v>
      </c>
      <c r="D20" s="34">
        <v>14.0</v>
      </c>
      <c r="E20" s="35">
        <f t="shared" si="2"/>
        <v>14.57142857</v>
      </c>
      <c r="F20" s="95">
        <v>3.0</v>
      </c>
      <c r="G20" s="96">
        <v>0.0</v>
      </c>
      <c r="H20" s="97">
        <v>9.0</v>
      </c>
      <c r="I20" s="96">
        <v>0.0</v>
      </c>
      <c r="J20" s="96">
        <v>0.0</v>
      </c>
      <c r="K20" s="96">
        <v>0.0</v>
      </c>
      <c r="L20" s="98">
        <v>9.0</v>
      </c>
      <c r="M20" s="96">
        <v>0.0</v>
      </c>
      <c r="N20" s="34">
        <f t="shared" ref="N20:O20" si="25">C20+L20</f>
        <v>165</v>
      </c>
      <c r="O20" s="34">
        <f t="shared" si="25"/>
        <v>14</v>
      </c>
      <c r="P20" s="49" t="s">
        <v>58</v>
      </c>
      <c r="Q20" s="49" t="s">
        <v>58</v>
      </c>
      <c r="R20" s="49"/>
      <c r="S20" s="50">
        <f t="shared" si="4"/>
        <v>7</v>
      </c>
      <c r="T20" s="52">
        <f t="shared" si="5"/>
        <v>0</v>
      </c>
      <c r="U20" s="52"/>
      <c r="V20" s="50">
        <f t="shared" si="6"/>
        <v>6</v>
      </c>
      <c r="W20" s="52">
        <f t="shared" si="7"/>
        <v>-3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97</v>
      </c>
      <c r="C21" s="34">
        <v>155.0</v>
      </c>
      <c r="D21" s="34">
        <v>17.0</v>
      </c>
      <c r="E21" s="35">
        <f t="shared" si="2"/>
        <v>13.22222222</v>
      </c>
      <c r="F21" s="95">
        <v>1.0</v>
      </c>
      <c r="G21" s="96">
        <v>4.0</v>
      </c>
      <c r="H21" s="97">
        <v>0.0</v>
      </c>
      <c r="I21" s="96">
        <v>3.0</v>
      </c>
      <c r="J21" s="96">
        <v>5.0</v>
      </c>
      <c r="K21" s="96">
        <v>6.0</v>
      </c>
      <c r="L21" s="98">
        <v>14.0</v>
      </c>
      <c r="M21" s="96">
        <v>1.0</v>
      </c>
      <c r="N21" s="34">
        <f t="shared" ref="N21:O21" si="26">C21+L21</f>
        <v>169</v>
      </c>
      <c r="O21" s="34">
        <f t="shared" si="26"/>
        <v>18</v>
      </c>
      <c r="P21" s="49" t="s">
        <v>58</v>
      </c>
      <c r="Q21" s="49" t="s">
        <v>58</v>
      </c>
      <c r="R21" s="49"/>
      <c r="S21" s="50">
        <f t="shared" si="4"/>
        <v>9</v>
      </c>
      <c r="T21" s="52">
        <f t="shared" si="5"/>
        <v>0</v>
      </c>
      <c r="U21" s="52"/>
      <c r="V21" s="50">
        <f t="shared" si="6"/>
        <v>4</v>
      </c>
      <c r="W21" s="52">
        <f t="shared" si="7"/>
        <v>-2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91</v>
      </c>
      <c r="C22" s="34">
        <v>153.0</v>
      </c>
      <c r="D22" s="34">
        <v>16.0</v>
      </c>
      <c r="E22" s="35">
        <f t="shared" si="2"/>
        <v>11.90909091</v>
      </c>
      <c r="F22" s="95">
        <v>1.0</v>
      </c>
      <c r="G22" s="96">
        <v>4.0</v>
      </c>
      <c r="H22" s="97">
        <v>0.0</v>
      </c>
      <c r="I22" s="96">
        <v>6.0</v>
      </c>
      <c r="J22" s="96">
        <v>7.0</v>
      </c>
      <c r="K22" s="96">
        <v>6.0</v>
      </c>
      <c r="L22" s="98">
        <v>19.0</v>
      </c>
      <c r="M22" s="96">
        <v>3.0</v>
      </c>
      <c r="N22" s="34">
        <f t="shared" ref="N22:O22" si="27">C22+L22</f>
        <v>172</v>
      </c>
      <c r="O22" s="34">
        <f t="shared" si="27"/>
        <v>19</v>
      </c>
      <c r="P22" s="49" t="s">
        <v>58</v>
      </c>
      <c r="Q22" s="49" t="s">
        <v>58</v>
      </c>
      <c r="R22" s="49"/>
      <c r="S22" s="50">
        <f t="shared" si="4"/>
        <v>11</v>
      </c>
      <c r="T22" s="52">
        <f t="shared" si="5"/>
        <v>1</v>
      </c>
      <c r="U22" s="52"/>
      <c r="V22" s="50">
        <f t="shared" si="6"/>
        <v>1</v>
      </c>
      <c r="W22" s="52">
        <f t="shared" si="7"/>
        <v>0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50</v>
      </c>
      <c r="C23" s="34">
        <v>153.0</v>
      </c>
      <c r="D23" s="34">
        <v>16.0</v>
      </c>
      <c r="E23" s="35">
        <f t="shared" si="2"/>
        <v>11.76923077</v>
      </c>
      <c r="F23" s="95">
        <v>1.0</v>
      </c>
      <c r="G23" s="96">
        <v>9.0</v>
      </c>
      <c r="H23" s="97">
        <v>0.0</v>
      </c>
      <c r="I23" s="96">
        <v>1.0</v>
      </c>
      <c r="J23" s="96">
        <v>6.0</v>
      </c>
      <c r="K23" s="96">
        <v>6.0</v>
      </c>
      <c r="L23" s="98">
        <v>13.0</v>
      </c>
      <c r="M23" s="96">
        <v>1.0</v>
      </c>
      <c r="N23" s="34">
        <f t="shared" ref="N23:O23" si="28">C23+L23</f>
        <v>166</v>
      </c>
      <c r="O23" s="34">
        <f t="shared" si="28"/>
        <v>17</v>
      </c>
      <c r="P23" s="49" t="s">
        <v>58</v>
      </c>
      <c r="Q23" s="49" t="s">
        <v>58</v>
      </c>
      <c r="R23" s="49"/>
      <c r="S23" s="50">
        <f t="shared" si="4"/>
        <v>13</v>
      </c>
      <c r="T23" s="52">
        <f t="shared" si="5"/>
        <v>0</v>
      </c>
      <c r="U23" s="52"/>
      <c r="V23" s="50">
        <f t="shared" si="6"/>
        <v>0</v>
      </c>
      <c r="W23" s="52">
        <f t="shared" si="7"/>
        <v>3</v>
      </c>
      <c r="X23" s="32">
        <f t="shared" si="12"/>
        <v>19</v>
      </c>
      <c r="Y23" s="32" t="str">
        <f t="shared" si="8"/>
        <v>Y</v>
      </c>
      <c r="Z23" s="16" t="str">
        <f t="shared" si="9"/>
        <v/>
      </c>
    </row>
    <row r="24">
      <c r="A24" s="32">
        <f t="shared" si="10"/>
        <v>20</v>
      </c>
      <c r="B24" s="33" t="s">
        <v>125</v>
      </c>
      <c r="C24" s="34">
        <v>152.0</v>
      </c>
      <c r="D24" s="34">
        <v>13.0</v>
      </c>
      <c r="E24" s="35">
        <f t="shared" si="2"/>
        <v>12.88888889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9">C24+L24</f>
        <v>161</v>
      </c>
      <c r="O24" s="34">
        <f t="shared" si="29"/>
        <v>13</v>
      </c>
      <c r="P24" s="49" t="s">
        <v>58</v>
      </c>
      <c r="Q24" s="49" t="s">
        <v>58</v>
      </c>
      <c r="R24" s="49"/>
      <c r="S24" s="50">
        <f t="shared" si="4"/>
        <v>9</v>
      </c>
      <c r="T24" s="52">
        <f t="shared" si="5"/>
        <v>0</v>
      </c>
      <c r="U24" s="52"/>
      <c r="V24" s="50">
        <f t="shared" si="6"/>
        <v>4</v>
      </c>
      <c r="W24" s="52">
        <f t="shared" si="7"/>
        <v>1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134</v>
      </c>
      <c r="C25" s="34">
        <v>150.0</v>
      </c>
      <c r="D25" s="34">
        <v>13.0</v>
      </c>
      <c r="E25" s="35">
        <f t="shared" si="2"/>
        <v>14.5</v>
      </c>
      <c r="F25" s="95">
        <v>1.0</v>
      </c>
      <c r="G25" s="96">
        <v>9.0</v>
      </c>
      <c r="H25" s="97">
        <v>0.0</v>
      </c>
      <c r="I25" s="96">
        <v>6.0</v>
      </c>
      <c r="J25" s="96">
        <v>6.0</v>
      </c>
      <c r="K25" s="96">
        <v>7.0</v>
      </c>
      <c r="L25" s="98">
        <v>19.0</v>
      </c>
      <c r="M25" s="96">
        <v>3.0</v>
      </c>
      <c r="N25" s="34">
        <f t="shared" ref="N25:O25" si="30">C25+L25</f>
        <v>169</v>
      </c>
      <c r="O25" s="34">
        <f t="shared" si="30"/>
        <v>16</v>
      </c>
      <c r="P25" s="49" t="s">
        <v>58</v>
      </c>
      <c r="Q25" s="49" t="s">
        <v>58</v>
      </c>
      <c r="R25" s="49"/>
      <c r="S25" s="50">
        <f t="shared" si="4"/>
        <v>6</v>
      </c>
      <c r="T25" s="52">
        <f t="shared" si="5"/>
        <v>0</v>
      </c>
      <c r="U25" s="52"/>
      <c r="V25" s="50">
        <f t="shared" si="6"/>
        <v>7</v>
      </c>
      <c r="W25" s="52">
        <f t="shared" si="7"/>
        <v>9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89</v>
      </c>
      <c r="C26" s="34">
        <v>149.0</v>
      </c>
      <c r="D26" s="34">
        <v>13.0</v>
      </c>
      <c r="E26" s="35">
        <f t="shared" si="2"/>
        <v>13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31">C26+L26</f>
        <v>158</v>
      </c>
      <c r="O26" s="34">
        <f t="shared" si="31"/>
        <v>13</v>
      </c>
      <c r="P26" s="49" t="s">
        <v>58</v>
      </c>
      <c r="Q26" s="49" t="s">
        <v>58</v>
      </c>
      <c r="R26" s="49"/>
      <c r="S26" s="50">
        <f t="shared" si="4"/>
        <v>8</v>
      </c>
      <c r="T26" s="52">
        <f t="shared" si="5"/>
        <v>0</v>
      </c>
      <c r="U26" s="52"/>
      <c r="V26" s="50">
        <f t="shared" si="6"/>
        <v>5</v>
      </c>
      <c r="W26" s="52">
        <f t="shared" si="7"/>
        <v>-3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49</v>
      </c>
      <c r="C27" s="34">
        <v>147.0</v>
      </c>
      <c r="D27" s="34">
        <v>15.0</v>
      </c>
      <c r="E27" s="35">
        <f t="shared" si="2"/>
        <v>11.72727273</v>
      </c>
      <c r="F27" s="95">
        <v>1.0</v>
      </c>
      <c r="G27" s="96">
        <v>9.0</v>
      </c>
      <c r="H27" s="97">
        <v>0.0</v>
      </c>
      <c r="I27" s="96">
        <v>1.0</v>
      </c>
      <c r="J27" s="96">
        <v>1.0</v>
      </c>
      <c r="K27" s="96">
        <v>7.0</v>
      </c>
      <c r="L27" s="98">
        <v>9.0</v>
      </c>
      <c r="M27" s="96">
        <v>1.0</v>
      </c>
      <c r="N27" s="34">
        <f t="shared" ref="N27:O27" si="32">C27+L27</f>
        <v>156</v>
      </c>
      <c r="O27" s="34">
        <f t="shared" si="32"/>
        <v>16</v>
      </c>
      <c r="P27" s="49" t="s">
        <v>58</v>
      </c>
      <c r="Q27" s="49" t="s">
        <v>58</v>
      </c>
      <c r="R27" s="49"/>
      <c r="S27" s="50">
        <f t="shared" si="4"/>
        <v>11</v>
      </c>
      <c r="T27" s="52">
        <f t="shared" si="5"/>
        <v>0</v>
      </c>
      <c r="U27" s="52"/>
      <c r="V27" s="50">
        <f t="shared" si="6"/>
        <v>2</v>
      </c>
      <c r="W27" s="52">
        <f t="shared" si="7"/>
        <v>-3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136</v>
      </c>
      <c r="C28" s="34">
        <v>146.0</v>
      </c>
      <c r="D28" s="34">
        <v>13.0</v>
      </c>
      <c r="E28" s="35">
        <f t="shared" si="2"/>
        <v>11.23076923</v>
      </c>
      <c r="F28" s="95">
        <v>1.0</v>
      </c>
      <c r="G28" s="96">
        <v>9.0</v>
      </c>
      <c r="H28" s="97">
        <v>0.0</v>
      </c>
      <c r="I28" s="96">
        <v>6.0</v>
      </c>
      <c r="J28" s="96">
        <v>1.0</v>
      </c>
      <c r="K28" s="96">
        <v>6.0</v>
      </c>
      <c r="L28" s="98">
        <v>13.0</v>
      </c>
      <c r="M28" s="96">
        <v>1.0</v>
      </c>
      <c r="N28" s="34">
        <f t="shared" ref="N28:O28" si="33">C28+L28</f>
        <v>159</v>
      </c>
      <c r="O28" s="34">
        <f t="shared" si="33"/>
        <v>14</v>
      </c>
      <c r="P28" s="49" t="s">
        <v>58</v>
      </c>
      <c r="Q28" s="49" t="s">
        <v>58</v>
      </c>
      <c r="R28" s="49"/>
      <c r="S28" s="50">
        <f t="shared" si="4"/>
        <v>13</v>
      </c>
      <c r="T28" s="52">
        <f t="shared" si="5"/>
        <v>0</v>
      </c>
      <c r="U28" s="52"/>
      <c r="V28" s="50">
        <f t="shared" si="6"/>
        <v>0</v>
      </c>
      <c r="W28" s="52">
        <f t="shared" si="7"/>
        <v>9</v>
      </c>
      <c r="X28" s="32">
        <f t="shared" si="12"/>
        <v>24</v>
      </c>
      <c r="Y28" s="32" t="str">
        <f t="shared" si="8"/>
        <v>Y</v>
      </c>
      <c r="Z28" s="16" t="str">
        <f t="shared" si="9"/>
        <v/>
      </c>
    </row>
    <row r="29">
      <c r="A29" s="32">
        <f t="shared" si="10"/>
        <v>25</v>
      </c>
      <c r="B29" s="33" t="s">
        <v>100</v>
      </c>
      <c r="C29" s="34">
        <v>146.0</v>
      </c>
      <c r="D29" s="34">
        <v>11.0</v>
      </c>
      <c r="E29" s="35">
        <f t="shared" si="2"/>
        <v>13.83333333</v>
      </c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4">C29+L29</f>
        <v>155</v>
      </c>
      <c r="O29" s="34">
        <f t="shared" si="34"/>
        <v>11</v>
      </c>
      <c r="P29" s="49" t="s">
        <v>58</v>
      </c>
      <c r="Q29" s="49" t="s">
        <v>58</v>
      </c>
      <c r="R29" s="49"/>
      <c r="S29" s="50">
        <f t="shared" si="4"/>
        <v>6</v>
      </c>
      <c r="T29" s="52">
        <f t="shared" si="5"/>
        <v>0</v>
      </c>
      <c r="U29" s="52"/>
      <c r="V29" s="50">
        <f t="shared" si="6"/>
        <v>7</v>
      </c>
      <c r="W29" s="52">
        <f t="shared" si="7"/>
        <v>3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111</v>
      </c>
      <c r="C30" s="34">
        <v>146.0</v>
      </c>
      <c r="D30" s="34">
        <v>10.0</v>
      </c>
      <c r="E30" s="35">
        <f t="shared" si="2"/>
        <v>12.125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155</v>
      </c>
      <c r="O30" s="34">
        <f t="shared" si="35"/>
        <v>10</v>
      </c>
      <c r="P30" s="49" t="s">
        <v>58</v>
      </c>
      <c r="Q30" s="49" t="s">
        <v>58</v>
      </c>
      <c r="R30" s="49"/>
      <c r="S30" s="50">
        <f t="shared" si="4"/>
        <v>8</v>
      </c>
      <c r="T30" s="52">
        <f t="shared" si="5"/>
        <v>1</v>
      </c>
      <c r="U30" s="52"/>
      <c r="V30" s="50">
        <f t="shared" si="6"/>
        <v>4</v>
      </c>
      <c r="W30" s="52">
        <f t="shared" si="7"/>
        <v>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133</v>
      </c>
      <c r="C31" s="34">
        <v>145.0</v>
      </c>
      <c r="D31" s="34">
        <v>13.0</v>
      </c>
      <c r="E31" s="35">
        <f t="shared" si="2"/>
        <v>12.5</v>
      </c>
      <c r="F31" s="95">
        <v>1.0</v>
      </c>
      <c r="G31" s="96">
        <v>5.0</v>
      </c>
      <c r="H31" s="97">
        <v>0.0</v>
      </c>
      <c r="I31" s="96">
        <v>6.0</v>
      </c>
      <c r="J31" s="96">
        <v>1.0</v>
      </c>
      <c r="K31" s="96">
        <v>6.0</v>
      </c>
      <c r="L31" s="98">
        <v>13.0</v>
      </c>
      <c r="M31" s="96">
        <v>1.0</v>
      </c>
      <c r="N31" s="34">
        <f t="shared" ref="N31:O31" si="36">C31+L31</f>
        <v>158</v>
      </c>
      <c r="O31" s="34">
        <f t="shared" si="36"/>
        <v>14</v>
      </c>
      <c r="P31" s="49" t="s">
        <v>58</v>
      </c>
      <c r="Q31" s="49" t="s">
        <v>58</v>
      </c>
      <c r="R31" s="49"/>
      <c r="S31" s="50">
        <f t="shared" si="4"/>
        <v>8</v>
      </c>
      <c r="T31" s="52">
        <f t="shared" si="5"/>
        <v>0</v>
      </c>
      <c r="U31" s="52"/>
      <c r="V31" s="50">
        <f t="shared" si="6"/>
        <v>5</v>
      </c>
      <c r="W31" s="52">
        <f t="shared" si="7"/>
        <v>-4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114</v>
      </c>
      <c r="C32" s="34">
        <v>145.0</v>
      </c>
      <c r="D32" s="34">
        <v>9.0</v>
      </c>
      <c r="E32" s="35">
        <f t="shared" si="2"/>
        <v>11.4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7">C32+L32</f>
        <v>154</v>
      </c>
      <c r="O32" s="34">
        <f t="shared" si="37"/>
        <v>9</v>
      </c>
      <c r="P32" s="49" t="s">
        <v>58</v>
      </c>
      <c r="Q32" s="49" t="s">
        <v>58</v>
      </c>
      <c r="R32" s="49"/>
      <c r="S32" s="50">
        <f t="shared" si="4"/>
        <v>10</v>
      </c>
      <c r="T32" s="52">
        <f t="shared" si="5"/>
        <v>1</v>
      </c>
      <c r="U32" s="52"/>
      <c r="V32" s="50">
        <f t="shared" si="6"/>
        <v>2</v>
      </c>
      <c r="W32" s="52">
        <f t="shared" si="7"/>
        <v>6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65</v>
      </c>
      <c r="C33" s="34">
        <v>144.0</v>
      </c>
      <c r="D33" s="34">
        <v>13.0</v>
      </c>
      <c r="E33" s="35">
        <f t="shared" si="2"/>
        <v>14.4</v>
      </c>
      <c r="F33" s="95">
        <v>3.0</v>
      </c>
      <c r="G33" s="96">
        <v>0.0</v>
      </c>
      <c r="H33" s="97">
        <v>9.0</v>
      </c>
      <c r="I33" s="96">
        <v>0.0</v>
      </c>
      <c r="J33" s="96">
        <v>0.0</v>
      </c>
      <c r="K33" s="96">
        <v>0.0</v>
      </c>
      <c r="L33" s="98">
        <v>9.0</v>
      </c>
      <c r="M33" s="96">
        <v>0.0</v>
      </c>
      <c r="N33" s="34">
        <f t="shared" ref="N33:O33" si="38">C33+L33</f>
        <v>153</v>
      </c>
      <c r="O33" s="34">
        <f t="shared" si="38"/>
        <v>13</v>
      </c>
      <c r="P33" s="49" t="s">
        <v>58</v>
      </c>
      <c r="Q33" s="49" t="s">
        <v>58</v>
      </c>
      <c r="R33" s="49"/>
      <c r="S33" s="50">
        <f t="shared" si="4"/>
        <v>5</v>
      </c>
      <c r="T33" s="52">
        <f t="shared" si="5"/>
        <v>0</v>
      </c>
      <c r="U33" s="52"/>
      <c r="V33" s="50">
        <f t="shared" si="6"/>
        <v>8</v>
      </c>
      <c r="W33" s="52">
        <f t="shared" si="7"/>
        <v>-4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66</v>
      </c>
      <c r="C34" s="34">
        <v>143.0</v>
      </c>
      <c r="D34" s="34">
        <v>12.0</v>
      </c>
      <c r="E34" s="35">
        <f t="shared" si="2"/>
        <v>11</v>
      </c>
      <c r="F34" s="95">
        <v>1.0</v>
      </c>
      <c r="G34" s="96">
        <v>5.0</v>
      </c>
      <c r="H34" s="97">
        <v>0.0</v>
      </c>
      <c r="I34" s="96">
        <v>7.0</v>
      </c>
      <c r="J34" s="96">
        <v>6.0</v>
      </c>
      <c r="K34" s="96">
        <v>6.0</v>
      </c>
      <c r="L34" s="98">
        <v>19.0</v>
      </c>
      <c r="M34" s="96">
        <v>3.0</v>
      </c>
      <c r="N34" s="34">
        <f t="shared" ref="N34:O34" si="39">C34+L34</f>
        <v>162</v>
      </c>
      <c r="O34" s="34">
        <f t="shared" si="39"/>
        <v>15</v>
      </c>
      <c r="P34" s="49" t="s">
        <v>58</v>
      </c>
      <c r="Q34" s="49" t="s">
        <v>58</v>
      </c>
      <c r="R34" s="49"/>
      <c r="S34" s="50">
        <f t="shared" si="4"/>
        <v>13</v>
      </c>
      <c r="T34" s="52">
        <f t="shared" si="5"/>
        <v>0</v>
      </c>
      <c r="U34" s="52"/>
      <c r="V34" s="50">
        <f t="shared" si="6"/>
        <v>0</v>
      </c>
      <c r="W34" s="52">
        <f t="shared" si="7"/>
        <v>-6</v>
      </c>
      <c r="X34" s="32">
        <f t="shared" si="12"/>
        <v>30</v>
      </c>
      <c r="Y34" s="32" t="str">
        <f t="shared" si="8"/>
        <v>Y</v>
      </c>
      <c r="Z34" s="16" t="str">
        <f t="shared" si="9"/>
        <v/>
      </c>
    </row>
    <row r="35">
      <c r="A35" s="32">
        <f t="shared" si="10"/>
        <v>31</v>
      </c>
      <c r="B35" s="33" t="s">
        <v>99</v>
      </c>
      <c r="C35" s="34">
        <v>143.0</v>
      </c>
      <c r="D35" s="34">
        <v>11.0</v>
      </c>
      <c r="E35" s="35">
        <f t="shared" si="2"/>
        <v>12.25</v>
      </c>
      <c r="F35" s="95">
        <v>3.0</v>
      </c>
      <c r="G35" s="96">
        <v>0.0</v>
      </c>
      <c r="H35" s="97">
        <v>9.0</v>
      </c>
      <c r="I35" s="96">
        <v>0.0</v>
      </c>
      <c r="J35" s="96">
        <v>0.0</v>
      </c>
      <c r="K35" s="96">
        <v>0.0</v>
      </c>
      <c r="L35" s="98">
        <v>9.0</v>
      </c>
      <c r="M35" s="96">
        <v>0.0</v>
      </c>
      <c r="N35" s="34">
        <f t="shared" ref="N35:O35" si="40">C35+L35</f>
        <v>152</v>
      </c>
      <c r="O35" s="34">
        <f t="shared" si="40"/>
        <v>11</v>
      </c>
      <c r="P35" s="49" t="s">
        <v>58</v>
      </c>
      <c r="Q35" s="49" t="s">
        <v>58</v>
      </c>
      <c r="R35" s="49"/>
      <c r="S35" s="50">
        <f t="shared" si="4"/>
        <v>8</v>
      </c>
      <c r="T35" s="52">
        <f t="shared" si="5"/>
        <v>0</v>
      </c>
      <c r="U35" s="52"/>
      <c r="V35" s="50">
        <f t="shared" si="6"/>
        <v>5</v>
      </c>
      <c r="W35" s="52">
        <f t="shared" si="7"/>
        <v>-5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96</v>
      </c>
      <c r="C36" s="34">
        <v>143.0</v>
      </c>
      <c r="D36" s="34">
        <v>11.0</v>
      </c>
      <c r="E36" s="35">
        <f t="shared" si="2"/>
        <v>11.36363636</v>
      </c>
      <c r="F36" s="95">
        <v>2.0</v>
      </c>
      <c r="G36" s="96">
        <v>5.0</v>
      </c>
      <c r="H36" s="97">
        <v>0.0</v>
      </c>
      <c r="I36" s="96">
        <v>6.0</v>
      </c>
      <c r="J36" s="96">
        <v>6.0</v>
      </c>
      <c r="K36" s="96">
        <v>1.0</v>
      </c>
      <c r="L36" s="98">
        <v>13.0</v>
      </c>
      <c r="M36" s="96">
        <v>1.0</v>
      </c>
      <c r="N36" s="34">
        <f t="shared" ref="N36:O36" si="41">C36+L36</f>
        <v>156</v>
      </c>
      <c r="O36" s="34">
        <f t="shared" si="41"/>
        <v>12</v>
      </c>
      <c r="P36" s="49" t="s">
        <v>58</v>
      </c>
      <c r="Q36" s="49" t="s">
        <v>58</v>
      </c>
      <c r="R36" s="49"/>
      <c r="S36" s="50">
        <f t="shared" si="4"/>
        <v>11</v>
      </c>
      <c r="T36" s="52">
        <f t="shared" si="5"/>
        <v>0</v>
      </c>
      <c r="U36" s="52"/>
      <c r="V36" s="50">
        <f t="shared" si="6"/>
        <v>2</v>
      </c>
      <c r="W36" s="52">
        <f t="shared" si="7"/>
        <v>-5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137</v>
      </c>
      <c r="C37" s="34">
        <v>142.0</v>
      </c>
      <c r="D37" s="34">
        <v>10.0</v>
      </c>
      <c r="E37" s="35">
        <f t="shared" si="2"/>
        <v>11.77777778</v>
      </c>
      <c r="F37" s="95">
        <v>1.0</v>
      </c>
      <c r="G37" s="96">
        <v>5.0</v>
      </c>
      <c r="H37" s="97">
        <v>0.0</v>
      </c>
      <c r="I37" s="96">
        <v>7.0</v>
      </c>
      <c r="J37" s="96">
        <v>1.0</v>
      </c>
      <c r="K37" s="96">
        <v>1.0</v>
      </c>
      <c r="L37" s="98">
        <v>9.0</v>
      </c>
      <c r="M37" s="96">
        <v>1.0</v>
      </c>
      <c r="N37" s="34">
        <f t="shared" ref="N37:O37" si="42">C37+L37</f>
        <v>151</v>
      </c>
      <c r="O37" s="34">
        <f t="shared" si="42"/>
        <v>11</v>
      </c>
      <c r="P37" s="49" t="s">
        <v>58</v>
      </c>
      <c r="Q37" s="49" t="s">
        <v>58</v>
      </c>
      <c r="R37" s="49"/>
      <c r="S37" s="50">
        <f t="shared" si="4"/>
        <v>9</v>
      </c>
      <c r="T37" s="52">
        <f t="shared" si="5"/>
        <v>0</v>
      </c>
      <c r="U37" s="52"/>
      <c r="V37" s="50">
        <f t="shared" si="6"/>
        <v>4</v>
      </c>
      <c r="W37" s="52">
        <f t="shared" si="7"/>
        <v>3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93</v>
      </c>
      <c r="C38" s="34">
        <v>141.0</v>
      </c>
      <c r="D38" s="34">
        <v>10.0</v>
      </c>
      <c r="E38" s="35">
        <f t="shared" si="2"/>
        <v>13.8</v>
      </c>
      <c r="F38" s="95">
        <v>1.0</v>
      </c>
      <c r="G38" s="96">
        <v>6.0</v>
      </c>
      <c r="H38" s="97">
        <v>0.0</v>
      </c>
      <c r="I38" s="96">
        <v>6.0</v>
      </c>
      <c r="J38" s="96">
        <v>6.0</v>
      </c>
      <c r="K38" s="96">
        <v>3.0</v>
      </c>
      <c r="L38" s="98">
        <v>15.0</v>
      </c>
      <c r="M38" s="96">
        <v>2.0</v>
      </c>
      <c r="N38" s="34">
        <f t="shared" ref="N38:O38" si="43">C38+L38</f>
        <v>156</v>
      </c>
      <c r="O38" s="34">
        <f t="shared" si="43"/>
        <v>12</v>
      </c>
      <c r="P38" s="49" t="s">
        <v>58</v>
      </c>
      <c r="Q38" s="49" t="s">
        <v>58</v>
      </c>
      <c r="R38" s="49"/>
      <c r="S38" s="50">
        <f t="shared" si="4"/>
        <v>5</v>
      </c>
      <c r="T38" s="52">
        <f t="shared" si="5"/>
        <v>0</v>
      </c>
      <c r="U38" s="52"/>
      <c r="V38" s="50">
        <f t="shared" si="6"/>
        <v>8</v>
      </c>
      <c r="W38" s="52">
        <f t="shared" si="7"/>
        <v>6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138</v>
      </c>
      <c r="C39" s="34">
        <v>140.0</v>
      </c>
      <c r="D39" s="34">
        <v>10.0</v>
      </c>
      <c r="E39" s="35">
        <f t="shared" si="2"/>
        <v>11.875</v>
      </c>
      <c r="F39" s="95">
        <v>2.0</v>
      </c>
      <c r="G39" s="96">
        <v>6.0</v>
      </c>
      <c r="H39" s="97">
        <v>0.0</v>
      </c>
      <c r="I39" s="96">
        <v>2.0</v>
      </c>
      <c r="J39" s="96">
        <v>6.0</v>
      </c>
      <c r="K39" s="96">
        <v>6.0</v>
      </c>
      <c r="L39" s="98">
        <v>14.0</v>
      </c>
      <c r="M39" s="96">
        <v>2.0</v>
      </c>
      <c r="N39" s="34">
        <f t="shared" ref="N39:O39" si="44">C39+L39</f>
        <v>154</v>
      </c>
      <c r="O39" s="34">
        <f t="shared" si="44"/>
        <v>12</v>
      </c>
      <c r="P39" s="49" t="s">
        <v>58</v>
      </c>
      <c r="Q39" s="49" t="s">
        <v>58</v>
      </c>
      <c r="R39" s="49"/>
      <c r="S39" s="50">
        <f t="shared" si="4"/>
        <v>8</v>
      </c>
      <c r="T39" s="52">
        <f t="shared" si="5"/>
        <v>0</v>
      </c>
      <c r="U39" s="52"/>
      <c r="V39" s="50">
        <f t="shared" si="6"/>
        <v>5</v>
      </c>
      <c r="W39" s="52">
        <f t="shared" si="7"/>
        <v>-4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132</v>
      </c>
      <c r="C40" s="34">
        <v>139.0</v>
      </c>
      <c r="D40" s="34">
        <v>10.0</v>
      </c>
      <c r="E40" s="35">
        <f t="shared" si="2"/>
        <v>12.66666667</v>
      </c>
      <c r="F40" s="95">
        <v>3.0</v>
      </c>
      <c r="G40" s="96">
        <v>0.0</v>
      </c>
      <c r="H40" s="97">
        <v>9.0</v>
      </c>
      <c r="I40" s="96">
        <v>0.0</v>
      </c>
      <c r="J40" s="96">
        <v>0.0</v>
      </c>
      <c r="K40" s="96">
        <v>0.0</v>
      </c>
      <c r="L40" s="98">
        <v>9.0</v>
      </c>
      <c r="M40" s="96">
        <v>0.0</v>
      </c>
      <c r="N40" s="34">
        <f t="shared" ref="N40:O40" si="45">C40+L40</f>
        <v>148</v>
      </c>
      <c r="O40" s="34">
        <f t="shared" si="45"/>
        <v>10</v>
      </c>
      <c r="P40" s="49" t="s">
        <v>58</v>
      </c>
      <c r="Q40" s="49" t="s">
        <v>58</v>
      </c>
      <c r="R40" s="49"/>
      <c r="S40" s="50">
        <f t="shared" si="4"/>
        <v>6</v>
      </c>
      <c r="T40" s="52">
        <f t="shared" si="5"/>
        <v>0</v>
      </c>
      <c r="U40" s="52"/>
      <c r="V40" s="50">
        <f t="shared" si="6"/>
        <v>7</v>
      </c>
      <c r="W40" s="52">
        <f t="shared" si="7"/>
        <v>-4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60</v>
      </c>
      <c r="C41" s="34">
        <v>137.0</v>
      </c>
      <c r="D41" s="34">
        <v>13.0</v>
      </c>
      <c r="E41" s="35">
        <f t="shared" si="2"/>
        <v>10.81818182</v>
      </c>
      <c r="F41" s="95">
        <v>1.0</v>
      </c>
      <c r="G41" s="96">
        <v>6.0</v>
      </c>
      <c r="H41" s="97">
        <v>0.0</v>
      </c>
      <c r="I41" s="96">
        <v>6.0</v>
      </c>
      <c r="J41" s="96">
        <v>2.0</v>
      </c>
      <c r="K41" s="96">
        <v>6.0</v>
      </c>
      <c r="L41" s="98">
        <v>14.0</v>
      </c>
      <c r="M41" s="96">
        <v>2.0</v>
      </c>
      <c r="N41" s="34">
        <f t="shared" ref="N41:O41" si="46">C41+L41</f>
        <v>151</v>
      </c>
      <c r="O41" s="34">
        <f t="shared" si="46"/>
        <v>15</v>
      </c>
      <c r="P41" s="49" t="s">
        <v>58</v>
      </c>
      <c r="Q41" s="49" t="s">
        <v>58</v>
      </c>
      <c r="R41" s="49"/>
      <c r="S41" s="50">
        <f t="shared" si="4"/>
        <v>11</v>
      </c>
      <c r="T41" s="52">
        <f t="shared" si="5"/>
        <v>0</v>
      </c>
      <c r="U41" s="52"/>
      <c r="V41" s="50">
        <f t="shared" si="6"/>
        <v>2</v>
      </c>
      <c r="W41" s="52">
        <f t="shared" si="7"/>
        <v>-2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108</v>
      </c>
      <c r="C42" s="34">
        <v>137.0</v>
      </c>
      <c r="D42" s="34">
        <v>7.0</v>
      </c>
      <c r="E42" s="35">
        <f t="shared" si="2"/>
        <v>10.81818182</v>
      </c>
      <c r="F42" s="95">
        <v>1.0</v>
      </c>
      <c r="G42" s="96">
        <v>6.0</v>
      </c>
      <c r="H42" s="97">
        <v>0.0</v>
      </c>
      <c r="I42" s="96">
        <v>2.0</v>
      </c>
      <c r="J42" s="96">
        <v>2.0</v>
      </c>
      <c r="K42" s="96">
        <v>3.0</v>
      </c>
      <c r="L42" s="98">
        <v>7.0</v>
      </c>
      <c r="M42" s="96">
        <v>0.0</v>
      </c>
      <c r="N42" s="34">
        <f t="shared" ref="N42:O42" si="47">C42+L42</f>
        <v>144</v>
      </c>
      <c r="O42" s="34">
        <f t="shared" si="47"/>
        <v>7</v>
      </c>
      <c r="P42" s="49" t="s">
        <v>58</v>
      </c>
      <c r="Q42" s="49" t="s">
        <v>58</v>
      </c>
      <c r="R42" s="49"/>
      <c r="S42" s="50">
        <f t="shared" si="4"/>
        <v>11</v>
      </c>
      <c r="T42" s="52">
        <f t="shared" si="5"/>
        <v>0</v>
      </c>
      <c r="U42" s="52"/>
      <c r="V42" s="50">
        <f t="shared" si="6"/>
        <v>2</v>
      </c>
      <c r="W42" s="52">
        <f t="shared" si="7"/>
        <v>-1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135</v>
      </c>
      <c r="C43" s="34">
        <v>134.0</v>
      </c>
      <c r="D43" s="34">
        <v>11.0</v>
      </c>
      <c r="E43" s="35">
        <f t="shared" si="2"/>
        <v>11.42857143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143</v>
      </c>
      <c r="O43" s="34">
        <f t="shared" si="48"/>
        <v>11</v>
      </c>
      <c r="P43" s="49" t="s">
        <v>58</v>
      </c>
      <c r="Q43" s="49" t="s">
        <v>58</v>
      </c>
      <c r="R43" s="49"/>
      <c r="S43" s="50">
        <f t="shared" si="4"/>
        <v>7</v>
      </c>
      <c r="T43" s="52">
        <f t="shared" si="5"/>
        <v>0</v>
      </c>
      <c r="U43" s="52"/>
      <c r="V43" s="50">
        <f t="shared" si="6"/>
        <v>6</v>
      </c>
      <c r="W43" s="52">
        <f t="shared" si="7"/>
        <v>2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122</v>
      </c>
      <c r="C44" s="34">
        <v>134.0</v>
      </c>
      <c r="D44" s="34">
        <v>8.0</v>
      </c>
      <c r="E44" s="35">
        <f t="shared" si="2"/>
        <v>11.83333333</v>
      </c>
      <c r="F44" s="95">
        <v>1.0</v>
      </c>
      <c r="G44" s="96">
        <v>7.0</v>
      </c>
      <c r="H44" s="97">
        <v>0.0</v>
      </c>
      <c r="I44" s="96">
        <v>7.0</v>
      </c>
      <c r="J44" s="96">
        <v>6.0</v>
      </c>
      <c r="K44" s="96">
        <v>6.0</v>
      </c>
      <c r="L44" s="98">
        <v>19.0</v>
      </c>
      <c r="M44" s="96">
        <v>3.0</v>
      </c>
      <c r="N44" s="34">
        <f t="shared" ref="N44:O44" si="49">C44+L44</f>
        <v>153</v>
      </c>
      <c r="O44" s="34">
        <f t="shared" si="49"/>
        <v>11</v>
      </c>
      <c r="P44" s="49" t="s">
        <v>58</v>
      </c>
      <c r="Q44" s="49" t="s">
        <v>58</v>
      </c>
      <c r="R44" s="49"/>
      <c r="S44" s="50">
        <f t="shared" si="4"/>
        <v>6</v>
      </c>
      <c r="T44" s="52">
        <f t="shared" si="5"/>
        <v>0</v>
      </c>
      <c r="U44" s="52"/>
      <c r="V44" s="50">
        <f t="shared" si="6"/>
        <v>7</v>
      </c>
      <c r="W44" s="52">
        <f t="shared" si="7"/>
        <v>-2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47</v>
      </c>
      <c r="C45" s="34">
        <v>133.0</v>
      </c>
      <c r="D45" s="34">
        <v>8.0</v>
      </c>
      <c r="E45" s="35">
        <f t="shared" si="2"/>
        <v>14.33333333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142</v>
      </c>
      <c r="O45" s="34">
        <f t="shared" si="50"/>
        <v>8</v>
      </c>
      <c r="P45" s="49" t="s">
        <v>58</v>
      </c>
      <c r="Q45" s="49" t="s">
        <v>58</v>
      </c>
      <c r="R45" s="49"/>
      <c r="S45" s="50">
        <f t="shared" si="4"/>
        <v>3</v>
      </c>
      <c r="T45" s="52">
        <f t="shared" si="5"/>
        <v>0</v>
      </c>
      <c r="U45" s="52"/>
      <c r="V45" s="50">
        <f t="shared" si="6"/>
        <v>10</v>
      </c>
      <c r="W45" s="52">
        <f t="shared" si="7"/>
        <v>-2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72</v>
      </c>
      <c r="C46" s="34">
        <v>128.0</v>
      </c>
      <c r="D46" s="34">
        <v>7.0</v>
      </c>
      <c r="E46" s="35">
        <f t="shared" si="2"/>
        <v>10</v>
      </c>
      <c r="F46" s="95">
        <v>2.0</v>
      </c>
      <c r="G46" s="96">
        <v>7.0</v>
      </c>
      <c r="H46" s="97">
        <v>0.0</v>
      </c>
      <c r="I46" s="96">
        <v>5.0</v>
      </c>
      <c r="J46" s="96">
        <v>2.0</v>
      </c>
      <c r="K46" s="96">
        <v>6.0</v>
      </c>
      <c r="L46" s="98">
        <v>13.0</v>
      </c>
      <c r="M46" s="96">
        <v>1.0</v>
      </c>
      <c r="N46" s="34">
        <f t="shared" ref="N46:O46" si="51">C46+L46</f>
        <v>141</v>
      </c>
      <c r="O46" s="34">
        <f t="shared" si="51"/>
        <v>8</v>
      </c>
      <c r="P46" s="49" t="s">
        <v>58</v>
      </c>
      <c r="Q46" s="49" t="s">
        <v>58</v>
      </c>
      <c r="R46" s="49"/>
      <c r="S46" s="50">
        <f t="shared" si="4"/>
        <v>7</v>
      </c>
      <c r="T46" s="52">
        <f t="shared" si="5"/>
        <v>1</v>
      </c>
      <c r="U46" s="52"/>
      <c r="V46" s="50">
        <f t="shared" si="6"/>
        <v>5</v>
      </c>
      <c r="W46" s="52">
        <f t="shared" si="7"/>
        <v>0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129</v>
      </c>
      <c r="C47" s="34">
        <v>127.0</v>
      </c>
      <c r="D47" s="34">
        <v>11.0</v>
      </c>
      <c r="E47" s="35">
        <f t="shared" si="2"/>
        <v>10</v>
      </c>
      <c r="F47" s="95">
        <v>1.0</v>
      </c>
      <c r="G47" s="96">
        <v>7.0</v>
      </c>
      <c r="H47" s="97">
        <v>0.0</v>
      </c>
      <c r="I47" s="96">
        <v>7.0</v>
      </c>
      <c r="J47" s="96">
        <v>2.0</v>
      </c>
      <c r="K47" s="96">
        <v>2.0</v>
      </c>
      <c r="L47" s="98">
        <v>11.0</v>
      </c>
      <c r="M47" s="96">
        <v>1.0</v>
      </c>
      <c r="N47" s="34">
        <f t="shared" ref="N47:O47" si="52">C47+L47</f>
        <v>138</v>
      </c>
      <c r="O47" s="34">
        <f t="shared" si="52"/>
        <v>12</v>
      </c>
      <c r="P47" s="49" t="s">
        <v>58</v>
      </c>
      <c r="Q47" s="49" t="s">
        <v>58</v>
      </c>
      <c r="R47" s="49"/>
      <c r="S47" s="50">
        <f t="shared" si="4"/>
        <v>10</v>
      </c>
      <c r="T47" s="52">
        <f t="shared" si="5"/>
        <v>0</v>
      </c>
      <c r="U47" s="52"/>
      <c r="V47" s="50">
        <f t="shared" si="6"/>
        <v>3</v>
      </c>
      <c r="W47" s="52">
        <f t="shared" si="7"/>
        <v>0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126.0</v>
      </c>
      <c r="D48" s="34">
        <v>12.0</v>
      </c>
      <c r="E48" s="35">
        <f t="shared" si="2"/>
        <v>9.9</v>
      </c>
      <c r="F48" s="95">
        <v>1.0</v>
      </c>
      <c r="G48" s="96">
        <v>7.0</v>
      </c>
      <c r="H48" s="97">
        <v>0.0</v>
      </c>
      <c r="I48" s="96">
        <v>5.0</v>
      </c>
      <c r="J48" s="96">
        <v>6.0</v>
      </c>
      <c r="K48" s="96">
        <v>2.0</v>
      </c>
      <c r="L48" s="98">
        <v>13.0</v>
      </c>
      <c r="M48" s="96">
        <v>1.0</v>
      </c>
      <c r="N48" s="34">
        <f t="shared" ref="N48:O48" si="53">C48+L48</f>
        <v>139</v>
      </c>
      <c r="O48" s="34">
        <f t="shared" si="53"/>
        <v>13</v>
      </c>
      <c r="P48" s="49" t="s">
        <v>58</v>
      </c>
      <c r="Q48" s="49" t="s">
        <v>58</v>
      </c>
      <c r="R48" s="49"/>
      <c r="S48" s="50">
        <f t="shared" si="4"/>
        <v>10</v>
      </c>
      <c r="T48" s="52">
        <f t="shared" si="5"/>
        <v>0</v>
      </c>
      <c r="U48" s="52"/>
      <c r="V48" s="50">
        <f t="shared" si="6"/>
        <v>3</v>
      </c>
      <c r="W48" s="52">
        <f t="shared" si="7"/>
        <v>0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143</v>
      </c>
      <c r="C49" s="34">
        <v>126.0</v>
      </c>
      <c r="D49" s="34">
        <v>5.0</v>
      </c>
      <c r="E49" s="35">
        <f t="shared" si="2"/>
        <v>12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4">C49+L49</f>
        <v>135</v>
      </c>
      <c r="O49" s="34">
        <f t="shared" si="54"/>
        <v>5</v>
      </c>
      <c r="P49" s="49" t="s">
        <v>58</v>
      </c>
      <c r="Q49" s="49" t="s">
        <v>58</v>
      </c>
      <c r="R49" s="49"/>
      <c r="S49" s="50">
        <f t="shared" si="4"/>
        <v>3</v>
      </c>
      <c r="T49" s="52">
        <f t="shared" si="5"/>
        <v>0</v>
      </c>
      <c r="U49" s="52"/>
      <c r="V49" s="50">
        <f t="shared" si="6"/>
        <v>10</v>
      </c>
      <c r="W49" s="52">
        <f t="shared" si="7"/>
        <v>0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75</v>
      </c>
      <c r="C50" s="34">
        <v>126.0</v>
      </c>
      <c r="D50" s="34">
        <v>5.0</v>
      </c>
      <c r="E50" s="35">
        <f t="shared" si="2"/>
        <v>11.25</v>
      </c>
      <c r="F50" s="95">
        <v>1.0</v>
      </c>
      <c r="G50" s="96">
        <v>8.0</v>
      </c>
      <c r="H50" s="97">
        <v>0.0</v>
      </c>
      <c r="I50" s="96">
        <v>6.0</v>
      </c>
      <c r="J50" s="96">
        <v>6.0</v>
      </c>
      <c r="K50" s="96">
        <v>6.0</v>
      </c>
      <c r="L50" s="98">
        <v>18.0</v>
      </c>
      <c r="M50" s="96">
        <v>2.0</v>
      </c>
      <c r="N50" s="34">
        <f t="shared" ref="N50:O50" si="55">C50+L50</f>
        <v>144</v>
      </c>
      <c r="O50" s="34">
        <f t="shared" si="55"/>
        <v>7</v>
      </c>
      <c r="P50" s="49" t="s">
        <v>58</v>
      </c>
      <c r="Q50" s="49" t="s">
        <v>58</v>
      </c>
      <c r="R50" s="49"/>
      <c r="S50" s="50">
        <f t="shared" si="4"/>
        <v>4</v>
      </c>
      <c r="T50" s="52">
        <f t="shared" si="5"/>
        <v>0</v>
      </c>
      <c r="U50" s="52"/>
      <c r="V50" s="50">
        <f t="shared" si="6"/>
        <v>9</v>
      </c>
      <c r="W50" s="52">
        <f t="shared" si="7"/>
        <v>6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105</v>
      </c>
      <c r="C51" s="34">
        <v>124.0</v>
      </c>
      <c r="D51" s="34">
        <v>6.0</v>
      </c>
      <c r="E51" s="35">
        <f t="shared" si="2"/>
        <v>11.33333333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133</v>
      </c>
      <c r="O51" s="34">
        <f t="shared" si="56"/>
        <v>6</v>
      </c>
      <c r="P51" s="49" t="s">
        <v>58</v>
      </c>
      <c r="Q51" s="49" t="s">
        <v>58</v>
      </c>
      <c r="R51" s="49"/>
      <c r="S51" s="50">
        <f t="shared" si="4"/>
        <v>3</v>
      </c>
      <c r="T51" s="52">
        <f t="shared" si="5"/>
        <v>0</v>
      </c>
      <c r="U51" s="52"/>
      <c r="V51" s="50">
        <f t="shared" si="6"/>
        <v>10</v>
      </c>
      <c r="W51" s="52">
        <f t="shared" si="7"/>
        <v>-1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145</v>
      </c>
      <c r="C52" s="34">
        <v>123.0</v>
      </c>
      <c r="D52" s="34">
        <v>9.0</v>
      </c>
      <c r="E52" s="35">
        <f t="shared" si="2"/>
        <v>9.75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132</v>
      </c>
      <c r="O52" s="34">
        <f t="shared" si="57"/>
        <v>9</v>
      </c>
      <c r="P52" s="49" t="s">
        <v>58</v>
      </c>
      <c r="Q52" s="49" t="s">
        <v>58</v>
      </c>
      <c r="R52" s="49"/>
      <c r="S52" s="50">
        <f t="shared" si="4"/>
        <v>8</v>
      </c>
      <c r="T52" s="52">
        <f t="shared" si="5"/>
        <v>0</v>
      </c>
      <c r="U52" s="52"/>
      <c r="V52" s="50">
        <f t="shared" si="6"/>
        <v>5</v>
      </c>
      <c r="W52" s="52">
        <f t="shared" si="7"/>
        <v>-1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144</v>
      </c>
      <c r="C53" s="34">
        <v>123.0</v>
      </c>
      <c r="D53" s="34">
        <v>6.0</v>
      </c>
      <c r="E53" s="35">
        <f t="shared" si="2"/>
        <v>9.333333333</v>
      </c>
      <c r="F53" s="95">
        <v>1.0</v>
      </c>
      <c r="G53" s="96">
        <v>8.0</v>
      </c>
      <c r="H53" s="97">
        <v>0.0</v>
      </c>
      <c r="I53" s="96">
        <v>6.0</v>
      </c>
      <c r="J53" s="96">
        <v>7.0</v>
      </c>
      <c r="K53" s="96">
        <v>0.0</v>
      </c>
      <c r="L53" s="98">
        <v>13.0</v>
      </c>
      <c r="M53" s="96">
        <v>2.0</v>
      </c>
      <c r="N53" s="34">
        <f t="shared" ref="N53:O53" si="58">C53+L53</f>
        <v>136</v>
      </c>
      <c r="O53" s="34">
        <f t="shared" si="58"/>
        <v>8</v>
      </c>
      <c r="P53" s="49" t="s">
        <v>58</v>
      </c>
      <c r="Q53" s="49" t="s">
        <v>58</v>
      </c>
      <c r="R53" s="49"/>
      <c r="S53" s="50">
        <f t="shared" si="4"/>
        <v>6</v>
      </c>
      <c r="T53" s="52">
        <f t="shared" si="5"/>
        <v>1</v>
      </c>
      <c r="U53" s="52"/>
      <c r="V53" s="50">
        <f t="shared" si="6"/>
        <v>6</v>
      </c>
      <c r="W53" s="52">
        <f t="shared" si="7"/>
        <v>0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142</v>
      </c>
      <c r="C54" s="34">
        <v>122.0</v>
      </c>
      <c r="D54" s="34">
        <v>10.0</v>
      </c>
      <c r="E54" s="35">
        <f t="shared" si="2"/>
        <v>9.555555556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131</v>
      </c>
      <c r="O54" s="34">
        <f t="shared" si="59"/>
        <v>10</v>
      </c>
      <c r="P54" s="49" t="s">
        <v>58</v>
      </c>
      <c r="Q54" s="49" t="s">
        <v>58</v>
      </c>
      <c r="R54" s="49"/>
      <c r="S54" s="50">
        <f t="shared" si="4"/>
        <v>9</v>
      </c>
      <c r="T54" s="52">
        <f t="shared" si="5"/>
        <v>0</v>
      </c>
      <c r="U54" s="52"/>
      <c r="V54" s="50">
        <f t="shared" si="6"/>
        <v>4</v>
      </c>
      <c r="W54" s="52">
        <f t="shared" si="7"/>
        <v>-2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69</v>
      </c>
      <c r="C55" s="34">
        <v>121.0</v>
      </c>
      <c r="D55" s="34">
        <v>5.0</v>
      </c>
      <c r="E55" s="35">
        <f t="shared" si="2"/>
        <v>11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130</v>
      </c>
      <c r="O55" s="34">
        <f t="shared" si="60"/>
        <v>5</v>
      </c>
      <c r="P55" s="49" t="s">
        <v>58</v>
      </c>
      <c r="Q55" s="49" t="s">
        <v>58</v>
      </c>
      <c r="R55" s="49"/>
      <c r="S55" s="50">
        <f t="shared" si="4"/>
        <v>2</v>
      </c>
      <c r="T55" s="52">
        <f t="shared" si="5"/>
        <v>0</v>
      </c>
      <c r="U55" s="52"/>
      <c r="V55" s="50">
        <f t="shared" si="6"/>
        <v>11</v>
      </c>
      <c r="W55" s="52">
        <f t="shared" si="7"/>
        <v>-1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139</v>
      </c>
      <c r="C56" s="34">
        <v>120.0</v>
      </c>
      <c r="D56" s="34">
        <v>8.0</v>
      </c>
      <c r="E56" s="35">
        <f t="shared" si="2"/>
        <v>9.333333333</v>
      </c>
      <c r="F56" s="95">
        <v>1.0</v>
      </c>
      <c r="G56" s="96">
        <v>8.0</v>
      </c>
      <c r="H56" s="97">
        <v>0.0</v>
      </c>
      <c r="I56" s="96">
        <v>3.0</v>
      </c>
      <c r="J56" s="96">
        <v>7.0</v>
      </c>
      <c r="K56" s="96">
        <v>6.0</v>
      </c>
      <c r="L56" s="98">
        <v>16.0</v>
      </c>
      <c r="M56" s="96">
        <v>2.0</v>
      </c>
      <c r="N56" s="34">
        <f t="shared" ref="N56:O56" si="61">C56+L56</f>
        <v>136</v>
      </c>
      <c r="O56" s="34">
        <f t="shared" si="61"/>
        <v>10</v>
      </c>
      <c r="P56" s="49" t="s">
        <v>58</v>
      </c>
      <c r="Q56" s="49" t="s">
        <v>58</v>
      </c>
      <c r="R56" s="49"/>
      <c r="S56" s="50">
        <f t="shared" si="4"/>
        <v>9</v>
      </c>
      <c r="T56" s="52">
        <f t="shared" si="5"/>
        <v>0</v>
      </c>
      <c r="U56" s="52"/>
      <c r="V56" s="50">
        <f t="shared" si="6"/>
        <v>4</v>
      </c>
      <c r="W56" s="52">
        <f t="shared" si="7"/>
        <v>-1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95</v>
      </c>
      <c r="C57" s="34">
        <v>118.0</v>
      </c>
      <c r="D57" s="34">
        <v>3.0</v>
      </c>
      <c r="E57" s="35">
        <f t="shared" si="2"/>
        <v>7.5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127</v>
      </c>
      <c r="O57" s="34">
        <f t="shared" si="62"/>
        <v>3</v>
      </c>
      <c r="P57" s="49" t="s">
        <v>58</v>
      </c>
      <c r="Q57" s="49" t="s">
        <v>58</v>
      </c>
      <c r="R57" s="49"/>
      <c r="S57" s="50">
        <f t="shared" si="4"/>
        <v>2</v>
      </c>
      <c r="T57" s="52">
        <f t="shared" si="5"/>
        <v>1</v>
      </c>
      <c r="U57" s="52"/>
      <c r="V57" s="50">
        <f t="shared" si="6"/>
        <v>10</v>
      </c>
      <c r="W57" s="52">
        <f t="shared" si="7"/>
        <v>3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121</v>
      </c>
      <c r="C58" s="34">
        <v>117.0</v>
      </c>
      <c r="D58" s="34">
        <v>3.0</v>
      </c>
      <c r="E58" s="35">
        <f t="shared" si="2"/>
        <v>5</v>
      </c>
      <c r="F58" s="95">
        <v>5.0</v>
      </c>
      <c r="G58" s="96">
        <v>0.0</v>
      </c>
      <c r="H58" s="97">
        <v>13.0</v>
      </c>
      <c r="I58" s="96">
        <v>0.0</v>
      </c>
      <c r="J58" s="96">
        <v>0.0</v>
      </c>
      <c r="K58" s="96">
        <v>0.0</v>
      </c>
      <c r="L58" s="98">
        <v>13.0</v>
      </c>
      <c r="M58" s="96">
        <v>0.0</v>
      </c>
      <c r="N58" s="34">
        <f t="shared" ref="N58:O58" si="63">C58+L58</f>
        <v>130</v>
      </c>
      <c r="O58" s="34">
        <f t="shared" si="63"/>
        <v>3</v>
      </c>
      <c r="P58" s="49" t="s">
        <v>58</v>
      </c>
      <c r="Q58" s="49" t="s">
        <v>58</v>
      </c>
      <c r="R58" s="49"/>
      <c r="S58" s="50">
        <f t="shared" si="4"/>
        <v>1</v>
      </c>
      <c r="T58" s="52">
        <f t="shared" si="5"/>
        <v>1</v>
      </c>
      <c r="U58" s="52"/>
      <c r="V58" s="50">
        <f t="shared" si="6"/>
        <v>11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148</v>
      </c>
      <c r="C59" s="34">
        <v>116.0</v>
      </c>
      <c r="D59" s="34">
        <v>1.0</v>
      </c>
      <c r="E59" s="35">
        <f t="shared" si="2"/>
        <v>7.75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4">C59+L59</f>
        <v>125</v>
      </c>
      <c r="O59" s="34">
        <f t="shared" si="64"/>
        <v>1</v>
      </c>
      <c r="P59" s="49" t="s">
        <v>58</v>
      </c>
      <c r="Q59" s="49" t="s">
        <v>58</v>
      </c>
      <c r="R59" s="49"/>
      <c r="S59" s="50">
        <f t="shared" si="4"/>
        <v>4</v>
      </c>
      <c r="T59" s="52">
        <f t="shared" si="5"/>
        <v>1</v>
      </c>
      <c r="U59" s="52"/>
      <c r="V59" s="50">
        <f t="shared" si="6"/>
        <v>8</v>
      </c>
      <c r="W59" s="52">
        <f t="shared" si="7"/>
        <v>-1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141</v>
      </c>
      <c r="C60" s="34">
        <v>114.0</v>
      </c>
      <c r="D60" s="34">
        <v>3.0</v>
      </c>
      <c r="E60" s="35">
        <f t="shared" si="2"/>
        <v>7.5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123</v>
      </c>
      <c r="O60" s="34">
        <f t="shared" si="65"/>
        <v>3</v>
      </c>
      <c r="P60" s="49" t="s">
        <v>58</v>
      </c>
      <c r="Q60" s="49" t="s">
        <v>58</v>
      </c>
      <c r="R60" s="49"/>
      <c r="S60" s="50">
        <f t="shared" si="4"/>
        <v>2</v>
      </c>
      <c r="T60" s="52">
        <f t="shared" si="5"/>
        <v>0</v>
      </c>
      <c r="U60" s="52"/>
      <c r="V60" s="50">
        <f t="shared" si="6"/>
        <v>11</v>
      </c>
      <c r="W60" s="52">
        <f t="shared" si="7"/>
        <v>6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140</v>
      </c>
      <c r="C61" s="34">
        <v>112.0</v>
      </c>
      <c r="D61" s="34">
        <v>2.0</v>
      </c>
      <c r="E61" s="35">
        <f t="shared" si="2"/>
        <v>4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121</v>
      </c>
      <c r="O61" s="34">
        <f t="shared" si="66"/>
        <v>2</v>
      </c>
      <c r="P61" s="49" t="s">
        <v>58</v>
      </c>
      <c r="Q61" s="49" t="s">
        <v>58</v>
      </c>
      <c r="R61" s="49"/>
      <c r="S61" s="50">
        <f t="shared" si="4"/>
        <v>1</v>
      </c>
      <c r="T61" s="52">
        <f t="shared" si="5"/>
        <v>0</v>
      </c>
      <c r="U61" s="52"/>
      <c r="V61" s="50">
        <f t="shared" si="6"/>
        <v>12</v>
      </c>
      <c r="W61" s="52">
        <f t="shared" si="7"/>
        <v>-2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101</v>
      </c>
      <c r="C62" s="34">
        <v>111.0</v>
      </c>
      <c r="D62" s="34">
        <v>3.0</v>
      </c>
      <c r="E62" s="35">
        <f t="shared" si="2"/>
        <v>8.142857143</v>
      </c>
      <c r="F62" s="95">
        <v>1.0</v>
      </c>
      <c r="G62" s="96">
        <v>8.0</v>
      </c>
      <c r="H62" s="97">
        <v>0.0</v>
      </c>
      <c r="I62" s="96">
        <v>3.0</v>
      </c>
      <c r="J62" s="96">
        <v>6.0</v>
      </c>
      <c r="K62" s="96">
        <v>0.0</v>
      </c>
      <c r="L62" s="98">
        <v>9.0</v>
      </c>
      <c r="M62" s="96">
        <v>0.0</v>
      </c>
      <c r="N62" s="34">
        <f t="shared" ref="N62:O62" si="67">C62+L62</f>
        <v>120</v>
      </c>
      <c r="O62" s="34">
        <f t="shared" si="67"/>
        <v>3</v>
      </c>
      <c r="P62" s="49" t="s">
        <v>58</v>
      </c>
      <c r="Q62" s="49" t="s">
        <v>58</v>
      </c>
      <c r="R62" s="49"/>
      <c r="S62" s="50">
        <f t="shared" si="4"/>
        <v>7</v>
      </c>
      <c r="T62" s="52">
        <f t="shared" si="5"/>
        <v>0</v>
      </c>
      <c r="U62" s="52"/>
      <c r="V62" s="50">
        <f t="shared" si="6"/>
        <v>6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147</v>
      </c>
      <c r="C63" s="34">
        <v>110.0</v>
      </c>
      <c r="D63" s="34">
        <v>2.0</v>
      </c>
      <c r="E63" s="35">
        <f t="shared" si="2"/>
        <v>5.5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8">C63+L63</f>
        <v>119</v>
      </c>
      <c r="O63" s="34">
        <f t="shared" si="68"/>
        <v>2</v>
      </c>
      <c r="P63" s="49" t="s">
        <v>58</v>
      </c>
      <c r="Q63" s="49" t="s">
        <v>58</v>
      </c>
      <c r="R63" s="49"/>
      <c r="S63" s="50">
        <f t="shared" si="4"/>
        <v>2</v>
      </c>
      <c r="T63" s="52">
        <f t="shared" si="5"/>
        <v>0</v>
      </c>
      <c r="U63" s="52"/>
      <c r="V63" s="50">
        <f t="shared" si="6"/>
        <v>11</v>
      </c>
      <c r="W63" s="52">
        <f t="shared" si="7"/>
        <v>-2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130</v>
      </c>
      <c r="C64" s="34">
        <v>108.0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117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13</v>
      </c>
      <c r="W64" s="52">
        <f t="shared" si="7"/>
        <v>-1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104</v>
      </c>
      <c r="C65" s="34">
        <v>108.0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117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13</v>
      </c>
      <c r="W65" s="52">
        <f t="shared" si="7"/>
        <v>-1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131</v>
      </c>
      <c r="C66" s="34">
        <v>108.0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117</v>
      </c>
      <c r="O66" s="34">
        <f t="shared" si="71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13</v>
      </c>
      <c r="W66" s="52">
        <f t="shared" si="7"/>
        <v>-1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146</v>
      </c>
      <c r="C67" s="34">
        <v>105.0</v>
      </c>
      <c r="D67" s="34">
        <v>2.0</v>
      </c>
      <c r="E67" s="35">
        <f t="shared" si="2"/>
        <v>3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114</v>
      </c>
      <c r="O67" s="34">
        <f t="shared" si="72"/>
        <v>2</v>
      </c>
      <c r="P67" s="49" t="s">
        <v>58</v>
      </c>
      <c r="Q67" s="49" t="s">
        <v>58</v>
      </c>
      <c r="R67" s="49"/>
      <c r="S67" s="50">
        <f t="shared" si="4"/>
        <v>2</v>
      </c>
      <c r="T67" s="52">
        <f t="shared" si="5"/>
        <v>0</v>
      </c>
      <c r="U67" s="52"/>
      <c r="V67" s="50">
        <f t="shared" si="6"/>
        <v>11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102.0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111</v>
      </c>
      <c r="O68" s="34">
        <f t="shared" si="73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11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100.0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109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10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09/20/25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desc"",0)"),"Sandeep Kamalon")</f>
        <v>Sandeep Kamalon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IFERROR(__xludf.DUMMYFUNCTION("""COMPUTED_VALUE"""),2.0)</f>
        <v>2</v>
      </c>
      <c r="F81" s="1"/>
    </row>
    <row r="82">
      <c r="A82" s="1"/>
      <c r="B82" s="33" t="str">
        <f>IFERROR(__xludf.DUMMYFUNCTION("""COMPUTED_VALUE"""),"Matthew Huang")</f>
        <v>Matthew Huang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IFERROR(__xludf.DUMMYFUNCTION("""COMPUTED_VALUE"""),5.0)</f>
        <v>5</v>
      </c>
      <c r="F82" s="1"/>
    </row>
    <row r="83">
      <c r="A83" s="1"/>
      <c r="B83" s="33" t="str">
        <f>IFERROR(__xludf.DUMMYFUNCTION("""COMPUTED_VALUE"""),"Adrian Tay")</f>
        <v>Adrian Tay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IFERROR(__xludf.DUMMYFUNCTION("""COMPUTED_VALUE"""),1.0)</f>
        <v>1</v>
      </c>
      <c r="F83" s="1"/>
    </row>
    <row r="84">
      <c r="A84" s="1"/>
      <c r="B84" s="33" t="str">
        <f>IFERROR(__xludf.DUMMYFUNCTION("""COMPUTED_VALUE"""),"Cid Macaraeg")</f>
        <v>Cid Macaraeg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IFERROR(__xludf.DUMMYFUNCTION("""COMPUTED_VALUE"""),7.0)</f>
        <v>7</v>
      </c>
      <c r="F84" s="1"/>
    </row>
    <row r="85">
      <c r="A85" s="1"/>
      <c r="B85" s="33" t="str">
        <f>IFERROR(__xludf.DUMMYFUNCTION("""COMPUTED_VALUE"""),"Joe Luzzi")</f>
        <v>Joe Luzzi</v>
      </c>
      <c r="C85" s="117">
        <f>IFERROR(__xludf.DUMMYFUNCTION("""COMPUTED_VALUE"""),18.0)</f>
        <v>18</v>
      </c>
      <c r="D85" s="117">
        <f>IFERROR(__xludf.DUMMYFUNCTION("""COMPUTED_VALUE"""),2.0)</f>
        <v>2</v>
      </c>
      <c r="E85" s="117">
        <f>IFERROR(__xludf.DUMMYFUNCTION("""COMPUTED_VALUE"""),3.0)</f>
        <v>3</v>
      </c>
      <c r="F85" s="1"/>
    </row>
    <row r="86">
      <c r="A86" s="1"/>
      <c r="B86" s="33"/>
      <c r="C86" s="117"/>
      <c r="D86" s="117"/>
      <c r="E86" s="117"/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10"")"),"Joe Luzzi")</f>
        <v>Joe Luzzi</v>
      </c>
      <c r="C100" s="117">
        <f>IFERROR(__xludf.DUMMYFUNCTION("""COMPUTED_VALUE"""),10.0)</f>
        <v>10</v>
      </c>
      <c r="D100" s="117">
        <f t="shared" ref="D100:D109" si="75">VLOOKUP(B100,indirect($AC$2&amp;"!B$5:X$69"),23, false)</f>
        <v>16</v>
      </c>
      <c r="E100" s="117">
        <f t="shared" ref="E100:E109" si="76">VLOOKUP(B100,B$5:X$69,23, false)</f>
        <v>6</v>
      </c>
      <c r="F100" s="117">
        <f t="shared" ref="F100:F109" si="77">VLOOKUP(B100,indirect($AC$2&amp;"!B$5:U$70"),11, false)</f>
        <v>18</v>
      </c>
      <c r="G100" s="117">
        <f t="shared" ref="G100:G109" si="78">VLOOKUP(B100,indirect($AC$2&amp;"!B$5:U$70"),6, false)</f>
        <v>3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IFERROR(__xludf.DUMMYFUNCTION("""COMPUTED_VALUE"""),"Matthew Huang")</f>
        <v>Matthew Huang</v>
      </c>
      <c r="C101" s="117">
        <f>IFERROR(__xludf.DUMMYFUNCTION("""COMPUTED_VALUE"""),9.0)</f>
        <v>9</v>
      </c>
      <c r="D101" s="117">
        <f t="shared" si="75"/>
        <v>30</v>
      </c>
      <c r="E101" s="117">
        <f t="shared" si="76"/>
        <v>21</v>
      </c>
      <c r="F101" s="117">
        <f t="shared" si="77"/>
        <v>19</v>
      </c>
      <c r="G101" s="117">
        <f t="shared" si="78"/>
        <v>5</v>
      </c>
      <c r="L101" s="117" t="str">
        <f t="shared" si="79"/>
        <v>ok</v>
      </c>
    </row>
    <row r="102">
      <c r="A102" s="1"/>
      <c r="B102" s="33" t="str">
        <f>IFERROR(__xludf.DUMMYFUNCTION("""COMPUTED_VALUE"""),"Nicole Ni")</f>
        <v>Nicole Ni</v>
      </c>
      <c r="C102" s="117">
        <f>IFERROR(__xludf.DUMMYFUNCTION("""COMPUTED_VALUE"""),9.0)</f>
        <v>9</v>
      </c>
      <c r="D102" s="117">
        <f t="shared" si="75"/>
        <v>33</v>
      </c>
      <c r="E102" s="117">
        <f t="shared" si="76"/>
        <v>24</v>
      </c>
      <c r="F102" s="117">
        <f t="shared" si="77"/>
        <v>17</v>
      </c>
      <c r="G102" s="117">
        <f t="shared" si="78"/>
        <v>6</v>
      </c>
      <c r="L102" s="117" t="str">
        <f t="shared" si="79"/>
        <v>ok</v>
      </c>
    </row>
    <row r="103">
      <c r="A103" s="1"/>
      <c r="B103" s="33" t="str">
        <f>IFERROR(__xludf.DUMMYFUNCTION("""COMPUTED_VALUE"""),"Sandeep Kamalon")</f>
        <v>Sandeep Kamalon</v>
      </c>
      <c r="C103" s="117">
        <f>IFERROR(__xludf.DUMMYFUNCTION("""COMPUTED_VALUE"""),6.0)</f>
        <v>6</v>
      </c>
      <c r="D103" s="117">
        <f t="shared" si="75"/>
        <v>8</v>
      </c>
      <c r="E103" s="117">
        <f t="shared" si="76"/>
        <v>2</v>
      </c>
      <c r="F103" s="117">
        <f t="shared" si="77"/>
        <v>19</v>
      </c>
      <c r="G103" s="117">
        <f t="shared" si="78"/>
        <v>2</v>
      </c>
      <c r="L103" s="117" t="str">
        <f t="shared" si="79"/>
        <v>ok</v>
      </c>
    </row>
    <row r="104">
      <c r="A104" s="1"/>
      <c r="B104" s="33" t="str">
        <f>IFERROR(__xludf.DUMMYFUNCTION("""COMPUTED_VALUE"""),"David Shin")</f>
        <v>David Shin</v>
      </c>
      <c r="C104" s="117">
        <f>IFERROR(__xludf.DUMMYFUNCTION("""COMPUTED_VALUE"""),6.0)</f>
        <v>6</v>
      </c>
      <c r="D104" s="117">
        <f t="shared" si="75"/>
        <v>11</v>
      </c>
      <c r="E104" s="117">
        <f t="shared" si="76"/>
        <v>5</v>
      </c>
      <c r="F104" s="117">
        <f t="shared" si="77"/>
        <v>16</v>
      </c>
      <c r="G104" s="117">
        <f t="shared" si="78"/>
        <v>2</v>
      </c>
      <c r="L104" s="117" t="str">
        <f t="shared" si="79"/>
        <v>ok</v>
      </c>
    </row>
    <row r="105">
      <c r="A105" s="1"/>
      <c r="B105" s="33" t="str">
        <f>IFERROR(__xludf.DUMMYFUNCTION("""COMPUTED_VALUE"""),"Hongyuan Wen")</f>
        <v>Hongyuan Wen</v>
      </c>
      <c r="C105" s="117">
        <f>IFERROR(__xludf.DUMMYFUNCTION("""COMPUTED_VALUE"""),6.0)</f>
        <v>6</v>
      </c>
      <c r="D105" s="117">
        <f t="shared" si="75"/>
        <v>34</v>
      </c>
      <c r="E105" s="117">
        <f t="shared" si="76"/>
        <v>28</v>
      </c>
      <c r="F105" s="117">
        <f t="shared" si="77"/>
        <v>16</v>
      </c>
      <c r="G105" s="117">
        <f t="shared" si="78"/>
        <v>6</v>
      </c>
      <c r="L105" s="117" t="str">
        <f t="shared" si="79"/>
        <v>ok</v>
      </c>
    </row>
    <row r="106">
      <c r="A106" s="1"/>
      <c r="B106" s="33" t="str">
        <f>IFERROR(__xludf.DUMMYFUNCTION("""COMPUTED_VALUE"""),"Cid Macaraeg")</f>
        <v>Cid Macaraeg</v>
      </c>
      <c r="C106" s="117">
        <f>IFERROR(__xludf.DUMMYFUNCTION("""COMPUTED_VALUE"""),6.0)</f>
        <v>6</v>
      </c>
      <c r="D106" s="117">
        <f t="shared" si="75"/>
        <v>40</v>
      </c>
      <c r="E106" s="117">
        <f t="shared" si="76"/>
        <v>34</v>
      </c>
      <c r="F106" s="117">
        <f t="shared" si="77"/>
        <v>18</v>
      </c>
      <c r="G106" s="117">
        <f t="shared" si="78"/>
        <v>7</v>
      </c>
      <c r="L106" s="117" t="str">
        <f t="shared" si="79"/>
        <v>ok</v>
      </c>
    </row>
    <row r="107">
      <c r="A107" s="1"/>
      <c r="B107" s="33" t="str">
        <f>IFERROR(__xludf.DUMMYFUNCTION("""COMPUTED_VALUE"""),"Balaji Alahari")</f>
        <v>Balaji Alahari</v>
      </c>
      <c r="C107" s="117">
        <f>IFERROR(__xludf.DUMMYFUNCTION("""COMPUTED_VALUE"""),6.0)</f>
        <v>6</v>
      </c>
      <c r="D107" s="117">
        <f t="shared" si="75"/>
        <v>52</v>
      </c>
      <c r="E107" s="117">
        <f t="shared" si="76"/>
        <v>46</v>
      </c>
      <c r="F107" s="117">
        <f t="shared" si="77"/>
        <v>17</v>
      </c>
      <c r="G107" s="117">
        <f t="shared" si="78"/>
        <v>8</v>
      </c>
      <c r="L107" s="117" t="str">
        <f t="shared" si="79"/>
        <v>ok</v>
      </c>
    </row>
    <row r="108">
      <c r="A108" s="1"/>
      <c r="B108" s="33" t="str">
        <f>IFERROR(__xludf.DUMMYFUNCTION("""COMPUTED_VALUE"""),"Santosh Sundaresan")</f>
        <v>Santosh Sundaresan</v>
      </c>
      <c r="C108" s="117">
        <f>IFERROR(__xludf.DUMMYFUNCTION("""COMPUTED_VALUE"""),6.0)</f>
        <v>6</v>
      </c>
      <c r="D108" s="117">
        <f t="shared" si="75"/>
        <v>62</v>
      </c>
      <c r="E108" s="117">
        <f t="shared" si="76"/>
        <v>56</v>
      </c>
      <c r="F108" s="117">
        <f t="shared" si="77"/>
        <v>17</v>
      </c>
      <c r="G108" s="117">
        <f t="shared" si="78"/>
        <v>8</v>
      </c>
      <c r="L108" s="117" t="str">
        <f t="shared" si="79"/>
        <v>ok</v>
      </c>
    </row>
    <row r="109">
      <c r="A109" s="1"/>
      <c r="B109" s="33" t="str">
        <f>IFERROR(__xludf.DUMMYFUNCTION("""COMPUTED_VALUE"""),"Sean Chang")</f>
        <v>Sean Chang</v>
      </c>
      <c r="C109" s="117">
        <f>IFERROR(__xludf.DUMMYFUNCTION("""COMPUTED_VALUE"""),4.0)</f>
        <v>4</v>
      </c>
      <c r="D109" s="117">
        <f t="shared" si="75"/>
        <v>14</v>
      </c>
      <c r="E109" s="117">
        <f t="shared" si="76"/>
        <v>10</v>
      </c>
      <c r="F109" s="117">
        <f t="shared" si="77"/>
        <v>14</v>
      </c>
      <c r="G109" s="117">
        <f t="shared" si="78"/>
        <v>3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13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Pulkit Mathur</v>
      </c>
      <c r="C118" s="117">
        <f t="shared" si="80"/>
        <v>173</v>
      </c>
      <c r="D118" s="117">
        <f t="shared" si="80"/>
        <v>20</v>
      </c>
      <c r="E118" s="117">
        <f t="shared" si="80"/>
        <v>14.6</v>
      </c>
      <c r="F118" s="1"/>
    </row>
    <row r="119">
      <c r="A119" s="117">
        <f t="shared" ref="A119:E119" si="81">A6</f>
        <v>2</v>
      </c>
      <c r="B119" s="33" t="str">
        <f t="shared" si="81"/>
        <v>Sandeep Kamalon</v>
      </c>
      <c r="C119" s="117">
        <f t="shared" si="81"/>
        <v>168</v>
      </c>
      <c r="D119" s="117">
        <f t="shared" si="81"/>
        <v>20</v>
      </c>
      <c r="E119" s="117">
        <f t="shared" si="81"/>
        <v>12.91666667</v>
      </c>
      <c r="F119" s="1"/>
    </row>
    <row r="120">
      <c r="A120" s="117">
        <f t="shared" ref="A120:E120" si="82">A7</f>
        <v>3</v>
      </c>
      <c r="B120" s="33" t="str">
        <f t="shared" si="82"/>
        <v>Adrian Tay</v>
      </c>
      <c r="C120" s="117">
        <f t="shared" si="82"/>
        <v>168</v>
      </c>
      <c r="D120" s="117">
        <f t="shared" si="82"/>
        <v>19</v>
      </c>
      <c r="E120" s="117">
        <f t="shared" si="82"/>
        <v>15.375</v>
      </c>
      <c r="F120" s="1"/>
    </row>
    <row r="121">
      <c r="A121" s="117">
        <f t="shared" ref="A121:E121" si="83">A8</f>
        <v>4</v>
      </c>
      <c r="B121" s="33" t="str">
        <f t="shared" si="83"/>
        <v>Lam Bui</v>
      </c>
      <c r="C121" s="117">
        <f t="shared" si="83"/>
        <v>167</v>
      </c>
      <c r="D121" s="117">
        <f t="shared" si="83"/>
        <v>16</v>
      </c>
      <c r="E121" s="117">
        <f t="shared" si="83"/>
        <v>14</v>
      </c>
      <c r="F121" s="1"/>
    </row>
    <row r="122">
      <c r="A122" s="117">
        <f t="shared" ref="A122:E122" si="84">A9</f>
        <v>5</v>
      </c>
      <c r="B122" s="33" t="str">
        <f t="shared" si="84"/>
        <v>David Shin</v>
      </c>
      <c r="C122" s="117">
        <f t="shared" si="84"/>
        <v>164</v>
      </c>
      <c r="D122" s="117">
        <f t="shared" si="84"/>
        <v>15</v>
      </c>
      <c r="E122" s="117">
        <f t="shared" si="84"/>
        <v>12.91666667</v>
      </c>
      <c r="F122" s="1"/>
    </row>
    <row r="123">
      <c r="A123" s="117">
        <f t="shared" ref="A123:E123" si="85">A10</f>
        <v>6</v>
      </c>
      <c r="B123" s="33" t="str">
        <f t="shared" si="85"/>
        <v>Joe Luzzi</v>
      </c>
      <c r="C123" s="117">
        <f t="shared" si="85"/>
        <v>164</v>
      </c>
      <c r="D123" s="117">
        <f t="shared" si="85"/>
        <v>12</v>
      </c>
      <c r="E123" s="117">
        <f t="shared" si="85"/>
        <v>12.90909091</v>
      </c>
      <c r="F123" s="1"/>
    </row>
    <row r="124">
      <c r="A124" s="117">
        <f t="shared" ref="A124:E124" si="86">A11</f>
        <v>7</v>
      </c>
      <c r="B124" s="33" t="str">
        <f t="shared" si="86"/>
        <v>Tom Le</v>
      </c>
      <c r="C124" s="117">
        <f t="shared" si="86"/>
        <v>163</v>
      </c>
      <c r="D124" s="117">
        <f t="shared" si="86"/>
        <v>16</v>
      </c>
      <c r="E124" s="117">
        <f t="shared" si="86"/>
        <v>13.66666667</v>
      </c>
      <c r="F124" s="1"/>
    </row>
    <row r="125">
      <c r="A125" s="117">
        <f t="shared" ref="A125:E125" si="87">A12</f>
        <v>8</v>
      </c>
      <c r="B125" s="33" t="str">
        <f t="shared" si="87"/>
        <v>Pavan Akkimsetty</v>
      </c>
      <c r="C125" s="117">
        <f t="shared" si="87"/>
        <v>163</v>
      </c>
      <c r="D125" s="117">
        <f t="shared" si="87"/>
        <v>15</v>
      </c>
      <c r="E125" s="117">
        <f t="shared" si="87"/>
        <v>14.11111111</v>
      </c>
      <c r="F125" s="1"/>
    </row>
    <row r="126">
      <c r="A126" s="117">
        <f t="shared" ref="A126:E126" si="88">A13</f>
        <v>9</v>
      </c>
      <c r="B126" s="33" t="str">
        <f t="shared" si="88"/>
        <v>Ethan Gu</v>
      </c>
      <c r="C126" s="117">
        <f t="shared" si="88"/>
        <v>162</v>
      </c>
      <c r="D126" s="117">
        <f t="shared" si="88"/>
        <v>21</v>
      </c>
      <c r="E126" s="117">
        <f t="shared" si="88"/>
        <v>12.75</v>
      </c>
      <c r="F126" s="1"/>
    </row>
    <row r="127">
      <c r="A127" s="117">
        <f t="shared" ref="A127:E127" si="89">A14</f>
        <v>10</v>
      </c>
      <c r="B127" s="33" t="str">
        <f t="shared" si="89"/>
        <v>Sean Chang</v>
      </c>
      <c r="C127" s="117">
        <f t="shared" si="89"/>
        <v>161</v>
      </c>
      <c r="D127" s="117">
        <f t="shared" si="89"/>
        <v>16</v>
      </c>
      <c r="E127" s="117">
        <f t="shared" si="89"/>
        <v>13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IFERROR(__xludf.DUMMYFUNCTION("""COMPUTED_VALUE"""),"Chinna Ponnaganti")</f>
        <v>Chinna Ponnaganti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IFERROR(__xludf.DUMMYFUNCTION("""COMPUTED_VALUE"""),"Frank Moon")</f>
        <v>Frank Moon</v>
      </c>
      <c r="C155" s="1"/>
      <c r="D155" s="1"/>
      <c r="E155" s="1"/>
      <c r="F155" s="1"/>
    </row>
    <row r="156">
      <c r="A156" s="117">
        <f t="shared" si="90"/>
        <v>4</v>
      </c>
      <c r="B156" s="33" t="str">
        <f>IFERROR(__xludf.DUMMYFUNCTION("""COMPUTED_VALUE"""),"Nicole Ni")</f>
        <v>Nicole Ni</v>
      </c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09/20/25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IFERROR(__xludf.DUMMYFUNCTION("""COMPUTED_VALUE"""),"Pulkit Mathur")</f>
        <v>Pulkit Mathur</v>
      </c>
      <c r="C184" s="122">
        <f>IFERROR(__xludf.DUMMYFUNCTION("""COMPUTED_VALUE"""),2.0)</f>
        <v>2</v>
      </c>
      <c r="D184" s="122">
        <f>IFERROR(__xludf.DUMMYFUNCTION("""COMPUTED_VALUE"""),6.0)</f>
        <v>6</v>
      </c>
      <c r="E184" s="122">
        <f>IFERROR(__xludf.DUMMYFUNCTION("""COMPUTED_VALUE"""),2.0)</f>
        <v>2</v>
      </c>
      <c r="F184" s="122">
        <f>IFERROR(__xludf.DUMMYFUNCTION("""COMPUTED_VALUE"""),10.0)</f>
        <v>10</v>
      </c>
      <c r="G184" s="122">
        <f>IFERROR(__xludf.DUMMYFUNCTION("""COMPUTED_VALUE"""),1.0)</f>
        <v>1</v>
      </c>
    </row>
    <row r="185">
      <c r="A185" s="117">
        <f>IFERROR(__xludf.DUMMYFUNCTION("""COMPUTED_VALUE"""),1.0)</f>
        <v>1</v>
      </c>
      <c r="B185" s="33" t="str">
        <f>IFERROR(__xludf.DUMMYFUNCTION("""COMPUTED_VALUE"""),"Ethan Gu")</f>
        <v>Ethan Gu</v>
      </c>
      <c r="C185" s="122">
        <f>IFERROR(__xludf.DUMMYFUNCTION("""COMPUTED_VALUE"""),2.0)</f>
        <v>2</v>
      </c>
      <c r="D185" s="122">
        <f>IFERROR(__xludf.DUMMYFUNCTION("""COMPUTED_VALUE"""),0.0)</f>
        <v>0</v>
      </c>
      <c r="E185" s="122">
        <f>IFERROR(__xludf.DUMMYFUNCTION("""COMPUTED_VALUE"""),6.0)</f>
        <v>6</v>
      </c>
      <c r="F185" s="122">
        <f>IFERROR(__xludf.DUMMYFUNCTION("""COMPUTED_VALUE"""),8.0)</f>
        <v>8</v>
      </c>
      <c r="G185" s="122">
        <f>IFERROR(__xludf.DUMMYFUNCTION("""COMPUTED_VALUE"""),1.0)</f>
        <v>1</v>
      </c>
    </row>
    <row r="186">
      <c r="A186" s="117">
        <f>IFERROR(__xludf.DUMMYFUNCTION("""COMPUTED_VALUE"""),1.0)</f>
        <v>1</v>
      </c>
      <c r="B186" s="33" t="str">
        <f>IFERROR(__xludf.DUMMYFUNCTION("""COMPUTED_VALUE"""),"Adrian Tay")</f>
        <v>Adrian Tay</v>
      </c>
      <c r="C186" s="122">
        <f>IFERROR(__xludf.DUMMYFUNCTION("""COMPUTED_VALUE"""),6.0)</f>
        <v>6</v>
      </c>
      <c r="D186" s="122">
        <f>IFERROR(__xludf.DUMMYFUNCTION("""COMPUTED_VALUE"""),6.0)</f>
        <v>6</v>
      </c>
      <c r="E186" s="122">
        <f>IFERROR(__xludf.DUMMYFUNCTION("""COMPUTED_VALUE"""),6.0)</f>
        <v>6</v>
      </c>
      <c r="F186" s="122">
        <f>IFERROR(__xludf.DUMMYFUNCTION("""COMPUTED_VALUE"""),18.0)</f>
        <v>18</v>
      </c>
      <c r="G186" s="122">
        <f>IFERROR(__xludf.DUMMYFUNCTION("""COMPUTED_VALUE"""),3.0)</f>
        <v>3</v>
      </c>
    </row>
    <row r="187">
      <c r="A187" s="117">
        <f>IFERROR(__xludf.DUMMYFUNCTION("""COMPUTED_VALUE"""),1.0)</f>
        <v>1</v>
      </c>
      <c r="B187" s="33" t="str">
        <f>IFERROR(__xludf.DUMMYFUNCTION("""COMPUTED_VALUE"""),"Jonathan Phan")</f>
        <v>Jonathan Phan</v>
      </c>
      <c r="C187" s="122">
        <f>IFERROR(__xludf.DUMMYFUNCTION("""COMPUTED_VALUE"""),6.0)</f>
        <v>6</v>
      </c>
      <c r="D187" s="122">
        <f>IFERROR(__xludf.DUMMYFUNCTION("""COMPUTED_VALUE"""),0.0)</f>
        <v>0</v>
      </c>
      <c r="E187" s="122">
        <f>IFERROR(__xludf.DUMMYFUNCTION("""COMPUTED_VALUE"""),2.0)</f>
        <v>2</v>
      </c>
      <c r="F187" s="122">
        <f>IFERROR(__xludf.DUMMYFUNCTION("""COMPUTED_VALUE"""),8.0)</f>
        <v>8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IFERROR(__xludf.DUMMYFUNCTION("""COMPUTED_VALUE"""),"Sandeep Kamalon")</f>
        <v>Sandeep Kamalon</v>
      </c>
      <c r="C188" s="125">
        <f>IFERROR(__xludf.DUMMYFUNCTION("""COMPUTED_VALUE"""),7.0)</f>
        <v>7</v>
      </c>
      <c r="D188" s="125">
        <f>IFERROR(__xludf.DUMMYFUNCTION("""COMPUTED_VALUE"""),6.0)</f>
        <v>6</v>
      </c>
      <c r="E188" s="125">
        <f>IFERROR(__xludf.DUMMYFUNCTION("""COMPUTED_VALUE"""),6.0)</f>
        <v>6</v>
      </c>
      <c r="F188" s="125">
        <f>IFERROR(__xludf.DUMMYFUNCTION("""COMPUTED_VALUE"""),19.0)</f>
        <v>19</v>
      </c>
      <c r="G188" s="125">
        <f>IFERROR(__xludf.DUMMYFUNCTION("""COMPUTED_VALUE"""),3.0)</f>
        <v>3</v>
      </c>
    </row>
    <row r="189">
      <c r="A189" s="123">
        <f>IFERROR(__xludf.DUMMYFUNCTION("""COMPUTED_VALUE"""),2.0)</f>
        <v>2</v>
      </c>
      <c r="B189" s="124" t="str">
        <f>IFERROR(__xludf.DUMMYFUNCTION("""COMPUTED_VALUE"""),"Pavan Akkimsetty")</f>
        <v>Pavan Akkimsetty</v>
      </c>
      <c r="C189" s="125">
        <f>IFERROR(__xludf.DUMMYFUNCTION("""COMPUTED_VALUE"""),6.0)</f>
        <v>6</v>
      </c>
      <c r="D189" s="125">
        <f>IFERROR(__xludf.DUMMYFUNCTION("""COMPUTED_VALUE"""),2.0)</f>
        <v>2</v>
      </c>
      <c r="E189" s="125">
        <f>IFERROR(__xludf.DUMMYFUNCTION("""COMPUTED_VALUE"""),6.0)</f>
        <v>6</v>
      </c>
      <c r="F189" s="125">
        <f>IFERROR(__xludf.DUMMYFUNCTION("""COMPUTED_VALUE"""),14.0)</f>
        <v>14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IFERROR(__xludf.DUMMYFUNCTION("""COMPUTED_VALUE"""),"Erik Hoeckmann")</f>
        <v>Erik Hoeckmann</v>
      </c>
      <c r="C190" s="125">
        <f>IFERROR(__xludf.DUMMYFUNCTION("""COMPUTED_VALUE"""),7.0)</f>
        <v>7</v>
      </c>
      <c r="D190" s="125">
        <f>IFERROR(__xludf.DUMMYFUNCTION("""COMPUTED_VALUE"""),2.0)</f>
        <v>2</v>
      </c>
      <c r="E190" s="125">
        <f>IFERROR(__xludf.DUMMYFUNCTION("""COMPUTED_VALUE"""),4.0)</f>
        <v>4</v>
      </c>
      <c r="F190" s="125">
        <f>IFERROR(__xludf.DUMMYFUNCTION("""COMPUTED_VALUE"""),13.0)</f>
        <v>13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IFERROR(__xludf.DUMMYFUNCTION("""COMPUTED_VALUE"""),"David Shin")</f>
        <v>David Shin</v>
      </c>
      <c r="C191" s="125">
        <f>IFERROR(__xludf.DUMMYFUNCTION("""COMPUTED_VALUE"""),6.0)</f>
        <v>6</v>
      </c>
      <c r="D191" s="125">
        <f>IFERROR(__xludf.DUMMYFUNCTION("""COMPUTED_VALUE"""),6.0)</f>
        <v>6</v>
      </c>
      <c r="E191" s="125">
        <f>IFERROR(__xludf.DUMMYFUNCTION("""COMPUTED_VALUE"""),4.0)</f>
        <v>4</v>
      </c>
      <c r="F191" s="125">
        <f>IFERROR(__xludf.DUMMYFUNCTION("""COMPUTED_VALUE"""),16.0)</f>
        <v>16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IFERROR(__xludf.DUMMYFUNCTION("""COMPUTED_VALUE"""),"Frank Moon")</f>
        <v>Frank Moon</v>
      </c>
      <c r="C192" s="122">
        <f>IFERROR(__xludf.DUMMYFUNCTION("""COMPUTED_VALUE"""),6.0)</f>
        <v>6</v>
      </c>
      <c r="D192" s="122">
        <f>IFERROR(__xludf.DUMMYFUNCTION("""COMPUTED_VALUE"""),3.0)</f>
        <v>3</v>
      </c>
      <c r="E192" s="122">
        <f>IFERROR(__xludf.DUMMYFUNCTION("""COMPUTED_VALUE"""),1.0)</f>
        <v>1</v>
      </c>
      <c r="F192" s="122">
        <f>IFERROR(__xludf.DUMMYFUNCTION("""COMPUTED_VALUE"""),10.0)</f>
        <v>10</v>
      </c>
      <c r="G192" s="122">
        <f>IFERROR(__xludf.DUMMYFUNCTION("""COMPUTED_VALUE"""),0.0)</f>
        <v>0</v>
      </c>
    </row>
    <row r="193">
      <c r="A193" s="117">
        <f>IFERROR(__xludf.DUMMYFUNCTION("""COMPUTED_VALUE"""),3.0)</f>
        <v>3</v>
      </c>
      <c r="B193" s="33" t="str">
        <f>IFERROR(__xludf.DUMMYFUNCTION("""COMPUTED_VALUE"""),"Sean Chang")</f>
        <v>Sean Chang</v>
      </c>
      <c r="C193" s="122">
        <f>IFERROR(__xludf.DUMMYFUNCTION("""COMPUTED_VALUE"""),7.0)</f>
        <v>7</v>
      </c>
      <c r="D193" s="122">
        <f>IFERROR(__xludf.DUMMYFUNCTION("""COMPUTED_VALUE"""),6.0)</f>
        <v>6</v>
      </c>
      <c r="E193" s="122">
        <f>IFERROR(__xludf.DUMMYFUNCTION("""COMPUTED_VALUE"""),1.0)</f>
        <v>1</v>
      </c>
      <c r="F193" s="122">
        <f>IFERROR(__xludf.DUMMYFUNCTION("""COMPUTED_VALUE"""),14.0)</f>
        <v>14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IFERROR(__xludf.DUMMYFUNCTION("""COMPUTED_VALUE"""),"Joe Luzzi")</f>
        <v>Joe Luzzi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IFERROR(__xludf.DUMMYFUNCTION("""COMPUTED_VALUE"""),6.0)</f>
        <v>6</v>
      </c>
      <c r="F194" s="122">
        <f>IFERROR(__xludf.DUMMYFUNCTION("""COMPUTED_VALUE"""),18.0)</f>
        <v>18</v>
      </c>
      <c r="G194" s="122">
        <f>IFERROR(__xludf.DUMMYFUNCTION("""COMPUTED_VALUE"""),2.0)</f>
        <v>2</v>
      </c>
    </row>
    <row r="195">
      <c r="A195" s="117">
        <f>IFERROR(__xludf.DUMMYFUNCTION("""COMPUTED_VALUE"""),3.0)</f>
        <v>3</v>
      </c>
      <c r="B195" s="33" t="str">
        <f>IFERROR(__xludf.DUMMYFUNCTION("""COMPUTED_VALUE"""),"Scott Li")</f>
        <v>Scott Li</v>
      </c>
      <c r="C195" s="122">
        <f>IFERROR(__xludf.DUMMYFUNCTION("""COMPUTED_VALUE"""),7.0)</f>
        <v>7</v>
      </c>
      <c r="D195" s="122">
        <f>IFERROR(__xludf.DUMMYFUNCTION("""COMPUTED_VALUE"""),3.0)</f>
        <v>3</v>
      </c>
      <c r="E195" s="122">
        <f>IFERROR(__xludf.DUMMYFUNCTION("""COMPUTED_VALUE"""),6.0)</f>
        <v>6</v>
      </c>
      <c r="F195" s="122">
        <f>IFERROR(__xludf.DUMMYFUNCTION("""COMPUTED_VALUE"""),16.0)</f>
        <v>16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IFERROR(__xludf.DUMMYFUNCTION("""COMPUTED_VALUE"""),"Rajasekar Ramasamy")</f>
        <v>Rajasekar Ramasamy</v>
      </c>
      <c r="C196" s="125">
        <f>IFERROR(__xludf.DUMMYFUNCTION("""COMPUTED_VALUE"""),6.0)</f>
        <v>6</v>
      </c>
      <c r="D196" s="125">
        <f>IFERROR(__xludf.DUMMYFUNCTION("""COMPUTED_VALUE"""),6.0)</f>
        <v>6</v>
      </c>
      <c r="E196" s="125">
        <f>IFERROR(__xludf.DUMMYFUNCTION("""COMPUTED_VALUE"""),1.0)</f>
        <v>1</v>
      </c>
      <c r="F196" s="125">
        <f>IFERROR(__xludf.DUMMYFUNCTION("""COMPUTED_VALUE"""),13.0)</f>
        <v>13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IFERROR(__xludf.DUMMYFUNCTION("""COMPUTED_VALUE"""),"Oscar Bonilla")</f>
        <v>Oscar Bonilla</v>
      </c>
      <c r="C197" s="125">
        <f>IFERROR(__xludf.DUMMYFUNCTION("""COMPUTED_VALUE"""),6.0)</f>
        <v>6</v>
      </c>
      <c r="D197" s="125">
        <f>IFERROR(__xludf.DUMMYFUNCTION("""COMPUTED_VALUE"""),2.0)</f>
        <v>2</v>
      </c>
      <c r="E197" s="125">
        <f>IFERROR(__xludf.DUMMYFUNCTION("""COMPUTED_VALUE"""),6.0)</f>
        <v>6</v>
      </c>
      <c r="F197" s="125">
        <f>IFERROR(__xludf.DUMMYFUNCTION("""COMPUTED_VALUE"""),14.0)</f>
        <v>14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IFERROR(__xludf.DUMMYFUNCTION("""COMPUTED_VALUE"""),"Chinna Ponnaganti")</f>
        <v>Chinna Ponnaganti</v>
      </c>
      <c r="C198" s="125">
        <f>IFERROR(__xludf.DUMMYFUNCTION("""COMPUTED_VALUE"""),4.0)</f>
        <v>4</v>
      </c>
      <c r="D198" s="125">
        <f>IFERROR(__xludf.DUMMYFUNCTION("""COMPUTED_VALUE"""),6.0)</f>
        <v>6</v>
      </c>
      <c r="E198" s="125">
        <f>IFERROR(__xludf.DUMMYFUNCTION("""COMPUTED_VALUE"""),6.0)</f>
        <v>6</v>
      </c>
      <c r="F198" s="125">
        <f>IFERROR(__xludf.DUMMYFUNCTION("""COMPUTED_VALUE"""),16.0)</f>
        <v>16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IFERROR(__xludf.DUMMYFUNCTION("""COMPUTED_VALUE"""),"Allen Zhang")</f>
        <v>Allen Zhang</v>
      </c>
      <c r="C199" s="125">
        <f>IFERROR(__xludf.DUMMYFUNCTION("""COMPUTED_VALUE"""),4.0)</f>
        <v>4</v>
      </c>
      <c r="D199" s="125">
        <f>IFERROR(__xludf.DUMMYFUNCTION("""COMPUTED_VALUE"""),2.0)</f>
        <v>2</v>
      </c>
      <c r="E199" s="125">
        <f>IFERROR(__xludf.DUMMYFUNCTION("""COMPUTED_VALUE"""),1.0)</f>
        <v>1</v>
      </c>
      <c r="F199" s="125">
        <f>IFERROR(__xludf.DUMMYFUNCTION("""COMPUTED_VALUE"""),7.0)</f>
        <v>7</v>
      </c>
      <c r="G199" s="125">
        <f>IFERROR(__xludf.DUMMYFUNCTION("""COMPUTED_VALUE"""),0.0)</f>
        <v>0</v>
      </c>
    </row>
    <row r="200">
      <c r="A200" s="117">
        <f>IFERROR(__xludf.DUMMYFUNCTION("""COMPUTED_VALUE"""),5.0)</f>
        <v>5</v>
      </c>
      <c r="B200" s="33" t="str">
        <f>IFERROR(__xludf.DUMMYFUNCTION("""COMPUTED_VALUE"""),"Coco Yan")</f>
        <v>Coco Yan</v>
      </c>
      <c r="C200" s="122">
        <f>IFERROR(__xludf.DUMMYFUNCTION("""COMPUTED_VALUE"""),1.0)</f>
        <v>1</v>
      </c>
      <c r="D200" s="122">
        <f>IFERROR(__xludf.DUMMYFUNCTION("""COMPUTED_VALUE"""),7.0)</f>
        <v>7</v>
      </c>
      <c r="E200" s="122">
        <f>IFERROR(__xludf.DUMMYFUNCTION("""COMPUTED_VALUE"""),1.0)</f>
        <v>1</v>
      </c>
      <c r="F200" s="122">
        <f>IFERROR(__xludf.DUMMYFUNCTION("""COMPUTED_VALUE"""),9.0)</f>
        <v>9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IFERROR(__xludf.DUMMYFUNCTION("""COMPUTED_VALUE"""),"Mauricio Palacios")</f>
        <v>Mauricio Palacios</v>
      </c>
      <c r="C201" s="122">
        <f>IFERROR(__xludf.DUMMYFUNCTION("""COMPUTED_VALUE"""),6.0)</f>
        <v>6</v>
      </c>
      <c r="D201" s="122">
        <f>IFERROR(__xludf.DUMMYFUNCTION("""COMPUTED_VALUE"""),6.0)</f>
        <v>6</v>
      </c>
      <c r="E201" s="122">
        <f>IFERROR(__xludf.DUMMYFUNCTION("""COMPUTED_VALUE"""),1.0)</f>
        <v>1</v>
      </c>
      <c r="F201" s="122">
        <f>IFERROR(__xludf.DUMMYFUNCTION("""COMPUTED_VALUE"""),13.0)</f>
        <v>13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IFERROR(__xludf.DUMMYFUNCTION("""COMPUTED_VALUE"""),"Herman Au")</f>
        <v>Herman Au</v>
      </c>
      <c r="C202" s="122">
        <f>IFERROR(__xludf.DUMMYFUNCTION("""COMPUTED_VALUE"""),1.0)</f>
        <v>1</v>
      </c>
      <c r="D202" s="122">
        <f>IFERROR(__xludf.DUMMYFUNCTION("""COMPUTED_VALUE"""),6.0)</f>
        <v>6</v>
      </c>
      <c r="E202" s="122">
        <f>IFERROR(__xludf.DUMMYFUNCTION("""COMPUTED_VALUE"""),6.0)</f>
        <v>6</v>
      </c>
      <c r="F202" s="122">
        <f>IFERROR(__xludf.DUMMYFUNCTION("""COMPUTED_VALUE"""),13.0)</f>
        <v>13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IFERROR(__xludf.DUMMYFUNCTION("""COMPUTED_VALUE"""),"Matthew Huang")</f>
        <v>Matthew Huang</v>
      </c>
      <c r="C203" s="122">
        <f>IFERROR(__xludf.DUMMYFUNCTION("""COMPUTED_VALUE"""),6.0)</f>
        <v>6</v>
      </c>
      <c r="D203" s="122">
        <f>IFERROR(__xludf.DUMMYFUNCTION("""COMPUTED_VALUE"""),7.0)</f>
        <v>7</v>
      </c>
      <c r="E203" s="122">
        <f>IFERROR(__xludf.DUMMYFUNCTION("""COMPUTED_VALUE"""),6.0)</f>
        <v>6</v>
      </c>
      <c r="F203" s="122">
        <f>IFERROR(__xludf.DUMMYFUNCTION("""COMPUTED_VALUE"""),19.0)</f>
        <v>19</v>
      </c>
      <c r="G203" s="122">
        <f>IFERROR(__xludf.DUMMYFUNCTION("""COMPUTED_VALUE"""),3.0)</f>
        <v>3</v>
      </c>
    </row>
    <row r="204">
      <c r="A204" s="123">
        <f>IFERROR(__xludf.DUMMYFUNCTION("""COMPUTED_VALUE"""),6.0)</f>
        <v>6</v>
      </c>
      <c r="B204" s="124" t="str">
        <f>IFERROR(__xludf.DUMMYFUNCTION("""COMPUTED_VALUE"""),"Nicole Ni")</f>
        <v>Nicole Ni</v>
      </c>
      <c r="C204" s="125">
        <f>IFERROR(__xludf.DUMMYFUNCTION("""COMPUTED_VALUE"""),6.0)</f>
        <v>6</v>
      </c>
      <c r="D204" s="125">
        <f>IFERROR(__xludf.DUMMYFUNCTION("""COMPUTED_VALUE"""),5.0)</f>
        <v>5</v>
      </c>
      <c r="E204" s="125">
        <f>IFERROR(__xludf.DUMMYFUNCTION("""COMPUTED_VALUE"""),6.0)</f>
        <v>6</v>
      </c>
      <c r="F204" s="125">
        <f>IFERROR(__xludf.DUMMYFUNCTION("""COMPUTED_VALUE"""),17.0)</f>
        <v>17</v>
      </c>
      <c r="G204" s="125">
        <f>IFERROR(__xludf.DUMMYFUNCTION("""COMPUTED_VALUE"""),2.0)</f>
        <v>2</v>
      </c>
    </row>
    <row r="205">
      <c r="A205" s="123">
        <f>IFERROR(__xludf.DUMMYFUNCTION("""COMPUTED_VALUE"""),6.0)</f>
        <v>6</v>
      </c>
      <c r="B205" s="124" t="str">
        <f>IFERROR(__xludf.DUMMYFUNCTION("""COMPUTED_VALUE"""),"Hongyuan Wen")</f>
        <v>Hongyuan Wen</v>
      </c>
      <c r="C205" s="125">
        <f>IFERROR(__xludf.DUMMYFUNCTION("""COMPUTED_VALUE"""),3.0)</f>
        <v>3</v>
      </c>
      <c r="D205" s="125">
        <f>IFERROR(__xludf.DUMMYFUNCTION("""COMPUTED_VALUE"""),7.0)</f>
        <v>7</v>
      </c>
      <c r="E205" s="125">
        <f>IFERROR(__xludf.DUMMYFUNCTION("""COMPUTED_VALUE"""),6.0)</f>
        <v>6</v>
      </c>
      <c r="F205" s="125">
        <f>IFERROR(__xludf.DUMMYFUNCTION("""COMPUTED_VALUE"""),16.0)</f>
        <v>16</v>
      </c>
      <c r="G205" s="125">
        <f>IFERROR(__xludf.DUMMYFUNCTION("""COMPUTED_VALUE"""),2.0)</f>
        <v>2</v>
      </c>
    </row>
    <row r="206">
      <c r="A206" s="123">
        <f>IFERROR(__xludf.DUMMYFUNCTION("""COMPUTED_VALUE"""),6.0)</f>
        <v>6</v>
      </c>
      <c r="B206" s="124" t="str">
        <f>IFERROR(__xludf.DUMMYFUNCTION("""COMPUTED_VALUE"""),"Rajesh Dorairaj")</f>
        <v>Rajesh Dorairaj</v>
      </c>
      <c r="C206" s="125">
        <f>IFERROR(__xludf.DUMMYFUNCTION("""COMPUTED_VALUE"""),6.0)</f>
        <v>6</v>
      </c>
      <c r="D206" s="125">
        <f>IFERROR(__xludf.DUMMYFUNCTION("""COMPUTED_VALUE"""),7.0)</f>
        <v>7</v>
      </c>
      <c r="E206" s="125">
        <f>IFERROR(__xludf.DUMMYFUNCTION("""COMPUTED_VALUE"""),3.0)</f>
        <v>3</v>
      </c>
      <c r="F206" s="125">
        <f>IFERROR(__xludf.DUMMYFUNCTION("""COMPUTED_VALUE"""),16.0)</f>
        <v>16</v>
      </c>
      <c r="G206" s="125">
        <f>IFERROR(__xludf.DUMMYFUNCTION("""COMPUTED_VALUE"""),2.0)</f>
        <v>2</v>
      </c>
    </row>
    <row r="207">
      <c r="A207" s="123">
        <f>IFERROR(__xludf.DUMMYFUNCTION("""COMPUTED_VALUE"""),6.0)</f>
        <v>6</v>
      </c>
      <c r="B207" s="124" t="str">
        <f>IFERROR(__xludf.DUMMYFUNCTION("""COMPUTED_VALUE"""),"Eric Tan")</f>
        <v>Eric Tan</v>
      </c>
      <c r="C207" s="125">
        <f>IFERROR(__xludf.DUMMYFUNCTION("""COMPUTED_VALUE"""),3.0)</f>
        <v>3</v>
      </c>
      <c r="D207" s="125">
        <f>IFERROR(__xludf.DUMMYFUNCTION("""COMPUTED_VALUE"""),5.0)</f>
        <v>5</v>
      </c>
      <c r="E207" s="125">
        <f>IFERROR(__xludf.DUMMYFUNCTION("""COMPUTED_VALUE"""),3.0)</f>
        <v>3</v>
      </c>
      <c r="F207" s="125">
        <f>IFERROR(__xludf.DUMMYFUNCTION("""COMPUTED_VALUE"""),11.0)</f>
        <v>11</v>
      </c>
      <c r="G207" s="125">
        <f>IFERROR(__xludf.DUMMYFUNCTION("""COMPUTED_VALUE"""),0.0)</f>
        <v>0</v>
      </c>
    </row>
    <row r="208">
      <c r="A208" s="117">
        <f>IFERROR(__xludf.DUMMYFUNCTION("""COMPUTED_VALUE"""),7.0)</f>
        <v>7</v>
      </c>
      <c r="B208" s="33" t="str">
        <f>IFERROR(__xludf.DUMMYFUNCTION("""COMPUTED_VALUE"""),"Cid Macaraeg")</f>
        <v>Cid Macaraeg</v>
      </c>
      <c r="C208" s="122">
        <f>IFERROR(__xludf.DUMMYFUNCTION("""COMPUTED_VALUE"""),6.0)</f>
        <v>6</v>
      </c>
      <c r="D208" s="122">
        <f>IFERROR(__xludf.DUMMYFUNCTION("""COMPUTED_VALUE"""),6.0)</f>
        <v>6</v>
      </c>
      <c r="E208" s="122">
        <f>IFERROR(__xludf.DUMMYFUNCTION("""COMPUTED_VALUE"""),6.0)</f>
        <v>6</v>
      </c>
      <c r="F208" s="122">
        <f>IFERROR(__xludf.DUMMYFUNCTION("""COMPUTED_VALUE"""),18.0)</f>
        <v>18</v>
      </c>
      <c r="G208" s="122">
        <f>IFERROR(__xludf.DUMMYFUNCTION("""COMPUTED_VALUE"""),3.0)</f>
        <v>3</v>
      </c>
    </row>
    <row r="209">
      <c r="A209" s="117">
        <f>IFERROR(__xludf.DUMMYFUNCTION("""COMPUTED_VALUE"""),7.0)</f>
        <v>7</v>
      </c>
      <c r="B209" s="33" t="str">
        <f>IFERROR(__xludf.DUMMYFUNCTION("""COMPUTED_VALUE"""),"Naveen Raj")</f>
        <v>Naveen Raj</v>
      </c>
      <c r="C209" s="122">
        <f>IFERROR(__xludf.DUMMYFUNCTION("""COMPUTED_VALUE"""),4.0)</f>
        <v>4</v>
      </c>
      <c r="D209" s="122">
        <f>IFERROR(__xludf.DUMMYFUNCTION("""COMPUTED_VALUE"""),2.0)</f>
        <v>2</v>
      </c>
      <c r="E209" s="122">
        <f>IFERROR(__xludf.DUMMYFUNCTION("""COMPUTED_VALUE"""),6.0)</f>
        <v>6</v>
      </c>
      <c r="F209" s="122">
        <f>IFERROR(__xludf.DUMMYFUNCTION("""COMPUTED_VALUE"""),12.0)</f>
        <v>12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IFERROR(__xludf.DUMMYFUNCTION("""COMPUTED_VALUE"""),"Saravanan Veerapandian")</f>
        <v>Saravanan Veerapandian</v>
      </c>
      <c r="C210" s="122">
        <f>IFERROR(__xludf.DUMMYFUNCTION("""COMPUTED_VALUE"""),6.0)</f>
        <v>6</v>
      </c>
      <c r="D210" s="122">
        <f>IFERROR(__xludf.DUMMYFUNCTION("""COMPUTED_VALUE"""),2.0)</f>
        <v>2</v>
      </c>
      <c r="E210" s="122">
        <f>IFERROR(__xludf.DUMMYFUNCTION("""COMPUTED_VALUE"""),0.0)</f>
        <v>0</v>
      </c>
      <c r="F210" s="122">
        <f>IFERROR(__xludf.DUMMYFUNCTION("""COMPUTED_VALUE"""),8.0)</f>
        <v>8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IFERROR(__xludf.DUMMYFUNCTION("""COMPUTED_VALUE"""),"Sandy Weyant")</f>
        <v>Sandy Weyant</v>
      </c>
      <c r="C211" s="122">
        <f>IFERROR(__xludf.DUMMYFUNCTION("""COMPUTED_VALUE"""),4.0)</f>
        <v>4</v>
      </c>
      <c r="D211" s="122">
        <f>IFERROR(__xludf.DUMMYFUNCTION("""COMPUTED_VALUE"""),6.0)</f>
        <v>6</v>
      </c>
      <c r="E211" s="122">
        <f>IFERROR(__xludf.DUMMYFUNCTION("""COMPUTED_VALUE"""),0.0)</f>
        <v>0</v>
      </c>
      <c r="F211" s="122">
        <f>IFERROR(__xludf.DUMMYFUNCTION("""COMPUTED_VALUE"""),10.0)</f>
        <v>10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IFERROR(__xludf.DUMMYFUNCTION("""COMPUTED_VALUE"""),"Balaji Alahari")</f>
        <v>Balaji Alahari</v>
      </c>
      <c r="C212" s="125">
        <f>IFERROR(__xludf.DUMMYFUNCTION("""COMPUTED_VALUE"""),6.0)</f>
        <v>6</v>
      </c>
      <c r="D212" s="125">
        <f>IFERROR(__xludf.DUMMYFUNCTION("""COMPUTED_VALUE"""),6.0)</f>
        <v>6</v>
      </c>
      <c r="E212" s="125">
        <f>IFERROR(__xludf.DUMMYFUNCTION("""COMPUTED_VALUE"""),5.0)</f>
        <v>5</v>
      </c>
      <c r="F212" s="125">
        <f>IFERROR(__xludf.DUMMYFUNCTION("""COMPUTED_VALUE"""),17.0)</f>
        <v>17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IFERROR(__xludf.DUMMYFUNCTION("""COMPUTED_VALUE"""),"Manuel Rivera")</f>
        <v>Manuel Rivera</v>
      </c>
      <c r="C213" s="125">
        <f>IFERROR(__xludf.DUMMYFUNCTION("""COMPUTED_VALUE"""),6.0)</f>
        <v>6</v>
      </c>
      <c r="D213" s="125">
        <f>IFERROR(__xludf.DUMMYFUNCTION("""COMPUTED_VALUE"""),2.0)</f>
        <v>2</v>
      </c>
      <c r="E213" s="125">
        <f>IFERROR(__xludf.DUMMYFUNCTION("""COMPUTED_VALUE"""),7.0)</f>
        <v>7</v>
      </c>
      <c r="F213" s="125">
        <f>IFERROR(__xludf.DUMMYFUNCTION("""COMPUTED_VALUE"""),15.0)</f>
        <v>15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IFERROR(__xludf.DUMMYFUNCTION("""COMPUTED_VALUE"""),"Joyce Zhu")</f>
        <v>Joyce Zhu</v>
      </c>
      <c r="C214" s="125">
        <f>IFERROR(__xludf.DUMMYFUNCTION("""COMPUTED_VALUE"""),4.0)</f>
        <v>4</v>
      </c>
      <c r="D214" s="125">
        <f>IFERROR(__xludf.DUMMYFUNCTION("""COMPUTED_VALUE"""),2.0)</f>
        <v>2</v>
      </c>
      <c r="E214" s="125">
        <f>IFERROR(__xludf.DUMMYFUNCTION("""COMPUTED_VALUE"""),5.0)</f>
        <v>5</v>
      </c>
      <c r="F214" s="125">
        <f>IFERROR(__xludf.DUMMYFUNCTION("""COMPUTED_VALUE"""),11.0)</f>
        <v>11</v>
      </c>
      <c r="G214" s="125">
        <f>IFERROR(__xludf.DUMMYFUNCTION("""COMPUTED_VALUE"""),0.0)</f>
        <v>0</v>
      </c>
    </row>
    <row r="215">
      <c r="A215" s="123">
        <f>IFERROR(__xludf.DUMMYFUNCTION("""COMPUTED_VALUE"""),8.0)</f>
        <v>8</v>
      </c>
      <c r="B215" s="124" t="str">
        <f>IFERROR(__xludf.DUMMYFUNCTION("""COMPUTED_VALUE"""),"Santosh Sundaresan")</f>
        <v>Santosh Sundaresan</v>
      </c>
      <c r="C215" s="125">
        <f>IFERROR(__xludf.DUMMYFUNCTION("""COMPUTED_VALUE"""),4.0)</f>
        <v>4</v>
      </c>
      <c r="D215" s="125">
        <f>IFERROR(__xludf.DUMMYFUNCTION("""COMPUTED_VALUE"""),6.0)</f>
        <v>6</v>
      </c>
      <c r="E215" s="125">
        <f>IFERROR(__xludf.DUMMYFUNCTION("""COMPUTED_VALUE"""),7.0)</f>
        <v>7</v>
      </c>
      <c r="F215" s="125">
        <f>IFERROR(__xludf.DUMMYFUNCTION("""COMPUTED_VALUE"""),17.0)</f>
        <v>17</v>
      </c>
      <c r="G215" s="125">
        <f>IFERROR(__xludf.DUMMYFUNCTION("""COMPUTED_VALUE"""),2.0)</f>
        <v>2</v>
      </c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45920.0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12.0</v>
      </c>
      <c r="E2" s="1"/>
      <c r="F2" s="1"/>
      <c r="R2" s="17"/>
      <c r="AC2" s="21" t="str">
        <f>text(C1-7,"mm/dd/yy")</f>
        <v>09/13/25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84</v>
      </c>
      <c r="C5" s="34">
        <v>163.0</v>
      </c>
      <c r="D5" s="34">
        <v>19.0</v>
      </c>
      <c r="E5" s="35">
        <f t="shared" ref="E5:E69" si="2">if(S5&gt;0,(C5-(V5*9)-(T5*13))/S5,0)</f>
        <v>14.5</v>
      </c>
      <c r="F5" s="95">
        <v>2.0</v>
      </c>
      <c r="G5" s="96">
        <v>1.0</v>
      </c>
      <c r="H5" s="97">
        <v>0.0</v>
      </c>
      <c r="I5" s="96">
        <v>2.0</v>
      </c>
      <c r="J5" s="96">
        <v>6.0</v>
      </c>
      <c r="K5" s="96">
        <v>2.0</v>
      </c>
      <c r="L5" s="98">
        <v>10.0</v>
      </c>
      <c r="M5" s="96">
        <v>1.0</v>
      </c>
      <c r="N5" s="34">
        <f t="shared" ref="N5:O5" si="1">C5+L5</f>
        <v>173</v>
      </c>
      <c r="O5" s="34">
        <f t="shared" si="1"/>
        <v>20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10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2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73</v>
      </c>
      <c r="C6" s="34">
        <v>158.0</v>
      </c>
      <c r="D6" s="34">
        <v>16.0</v>
      </c>
      <c r="E6" s="35">
        <f t="shared" si="2"/>
        <v>14.55555556</v>
      </c>
      <c r="F6" s="95">
        <v>3.0</v>
      </c>
      <c r="G6" s="96">
        <v>0.0</v>
      </c>
      <c r="H6" s="97">
        <v>9.0</v>
      </c>
      <c r="I6" s="96">
        <v>0.0</v>
      </c>
      <c r="J6" s="96">
        <v>0.0</v>
      </c>
      <c r="K6" s="96">
        <v>0.0</v>
      </c>
      <c r="L6" s="98">
        <v>9.0</v>
      </c>
      <c r="M6" s="96">
        <v>0.0</v>
      </c>
      <c r="N6" s="34">
        <f t="shared" ref="N6:O6" si="3">C6+L6</f>
        <v>167</v>
      </c>
      <c r="O6" s="34">
        <f t="shared" si="3"/>
        <v>16</v>
      </c>
      <c r="P6" s="49" t="s">
        <v>58</v>
      </c>
      <c r="Q6" s="49" t="s">
        <v>58</v>
      </c>
      <c r="R6" s="49"/>
      <c r="S6" s="50">
        <f t="shared" si="4"/>
        <v>9</v>
      </c>
      <c r="T6" s="52">
        <f t="shared" si="5"/>
        <v>0</v>
      </c>
      <c r="U6" s="52"/>
      <c r="V6" s="50">
        <f t="shared" si="6"/>
        <v>3</v>
      </c>
      <c r="W6" s="52">
        <f t="shared" si="7"/>
        <v>1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98</v>
      </c>
      <c r="C7" s="34">
        <v>154.0</v>
      </c>
      <c r="D7" s="34">
        <v>20.0</v>
      </c>
      <c r="E7" s="35">
        <f t="shared" si="2"/>
        <v>13.18181818</v>
      </c>
      <c r="F7" s="95">
        <v>1.0</v>
      </c>
      <c r="G7" s="96">
        <v>1.0</v>
      </c>
      <c r="H7" s="97">
        <v>0.0</v>
      </c>
      <c r="I7" s="96">
        <v>2.0</v>
      </c>
      <c r="J7" s="96">
        <v>0.0</v>
      </c>
      <c r="K7" s="96">
        <v>6.0</v>
      </c>
      <c r="L7" s="98">
        <v>8.0</v>
      </c>
      <c r="M7" s="96">
        <v>1.0</v>
      </c>
      <c r="N7" s="34">
        <f t="shared" ref="N7:O7" si="11">C7+L7</f>
        <v>162</v>
      </c>
      <c r="O7" s="34">
        <f t="shared" si="11"/>
        <v>21</v>
      </c>
      <c r="P7" s="49" t="s">
        <v>58</v>
      </c>
      <c r="Q7" s="49" t="s">
        <v>58</v>
      </c>
      <c r="R7" s="49"/>
      <c r="S7" s="50">
        <f t="shared" si="4"/>
        <v>11</v>
      </c>
      <c r="T7" s="52">
        <f t="shared" si="5"/>
        <v>0</v>
      </c>
      <c r="U7" s="52"/>
      <c r="V7" s="50">
        <f t="shared" si="6"/>
        <v>1</v>
      </c>
      <c r="W7" s="52">
        <f t="shared" si="7"/>
        <v>4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67</v>
      </c>
      <c r="C8" s="34">
        <v>151.0</v>
      </c>
      <c r="D8" s="34">
        <v>17.0</v>
      </c>
      <c r="E8" s="35">
        <f t="shared" si="2"/>
        <v>15.14285714</v>
      </c>
      <c r="F8" s="95">
        <v>3.0</v>
      </c>
      <c r="G8" s="96">
        <v>0.0</v>
      </c>
      <c r="H8" s="97">
        <v>9.0</v>
      </c>
      <c r="I8" s="96">
        <v>0.0</v>
      </c>
      <c r="J8" s="96">
        <v>0.0</v>
      </c>
      <c r="K8" s="96">
        <v>0.0</v>
      </c>
      <c r="L8" s="98">
        <v>9.0</v>
      </c>
      <c r="M8" s="96">
        <v>0.0</v>
      </c>
      <c r="N8" s="34">
        <f t="shared" ref="N8:O8" si="13">C8+L8</f>
        <v>160</v>
      </c>
      <c r="O8" s="34">
        <f t="shared" si="13"/>
        <v>17</v>
      </c>
      <c r="P8" s="49" t="s">
        <v>58</v>
      </c>
      <c r="Q8" s="49" t="s">
        <v>58</v>
      </c>
      <c r="R8" s="49"/>
      <c r="S8" s="50">
        <f t="shared" si="4"/>
        <v>7</v>
      </c>
      <c r="T8" s="52">
        <f t="shared" si="5"/>
        <v>0</v>
      </c>
      <c r="U8" s="52"/>
      <c r="V8" s="50">
        <f t="shared" si="6"/>
        <v>5</v>
      </c>
      <c r="W8" s="52">
        <f t="shared" si="7"/>
        <v>-2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107</v>
      </c>
      <c r="C9" s="34">
        <v>150.0</v>
      </c>
      <c r="D9" s="34">
        <v>16.0</v>
      </c>
      <c r="E9" s="35">
        <f t="shared" si="2"/>
        <v>13.75</v>
      </c>
      <c r="F9" s="95">
        <v>5.0</v>
      </c>
      <c r="G9" s="96">
        <v>0.0</v>
      </c>
      <c r="H9" s="97">
        <v>13.0</v>
      </c>
      <c r="I9" s="96">
        <v>0.0</v>
      </c>
      <c r="J9" s="96">
        <v>0.0</v>
      </c>
      <c r="K9" s="96">
        <v>0.0</v>
      </c>
      <c r="L9" s="98">
        <v>13.0</v>
      </c>
      <c r="M9" s="96">
        <v>0.0</v>
      </c>
      <c r="N9" s="34">
        <f t="shared" ref="N9:O9" si="14">C9+L9</f>
        <v>163</v>
      </c>
      <c r="O9" s="34">
        <f t="shared" si="14"/>
        <v>16</v>
      </c>
      <c r="P9" s="49" t="s">
        <v>58</v>
      </c>
      <c r="Q9" s="49" t="s">
        <v>58</v>
      </c>
      <c r="R9" s="49"/>
      <c r="S9" s="50">
        <f t="shared" si="4"/>
        <v>8</v>
      </c>
      <c r="T9" s="52">
        <f t="shared" si="5"/>
        <v>1</v>
      </c>
      <c r="U9" s="52"/>
      <c r="V9" s="50">
        <f t="shared" si="6"/>
        <v>3</v>
      </c>
      <c r="W9" s="52">
        <f t="shared" si="7"/>
        <v>-1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45</v>
      </c>
      <c r="C10" s="34">
        <v>150.0</v>
      </c>
      <c r="D10" s="34">
        <v>16.0</v>
      </c>
      <c r="E10" s="35">
        <f t="shared" si="2"/>
        <v>15</v>
      </c>
      <c r="F10" s="95">
        <v>1.0</v>
      </c>
      <c r="G10" s="96">
        <v>1.0</v>
      </c>
      <c r="H10" s="97">
        <v>0.0</v>
      </c>
      <c r="I10" s="96">
        <v>6.0</v>
      </c>
      <c r="J10" s="96">
        <v>6.0</v>
      </c>
      <c r="K10" s="96">
        <v>6.0</v>
      </c>
      <c r="L10" s="98">
        <v>18.0</v>
      </c>
      <c r="M10" s="96">
        <v>3.0</v>
      </c>
      <c r="N10" s="34">
        <f t="shared" ref="N10:O10" si="15">C10+L10</f>
        <v>168</v>
      </c>
      <c r="O10" s="34">
        <f t="shared" si="15"/>
        <v>19</v>
      </c>
      <c r="P10" s="49" t="s">
        <v>58</v>
      </c>
      <c r="Q10" s="49" t="s">
        <v>58</v>
      </c>
      <c r="R10" s="49"/>
      <c r="S10" s="50">
        <f t="shared" si="4"/>
        <v>7</v>
      </c>
      <c r="T10" s="52">
        <f t="shared" si="5"/>
        <v>0</v>
      </c>
      <c r="U10" s="52"/>
      <c r="V10" s="50">
        <f t="shared" si="6"/>
        <v>5</v>
      </c>
      <c r="W10" s="52">
        <f t="shared" si="7"/>
        <v>11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128</v>
      </c>
      <c r="C11" s="34">
        <v>150.0</v>
      </c>
      <c r="D11" s="34">
        <v>14.0</v>
      </c>
      <c r="E11" s="35">
        <f t="shared" si="2"/>
        <v>13.2</v>
      </c>
      <c r="F11" s="95">
        <v>1.0</v>
      </c>
      <c r="G11" s="96">
        <v>1.0</v>
      </c>
      <c r="H11" s="97">
        <v>0.0</v>
      </c>
      <c r="I11" s="96">
        <v>6.0</v>
      </c>
      <c r="J11" s="96">
        <v>0.0</v>
      </c>
      <c r="K11" s="96">
        <v>2.0</v>
      </c>
      <c r="L11" s="98">
        <v>8.0</v>
      </c>
      <c r="M11" s="96">
        <v>1.0</v>
      </c>
      <c r="N11" s="34">
        <f t="shared" ref="N11:O11" si="16">C11+L11</f>
        <v>158</v>
      </c>
      <c r="O11" s="34">
        <f t="shared" si="16"/>
        <v>15</v>
      </c>
      <c r="P11" s="49" t="s">
        <v>58</v>
      </c>
      <c r="Q11" s="49" t="s">
        <v>58</v>
      </c>
      <c r="R11" s="49"/>
      <c r="S11" s="50">
        <f t="shared" si="4"/>
        <v>10</v>
      </c>
      <c r="T11" s="52">
        <f t="shared" si="5"/>
        <v>0</v>
      </c>
      <c r="U11" s="52"/>
      <c r="V11" s="50">
        <f t="shared" si="6"/>
        <v>2</v>
      </c>
      <c r="W11" s="52">
        <f t="shared" si="7"/>
        <v>-1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90</v>
      </c>
      <c r="C12" s="34">
        <v>149.0</v>
      </c>
      <c r="D12" s="34">
        <v>17.0</v>
      </c>
      <c r="E12" s="35">
        <f t="shared" si="2"/>
        <v>12.36363636</v>
      </c>
      <c r="F12" s="95">
        <v>1.0</v>
      </c>
      <c r="G12" s="96">
        <v>2.0</v>
      </c>
      <c r="H12" s="97">
        <v>0.0</v>
      </c>
      <c r="I12" s="96">
        <v>7.0</v>
      </c>
      <c r="J12" s="96">
        <v>6.0</v>
      </c>
      <c r="K12" s="96">
        <v>6.0</v>
      </c>
      <c r="L12" s="98">
        <v>19.0</v>
      </c>
      <c r="M12" s="96">
        <v>3.0</v>
      </c>
      <c r="N12" s="34">
        <f t="shared" ref="N12:O12" si="17">C12+L12</f>
        <v>168</v>
      </c>
      <c r="O12" s="34">
        <f t="shared" si="17"/>
        <v>20</v>
      </c>
      <c r="P12" s="49" t="s">
        <v>58</v>
      </c>
      <c r="Q12" s="49" t="s">
        <v>58</v>
      </c>
      <c r="R12" s="49"/>
      <c r="S12" s="50">
        <f t="shared" si="4"/>
        <v>11</v>
      </c>
      <c r="T12" s="52">
        <f t="shared" si="5"/>
        <v>1</v>
      </c>
      <c r="U12" s="52"/>
      <c r="V12" s="50">
        <f t="shared" si="6"/>
        <v>0</v>
      </c>
      <c r="W12" s="52">
        <f t="shared" si="7"/>
        <v>4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113</v>
      </c>
      <c r="C13" s="34">
        <v>149.0</v>
      </c>
      <c r="D13" s="34">
        <v>14.0</v>
      </c>
      <c r="E13" s="35">
        <f t="shared" si="2"/>
        <v>14.125</v>
      </c>
      <c r="F13" s="95">
        <v>1.0</v>
      </c>
      <c r="G13" s="96">
        <v>2.0</v>
      </c>
      <c r="H13" s="97">
        <v>0.0</v>
      </c>
      <c r="I13" s="96">
        <v>6.0</v>
      </c>
      <c r="J13" s="96">
        <v>2.0</v>
      </c>
      <c r="K13" s="96">
        <v>6.0</v>
      </c>
      <c r="L13" s="98">
        <v>14.0</v>
      </c>
      <c r="M13" s="96">
        <v>1.0</v>
      </c>
      <c r="N13" s="34">
        <f t="shared" ref="N13:O13" si="18">C13+L13</f>
        <v>163</v>
      </c>
      <c r="O13" s="34">
        <f t="shared" si="18"/>
        <v>15</v>
      </c>
      <c r="P13" s="49" t="s">
        <v>58</v>
      </c>
      <c r="Q13" s="49" t="s">
        <v>58</v>
      </c>
      <c r="R13" s="49"/>
      <c r="S13" s="50">
        <f t="shared" si="4"/>
        <v>8</v>
      </c>
      <c r="T13" s="52">
        <f t="shared" si="5"/>
        <v>0</v>
      </c>
      <c r="U13" s="52"/>
      <c r="V13" s="50">
        <f t="shared" si="6"/>
        <v>4</v>
      </c>
      <c r="W13" s="52">
        <f t="shared" si="7"/>
        <v>1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109</v>
      </c>
      <c r="C14" s="34">
        <v>148.0</v>
      </c>
      <c r="D14" s="34">
        <v>14.0</v>
      </c>
      <c r="E14" s="35">
        <f t="shared" si="2"/>
        <v>13.44444444</v>
      </c>
      <c r="F14" s="95">
        <v>2.0</v>
      </c>
      <c r="G14" s="96">
        <v>2.0</v>
      </c>
      <c r="H14" s="97">
        <v>0.0</v>
      </c>
      <c r="I14" s="96">
        <v>7.0</v>
      </c>
      <c r="J14" s="96">
        <v>2.0</v>
      </c>
      <c r="K14" s="96">
        <v>4.0</v>
      </c>
      <c r="L14" s="98">
        <v>13.0</v>
      </c>
      <c r="M14" s="96">
        <v>1.0</v>
      </c>
      <c r="N14" s="34">
        <f t="shared" ref="N14:O14" si="19">C14+L14</f>
        <v>161</v>
      </c>
      <c r="O14" s="34">
        <f t="shared" si="19"/>
        <v>15</v>
      </c>
      <c r="P14" s="49" t="s">
        <v>58</v>
      </c>
      <c r="Q14" s="49" t="s">
        <v>58</v>
      </c>
      <c r="R14" s="49"/>
      <c r="S14" s="50">
        <f t="shared" si="4"/>
        <v>9</v>
      </c>
      <c r="T14" s="52">
        <f t="shared" si="5"/>
        <v>0</v>
      </c>
      <c r="U14" s="52"/>
      <c r="V14" s="50">
        <f t="shared" si="6"/>
        <v>3</v>
      </c>
      <c r="W14" s="52">
        <f t="shared" si="7"/>
        <v>-5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94</v>
      </c>
      <c r="C15" s="34">
        <v>148.0</v>
      </c>
      <c r="D15" s="34">
        <v>14.0</v>
      </c>
      <c r="E15" s="35">
        <f t="shared" si="2"/>
        <v>12.63636364</v>
      </c>
      <c r="F15" s="95">
        <v>1.0</v>
      </c>
      <c r="G15" s="96">
        <v>2.0</v>
      </c>
      <c r="H15" s="97">
        <v>0.0</v>
      </c>
      <c r="I15" s="96">
        <v>6.0</v>
      </c>
      <c r="J15" s="96">
        <v>6.0</v>
      </c>
      <c r="K15" s="96">
        <v>4.0</v>
      </c>
      <c r="L15" s="98">
        <v>16.0</v>
      </c>
      <c r="M15" s="96">
        <v>1.0</v>
      </c>
      <c r="N15" s="34">
        <f t="shared" ref="N15:O15" si="20">C15+L15</f>
        <v>164</v>
      </c>
      <c r="O15" s="34">
        <f t="shared" si="20"/>
        <v>15</v>
      </c>
      <c r="P15" s="49" t="s">
        <v>58</v>
      </c>
      <c r="Q15" s="49" t="s">
        <v>58</v>
      </c>
      <c r="R15" s="49"/>
      <c r="S15" s="50">
        <f t="shared" si="4"/>
        <v>11</v>
      </c>
      <c r="T15" s="52">
        <f t="shared" si="5"/>
        <v>0</v>
      </c>
      <c r="U15" s="52"/>
      <c r="V15" s="50">
        <f t="shared" si="6"/>
        <v>1</v>
      </c>
      <c r="W15" s="52">
        <f t="shared" si="7"/>
        <v>-2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110</v>
      </c>
      <c r="C16" s="34">
        <v>147.0</v>
      </c>
      <c r="D16" s="34">
        <v>15.0</v>
      </c>
      <c r="E16" s="35">
        <f t="shared" si="2"/>
        <v>12.25</v>
      </c>
      <c r="F16" s="95">
        <v>1.0</v>
      </c>
      <c r="G16" s="96">
        <v>3.0</v>
      </c>
      <c r="H16" s="97">
        <v>0.0</v>
      </c>
      <c r="I16" s="96">
        <v>6.0</v>
      </c>
      <c r="J16" s="96">
        <v>3.0</v>
      </c>
      <c r="K16" s="96">
        <v>1.0</v>
      </c>
      <c r="L16" s="98">
        <v>10.0</v>
      </c>
      <c r="M16" s="96">
        <v>0.0</v>
      </c>
      <c r="N16" s="34">
        <f t="shared" ref="N16:O16" si="21">C16+L16</f>
        <v>157</v>
      </c>
      <c r="O16" s="34">
        <f t="shared" si="21"/>
        <v>15</v>
      </c>
      <c r="P16" s="49" t="s">
        <v>58</v>
      </c>
      <c r="Q16" s="49" t="s">
        <v>58</v>
      </c>
      <c r="R16" s="49"/>
      <c r="S16" s="50">
        <f t="shared" si="4"/>
        <v>12</v>
      </c>
      <c r="T16" s="52">
        <f t="shared" si="5"/>
        <v>0</v>
      </c>
      <c r="U16" s="52"/>
      <c r="V16" s="50">
        <f t="shared" si="6"/>
        <v>0</v>
      </c>
      <c r="W16" s="52">
        <f t="shared" si="7"/>
        <v>1</v>
      </c>
      <c r="X16" s="32">
        <f t="shared" si="12"/>
        <v>12</v>
      </c>
      <c r="Y16" s="32" t="str">
        <f t="shared" si="8"/>
        <v>Y</v>
      </c>
      <c r="Z16" s="16" t="str">
        <f t="shared" si="9"/>
        <v/>
      </c>
    </row>
    <row r="17">
      <c r="A17" s="32">
        <f t="shared" si="10"/>
        <v>13</v>
      </c>
      <c r="B17" s="33" t="s">
        <v>83</v>
      </c>
      <c r="C17" s="34">
        <v>147.0</v>
      </c>
      <c r="D17" s="34">
        <v>14.0</v>
      </c>
      <c r="E17" s="35">
        <f t="shared" si="2"/>
        <v>14.57142857</v>
      </c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22">C17+L17</f>
        <v>156</v>
      </c>
      <c r="O17" s="34">
        <f t="shared" si="22"/>
        <v>14</v>
      </c>
      <c r="P17" s="49" t="s">
        <v>58</v>
      </c>
      <c r="Q17" s="49" t="s">
        <v>58</v>
      </c>
      <c r="R17" s="49"/>
      <c r="S17" s="50">
        <f t="shared" si="4"/>
        <v>7</v>
      </c>
      <c r="T17" s="52">
        <f t="shared" si="5"/>
        <v>0</v>
      </c>
      <c r="U17" s="52"/>
      <c r="V17" s="50">
        <f t="shared" si="6"/>
        <v>5</v>
      </c>
      <c r="W17" s="52">
        <f t="shared" si="7"/>
        <v>-5</v>
      </c>
      <c r="X17" s="32">
        <f t="shared" si="12"/>
        <v>13</v>
      </c>
      <c r="Y17" s="32" t="str">
        <f t="shared" si="8"/>
        <v>N</v>
      </c>
      <c r="Z17" s="16" t="str">
        <f t="shared" si="9"/>
        <v/>
      </c>
    </row>
    <row r="18">
      <c r="A18" s="32">
        <f t="shared" si="10"/>
        <v>14</v>
      </c>
      <c r="B18" s="33" t="s">
        <v>106</v>
      </c>
      <c r="C18" s="34">
        <v>147.0</v>
      </c>
      <c r="D18" s="34">
        <v>14.0</v>
      </c>
      <c r="E18" s="35">
        <f t="shared" si="2"/>
        <v>12.88888889</v>
      </c>
      <c r="F18" s="95">
        <v>1.0</v>
      </c>
      <c r="G18" s="96">
        <v>3.0</v>
      </c>
      <c r="H18" s="97">
        <v>0.0</v>
      </c>
      <c r="I18" s="96">
        <v>7.0</v>
      </c>
      <c r="J18" s="96">
        <v>6.0</v>
      </c>
      <c r="K18" s="96">
        <v>1.0</v>
      </c>
      <c r="L18" s="98">
        <v>14.0</v>
      </c>
      <c r="M18" s="96">
        <v>2.0</v>
      </c>
      <c r="N18" s="34">
        <f t="shared" ref="N18:O18" si="23">C18+L18</f>
        <v>161</v>
      </c>
      <c r="O18" s="34">
        <f t="shared" si="23"/>
        <v>16</v>
      </c>
      <c r="P18" s="49" t="s">
        <v>58</v>
      </c>
      <c r="Q18" s="49" t="s">
        <v>58</v>
      </c>
      <c r="R18" s="49"/>
      <c r="S18" s="50">
        <f t="shared" si="4"/>
        <v>9</v>
      </c>
      <c r="T18" s="52">
        <f t="shared" si="5"/>
        <v>1</v>
      </c>
      <c r="U18" s="52"/>
      <c r="V18" s="50">
        <f t="shared" si="6"/>
        <v>2</v>
      </c>
      <c r="W18" s="52">
        <f t="shared" si="7"/>
        <v>2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97</v>
      </c>
      <c r="C19" s="34">
        <v>146.0</v>
      </c>
      <c r="D19" s="34">
        <v>17.0</v>
      </c>
      <c r="E19" s="35">
        <f t="shared" si="2"/>
        <v>13.75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4">C19+L19</f>
        <v>155</v>
      </c>
      <c r="O19" s="34">
        <f t="shared" si="24"/>
        <v>17</v>
      </c>
      <c r="P19" s="49" t="s">
        <v>58</v>
      </c>
      <c r="Q19" s="49" t="s">
        <v>58</v>
      </c>
      <c r="R19" s="49"/>
      <c r="S19" s="50">
        <f t="shared" si="4"/>
        <v>8</v>
      </c>
      <c r="T19" s="52">
        <f t="shared" si="5"/>
        <v>0</v>
      </c>
      <c r="U19" s="52"/>
      <c r="V19" s="50">
        <f t="shared" si="6"/>
        <v>4</v>
      </c>
      <c r="W19" s="52">
        <f t="shared" si="7"/>
        <v>4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103</v>
      </c>
      <c r="C20" s="34">
        <v>146.0</v>
      </c>
      <c r="D20" s="34">
        <v>10.0</v>
      </c>
      <c r="E20" s="35">
        <f t="shared" si="2"/>
        <v>12.4</v>
      </c>
      <c r="F20" s="95">
        <v>1.0</v>
      </c>
      <c r="G20" s="96">
        <v>3.0</v>
      </c>
      <c r="H20" s="97">
        <v>0.0</v>
      </c>
      <c r="I20" s="96">
        <v>6.0</v>
      </c>
      <c r="J20" s="96">
        <v>6.0</v>
      </c>
      <c r="K20" s="96">
        <v>6.0</v>
      </c>
      <c r="L20" s="98">
        <v>18.0</v>
      </c>
      <c r="M20" s="96">
        <v>2.0</v>
      </c>
      <c r="N20" s="34">
        <f t="shared" ref="N20:O20" si="25">C20+L20</f>
        <v>164</v>
      </c>
      <c r="O20" s="34">
        <f t="shared" si="25"/>
        <v>12</v>
      </c>
      <c r="P20" s="49" t="s">
        <v>58</v>
      </c>
      <c r="Q20" s="49" t="s">
        <v>58</v>
      </c>
      <c r="R20" s="49"/>
      <c r="S20" s="50">
        <f t="shared" si="4"/>
        <v>10</v>
      </c>
      <c r="T20" s="52">
        <f t="shared" si="5"/>
        <v>1</v>
      </c>
      <c r="U20" s="52"/>
      <c r="V20" s="50">
        <f t="shared" si="6"/>
        <v>1</v>
      </c>
      <c r="W20" s="52">
        <f t="shared" si="7"/>
        <v>2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87</v>
      </c>
      <c r="C21" s="34">
        <v>143.0</v>
      </c>
      <c r="D21" s="34">
        <v>15.0</v>
      </c>
      <c r="E21" s="35">
        <f t="shared" si="2"/>
        <v>12.18181818</v>
      </c>
      <c r="F21" s="95">
        <v>1.0</v>
      </c>
      <c r="G21" s="96">
        <v>3.0</v>
      </c>
      <c r="H21" s="97">
        <v>0.0</v>
      </c>
      <c r="I21" s="96">
        <v>7.0</v>
      </c>
      <c r="J21" s="96">
        <v>3.0</v>
      </c>
      <c r="K21" s="96">
        <v>6.0</v>
      </c>
      <c r="L21" s="98">
        <v>16.0</v>
      </c>
      <c r="M21" s="96">
        <v>2.0</v>
      </c>
      <c r="N21" s="34">
        <f t="shared" ref="N21:O21" si="26">C21+L21</f>
        <v>159</v>
      </c>
      <c r="O21" s="34">
        <f t="shared" si="26"/>
        <v>17</v>
      </c>
      <c r="P21" s="49" t="s">
        <v>58</v>
      </c>
      <c r="Q21" s="49" t="s">
        <v>58</v>
      </c>
      <c r="R21" s="49"/>
      <c r="S21" s="50">
        <f t="shared" si="4"/>
        <v>11</v>
      </c>
      <c r="T21" s="52">
        <f t="shared" si="5"/>
        <v>0</v>
      </c>
      <c r="U21" s="52"/>
      <c r="V21" s="50">
        <f t="shared" si="6"/>
        <v>1</v>
      </c>
      <c r="W21" s="52">
        <f t="shared" si="7"/>
        <v>-6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91</v>
      </c>
      <c r="C22" s="34">
        <v>140.0</v>
      </c>
      <c r="D22" s="34">
        <v>14.0</v>
      </c>
      <c r="E22" s="35">
        <f t="shared" si="2"/>
        <v>11.8</v>
      </c>
      <c r="F22" s="95">
        <v>1.0</v>
      </c>
      <c r="G22" s="96">
        <v>4.0</v>
      </c>
      <c r="H22" s="97">
        <v>0.0</v>
      </c>
      <c r="I22" s="96">
        <v>6.0</v>
      </c>
      <c r="J22" s="96">
        <v>6.0</v>
      </c>
      <c r="K22" s="96">
        <v>1.0</v>
      </c>
      <c r="L22" s="98">
        <v>13.0</v>
      </c>
      <c r="M22" s="96">
        <v>2.0</v>
      </c>
      <c r="N22" s="34">
        <f t="shared" ref="N22:O22" si="27">C22+L22</f>
        <v>153</v>
      </c>
      <c r="O22" s="34">
        <f t="shared" si="27"/>
        <v>16</v>
      </c>
      <c r="P22" s="49" t="s">
        <v>58</v>
      </c>
      <c r="Q22" s="49" t="s">
        <v>58</v>
      </c>
      <c r="R22" s="49"/>
      <c r="S22" s="50">
        <f t="shared" si="4"/>
        <v>10</v>
      </c>
      <c r="T22" s="52">
        <f t="shared" si="5"/>
        <v>1</v>
      </c>
      <c r="U22" s="52"/>
      <c r="V22" s="50">
        <f t="shared" si="6"/>
        <v>1</v>
      </c>
      <c r="W22" s="52">
        <f t="shared" si="7"/>
        <v>-4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89</v>
      </c>
      <c r="C23" s="34">
        <v>140.0</v>
      </c>
      <c r="D23" s="34">
        <v>13.0</v>
      </c>
      <c r="E23" s="35">
        <f t="shared" si="2"/>
        <v>13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8">C23+L23</f>
        <v>149</v>
      </c>
      <c r="O23" s="34">
        <f t="shared" si="28"/>
        <v>13</v>
      </c>
      <c r="P23" s="49" t="s">
        <v>58</v>
      </c>
      <c r="Q23" s="49" t="s">
        <v>58</v>
      </c>
      <c r="R23" s="49"/>
      <c r="S23" s="50">
        <f t="shared" si="4"/>
        <v>8</v>
      </c>
      <c r="T23" s="52">
        <f t="shared" si="5"/>
        <v>0</v>
      </c>
      <c r="U23" s="52"/>
      <c r="V23" s="50">
        <f t="shared" si="6"/>
        <v>4</v>
      </c>
      <c r="W23" s="52">
        <f t="shared" si="7"/>
        <v>-4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49</v>
      </c>
      <c r="C24" s="34">
        <v>138.0</v>
      </c>
      <c r="D24" s="34">
        <v>15.0</v>
      </c>
      <c r="E24" s="35">
        <f t="shared" si="2"/>
        <v>12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9">C24+L24</f>
        <v>147</v>
      </c>
      <c r="O24" s="34">
        <f t="shared" si="29"/>
        <v>15</v>
      </c>
      <c r="P24" s="49" t="s">
        <v>58</v>
      </c>
      <c r="Q24" s="49" t="s">
        <v>58</v>
      </c>
      <c r="R24" s="49"/>
      <c r="S24" s="50">
        <f t="shared" si="4"/>
        <v>10</v>
      </c>
      <c r="T24" s="52">
        <f t="shared" si="5"/>
        <v>0</v>
      </c>
      <c r="U24" s="52"/>
      <c r="V24" s="50">
        <f t="shared" si="6"/>
        <v>2</v>
      </c>
      <c r="W24" s="52">
        <f t="shared" si="7"/>
        <v>5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125</v>
      </c>
      <c r="C25" s="34">
        <v>138.0</v>
      </c>
      <c r="D25" s="34">
        <v>11.0</v>
      </c>
      <c r="E25" s="35">
        <f t="shared" si="2"/>
        <v>12.33333333</v>
      </c>
      <c r="F25" s="95">
        <v>1.0</v>
      </c>
      <c r="G25" s="96">
        <v>4.0</v>
      </c>
      <c r="H25" s="97">
        <v>0.0</v>
      </c>
      <c r="I25" s="96">
        <v>6.0</v>
      </c>
      <c r="J25" s="96">
        <v>2.0</v>
      </c>
      <c r="K25" s="96">
        <v>6.0</v>
      </c>
      <c r="L25" s="98">
        <v>14.0</v>
      </c>
      <c r="M25" s="96">
        <v>2.0</v>
      </c>
      <c r="N25" s="34">
        <f t="shared" ref="N25:O25" si="30">C25+L25</f>
        <v>152</v>
      </c>
      <c r="O25" s="34">
        <f t="shared" si="30"/>
        <v>13</v>
      </c>
      <c r="P25" s="49" t="s">
        <v>58</v>
      </c>
      <c r="Q25" s="49" t="s">
        <v>58</v>
      </c>
      <c r="R25" s="49"/>
      <c r="S25" s="50">
        <f t="shared" si="4"/>
        <v>9</v>
      </c>
      <c r="T25" s="52">
        <f t="shared" si="5"/>
        <v>0</v>
      </c>
      <c r="U25" s="52"/>
      <c r="V25" s="50">
        <f t="shared" si="6"/>
        <v>3</v>
      </c>
      <c r="W25" s="52">
        <f t="shared" si="7"/>
        <v>1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50</v>
      </c>
      <c r="C26" s="34">
        <v>137.0</v>
      </c>
      <c r="D26" s="34">
        <v>14.0</v>
      </c>
      <c r="E26" s="35">
        <f t="shared" si="2"/>
        <v>11.41666667</v>
      </c>
      <c r="F26" s="95">
        <v>1.0</v>
      </c>
      <c r="G26" s="96">
        <v>4.0</v>
      </c>
      <c r="H26" s="97">
        <v>0.0</v>
      </c>
      <c r="I26" s="96">
        <v>4.0</v>
      </c>
      <c r="J26" s="96">
        <v>6.0</v>
      </c>
      <c r="K26" s="96">
        <v>6.0</v>
      </c>
      <c r="L26" s="98">
        <v>16.0</v>
      </c>
      <c r="M26" s="96">
        <v>2.0</v>
      </c>
      <c r="N26" s="34">
        <f t="shared" ref="N26:O26" si="31">C26+L26</f>
        <v>153</v>
      </c>
      <c r="O26" s="34">
        <f t="shared" si="31"/>
        <v>16</v>
      </c>
      <c r="P26" s="49" t="s">
        <v>58</v>
      </c>
      <c r="Q26" s="49" t="s">
        <v>58</v>
      </c>
      <c r="R26" s="49"/>
      <c r="S26" s="50">
        <f t="shared" si="4"/>
        <v>12</v>
      </c>
      <c r="T26" s="52">
        <f t="shared" si="5"/>
        <v>0</v>
      </c>
      <c r="U26" s="52"/>
      <c r="V26" s="50">
        <f t="shared" si="6"/>
        <v>0</v>
      </c>
      <c r="W26" s="52">
        <f t="shared" si="7"/>
        <v>5</v>
      </c>
      <c r="X26" s="32">
        <f t="shared" si="12"/>
        <v>22</v>
      </c>
      <c r="Y26" s="32" t="str">
        <f t="shared" si="8"/>
        <v>Y</v>
      </c>
      <c r="Z26" s="16" t="str">
        <f t="shared" si="9"/>
        <v/>
      </c>
    </row>
    <row r="27">
      <c r="A27" s="32">
        <f t="shared" si="10"/>
        <v>23</v>
      </c>
      <c r="B27" s="33" t="s">
        <v>133</v>
      </c>
      <c r="C27" s="34">
        <v>136.0</v>
      </c>
      <c r="D27" s="34">
        <v>13.0</v>
      </c>
      <c r="E27" s="35">
        <f t="shared" si="2"/>
        <v>13</v>
      </c>
      <c r="F27" s="95">
        <v>0.0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0.0</v>
      </c>
      <c r="M27" s="96">
        <v>0.0</v>
      </c>
      <c r="N27" s="49">
        <v>145.0</v>
      </c>
      <c r="O27" s="34">
        <f t="shared" ref="O27:O28" si="32">D27+M27</f>
        <v>13</v>
      </c>
      <c r="P27" s="49" t="s">
        <v>58</v>
      </c>
      <c r="Q27" s="49" t="s">
        <v>58</v>
      </c>
      <c r="R27" s="49"/>
      <c r="S27" s="50">
        <f t="shared" si="4"/>
        <v>7</v>
      </c>
      <c r="T27" s="52">
        <f t="shared" si="5"/>
        <v>0</v>
      </c>
      <c r="U27" s="52"/>
      <c r="V27" s="50">
        <f t="shared" si="6"/>
        <v>5</v>
      </c>
      <c r="W27" s="52">
        <f t="shared" si="7"/>
        <v>-3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66</v>
      </c>
      <c r="C28" s="34">
        <v>136.0</v>
      </c>
      <c r="D28" s="34">
        <v>12.0</v>
      </c>
      <c r="E28" s="35">
        <f t="shared" si="2"/>
        <v>11.33333333</v>
      </c>
      <c r="F28" s="95">
        <v>1.0</v>
      </c>
      <c r="G28" s="96">
        <v>4.0</v>
      </c>
      <c r="H28" s="97">
        <v>0.0</v>
      </c>
      <c r="I28" s="96">
        <v>4.0</v>
      </c>
      <c r="J28" s="96">
        <v>2.0</v>
      </c>
      <c r="K28" s="96">
        <v>1.0</v>
      </c>
      <c r="L28" s="98">
        <v>7.0</v>
      </c>
      <c r="M28" s="96">
        <v>0.0</v>
      </c>
      <c r="N28" s="49">
        <v>143.0</v>
      </c>
      <c r="O28" s="34">
        <f t="shared" si="32"/>
        <v>12</v>
      </c>
      <c r="P28" s="49" t="s">
        <v>58</v>
      </c>
      <c r="Q28" s="49" t="s">
        <v>58</v>
      </c>
      <c r="R28" s="49"/>
      <c r="S28" s="50">
        <f t="shared" si="4"/>
        <v>12</v>
      </c>
      <c r="T28" s="52">
        <f t="shared" si="5"/>
        <v>0</v>
      </c>
      <c r="U28" s="52"/>
      <c r="V28" s="50">
        <f t="shared" si="6"/>
        <v>0</v>
      </c>
      <c r="W28" s="52">
        <f t="shared" si="7"/>
        <v>7</v>
      </c>
      <c r="X28" s="32">
        <f t="shared" si="12"/>
        <v>24</v>
      </c>
      <c r="Y28" s="32" t="str">
        <f t="shared" si="8"/>
        <v>Y</v>
      </c>
      <c r="Z28" s="16" t="str">
        <f t="shared" si="9"/>
        <v/>
      </c>
    </row>
    <row r="29">
      <c r="A29" s="32">
        <f t="shared" si="10"/>
        <v>25</v>
      </c>
      <c r="B29" s="33" t="s">
        <v>65</v>
      </c>
      <c r="C29" s="34">
        <v>135.0</v>
      </c>
      <c r="D29" s="34">
        <v>13.0</v>
      </c>
      <c r="E29" s="35">
        <f t="shared" si="2"/>
        <v>14.4</v>
      </c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3">C29+L29</f>
        <v>144</v>
      </c>
      <c r="O29" s="34">
        <f t="shared" si="33"/>
        <v>13</v>
      </c>
      <c r="P29" s="49" t="s">
        <v>58</v>
      </c>
      <c r="Q29" s="49" t="s">
        <v>58</v>
      </c>
      <c r="R29" s="49"/>
      <c r="S29" s="50">
        <f t="shared" si="4"/>
        <v>5</v>
      </c>
      <c r="T29" s="52">
        <f t="shared" si="5"/>
        <v>0</v>
      </c>
      <c r="U29" s="52"/>
      <c r="V29" s="50">
        <f t="shared" si="6"/>
        <v>7</v>
      </c>
      <c r="W29" s="52">
        <f t="shared" si="7"/>
        <v>-4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99</v>
      </c>
      <c r="C30" s="34">
        <v>134.0</v>
      </c>
      <c r="D30" s="34">
        <v>11.0</v>
      </c>
      <c r="E30" s="35">
        <f t="shared" si="2"/>
        <v>12.25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4">C30+L30</f>
        <v>143</v>
      </c>
      <c r="O30" s="34">
        <f t="shared" si="34"/>
        <v>11</v>
      </c>
      <c r="P30" s="49" t="s">
        <v>58</v>
      </c>
      <c r="Q30" s="49" t="s">
        <v>58</v>
      </c>
      <c r="R30" s="49"/>
      <c r="S30" s="50">
        <f t="shared" si="4"/>
        <v>8</v>
      </c>
      <c r="T30" s="52">
        <f t="shared" si="5"/>
        <v>0</v>
      </c>
      <c r="U30" s="52"/>
      <c r="V30" s="50">
        <f t="shared" si="6"/>
        <v>4</v>
      </c>
      <c r="W30" s="52">
        <f t="shared" si="7"/>
        <v>-3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96</v>
      </c>
      <c r="C31" s="34">
        <v>134.0</v>
      </c>
      <c r="D31" s="34">
        <v>10.0</v>
      </c>
      <c r="E31" s="35">
        <f t="shared" si="2"/>
        <v>11.6</v>
      </c>
      <c r="F31" s="95">
        <v>1.0</v>
      </c>
      <c r="G31" s="96">
        <v>5.0</v>
      </c>
      <c r="H31" s="97">
        <v>0.0</v>
      </c>
      <c r="I31" s="96">
        <v>1.0</v>
      </c>
      <c r="J31" s="96">
        <v>7.0</v>
      </c>
      <c r="K31" s="96">
        <v>1.0</v>
      </c>
      <c r="L31" s="98">
        <v>9.0</v>
      </c>
      <c r="M31" s="96">
        <v>1.0</v>
      </c>
      <c r="N31" s="34">
        <f t="shared" ref="N31:O31" si="35">C31+L31</f>
        <v>143</v>
      </c>
      <c r="O31" s="34">
        <f t="shared" si="35"/>
        <v>11</v>
      </c>
      <c r="P31" s="49" t="s">
        <v>58</v>
      </c>
      <c r="Q31" s="49" t="s">
        <v>58</v>
      </c>
      <c r="R31" s="49"/>
      <c r="S31" s="50">
        <f t="shared" si="4"/>
        <v>10</v>
      </c>
      <c r="T31" s="52">
        <f t="shared" si="5"/>
        <v>0</v>
      </c>
      <c r="U31" s="52"/>
      <c r="V31" s="50">
        <f t="shared" si="6"/>
        <v>2</v>
      </c>
      <c r="W31" s="52">
        <f t="shared" si="7"/>
        <v>-3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100</v>
      </c>
      <c r="C32" s="34">
        <v>133.0</v>
      </c>
      <c r="D32" s="34">
        <v>10.0</v>
      </c>
      <c r="E32" s="35">
        <f t="shared" si="2"/>
        <v>13.16666667</v>
      </c>
      <c r="F32" s="95">
        <v>1.0</v>
      </c>
      <c r="G32" s="96">
        <v>5.0</v>
      </c>
      <c r="H32" s="97">
        <v>0.0</v>
      </c>
      <c r="I32" s="96">
        <v>6.0</v>
      </c>
      <c r="J32" s="96">
        <v>6.0</v>
      </c>
      <c r="K32" s="96">
        <v>1.0</v>
      </c>
      <c r="L32" s="98">
        <v>13.0</v>
      </c>
      <c r="M32" s="96">
        <v>1.0</v>
      </c>
      <c r="N32" s="34">
        <f t="shared" ref="N32:O32" si="36">C32+L32</f>
        <v>146</v>
      </c>
      <c r="O32" s="34">
        <f t="shared" si="36"/>
        <v>11</v>
      </c>
      <c r="P32" s="49" t="s">
        <v>58</v>
      </c>
      <c r="Q32" s="49" t="s">
        <v>58</v>
      </c>
      <c r="R32" s="49"/>
      <c r="S32" s="50">
        <f t="shared" si="4"/>
        <v>6</v>
      </c>
      <c r="T32" s="52">
        <f t="shared" si="5"/>
        <v>0</v>
      </c>
      <c r="U32" s="52"/>
      <c r="V32" s="50">
        <f t="shared" si="6"/>
        <v>6</v>
      </c>
      <c r="W32" s="52">
        <f t="shared" si="7"/>
        <v>10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111</v>
      </c>
      <c r="C33" s="34">
        <v>133.0</v>
      </c>
      <c r="D33" s="34">
        <v>9.0</v>
      </c>
      <c r="E33" s="35">
        <f t="shared" si="2"/>
        <v>11.625</v>
      </c>
      <c r="F33" s="95">
        <v>2.0</v>
      </c>
      <c r="G33" s="96">
        <v>5.0</v>
      </c>
      <c r="H33" s="97">
        <v>0.0</v>
      </c>
      <c r="I33" s="96">
        <v>1.0</v>
      </c>
      <c r="J33" s="96">
        <v>6.0</v>
      </c>
      <c r="K33" s="96">
        <v>6.0</v>
      </c>
      <c r="L33" s="98">
        <v>13.0</v>
      </c>
      <c r="M33" s="96">
        <v>1.0</v>
      </c>
      <c r="N33" s="34">
        <f t="shared" ref="N33:O33" si="37">C33+L33</f>
        <v>146</v>
      </c>
      <c r="O33" s="34">
        <f t="shared" si="37"/>
        <v>10</v>
      </c>
      <c r="P33" s="49" t="s">
        <v>58</v>
      </c>
      <c r="Q33" s="49" t="s">
        <v>58</v>
      </c>
      <c r="R33" s="49"/>
      <c r="S33" s="50">
        <f t="shared" si="4"/>
        <v>8</v>
      </c>
      <c r="T33" s="52">
        <f t="shared" si="5"/>
        <v>1</v>
      </c>
      <c r="U33" s="52"/>
      <c r="V33" s="50">
        <f t="shared" si="6"/>
        <v>3</v>
      </c>
      <c r="W33" s="52">
        <f t="shared" si="7"/>
        <v>-3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134</v>
      </c>
      <c r="C34" s="34">
        <v>131.0</v>
      </c>
      <c r="D34" s="34">
        <v>10.0</v>
      </c>
      <c r="E34" s="35">
        <f t="shared" si="2"/>
        <v>13.6</v>
      </c>
      <c r="F34" s="95">
        <v>1.0</v>
      </c>
      <c r="G34" s="96">
        <v>5.0</v>
      </c>
      <c r="H34" s="97">
        <v>0.0</v>
      </c>
      <c r="I34" s="96">
        <v>6.0</v>
      </c>
      <c r="J34" s="96">
        <v>7.0</v>
      </c>
      <c r="K34" s="96">
        <v>6.0</v>
      </c>
      <c r="L34" s="98">
        <v>19.0</v>
      </c>
      <c r="M34" s="96">
        <v>3.0</v>
      </c>
      <c r="N34" s="34">
        <f t="shared" ref="N34:O34" si="38">C34+L34</f>
        <v>150</v>
      </c>
      <c r="O34" s="34">
        <f t="shared" si="38"/>
        <v>13</v>
      </c>
      <c r="P34" s="49" t="s">
        <v>58</v>
      </c>
      <c r="Q34" s="49" t="s">
        <v>58</v>
      </c>
      <c r="R34" s="49"/>
      <c r="S34" s="50">
        <f t="shared" si="4"/>
        <v>5</v>
      </c>
      <c r="T34" s="52">
        <f t="shared" si="5"/>
        <v>0</v>
      </c>
      <c r="U34" s="52"/>
      <c r="V34" s="50">
        <f t="shared" si="6"/>
        <v>7</v>
      </c>
      <c r="W34" s="52">
        <f t="shared" si="7"/>
        <v>-2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138</v>
      </c>
      <c r="C35" s="34">
        <v>131.0</v>
      </c>
      <c r="D35" s="34">
        <v>10.0</v>
      </c>
      <c r="E35" s="35">
        <f t="shared" si="2"/>
        <v>12.28571429</v>
      </c>
      <c r="F35" s="95">
        <v>3.0</v>
      </c>
      <c r="G35" s="96">
        <v>0.0</v>
      </c>
      <c r="H35" s="97">
        <v>9.0</v>
      </c>
      <c r="I35" s="96">
        <v>0.0</v>
      </c>
      <c r="J35" s="96">
        <v>0.0</v>
      </c>
      <c r="K35" s="96">
        <v>0.0</v>
      </c>
      <c r="L35" s="98">
        <v>9.0</v>
      </c>
      <c r="M35" s="96">
        <v>0.0</v>
      </c>
      <c r="N35" s="34">
        <f t="shared" ref="N35:O35" si="39">C35+L35</f>
        <v>140</v>
      </c>
      <c r="O35" s="34">
        <f t="shared" si="39"/>
        <v>10</v>
      </c>
      <c r="P35" s="49" t="s">
        <v>58</v>
      </c>
      <c r="Q35" s="49" t="s">
        <v>58</v>
      </c>
      <c r="R35" s="49"/>
      <c r="S35" s="50">
        <f t="shared" si="4"/>
        <v>7</v>
      </c>
      <c r="T35" s="52">
        <f t="shared" si="5"/>
        <v>0</v>
      </c>
      <c r="U35" s="52"/>
      <c r="V35" s="50">
        <f t="shared" si="6"/>
        <v>5</v>
      </c>
      <c r="W35" s="52">
        <f t="shared" si="7"/>
        <v>-2</v>
      </c>
      <c r="X35" s="32">
        <f t="shared" si="12"/>
        <v>31</v>
      </c>
      <c r="Y35" s="32" t="str">
        <f t="shared" si="8"/>
        <v>N</v>
      </c>
      <c r="Z35" s="16" t="str">
        <f t="shared" si="9"/>
        <v/>
      </c>
    </row>
    <row r="36">
      <c r="A36" s="32">
        <f t="shared" si="10"/>
        <v>32</v>
      </c>
      <c r="B36" s="33" t="s">
        <v>132</v>
      </c>
      <c r="C36" s="34">
        <v>130.0</v>
      </c>
      <c r="D36" s="34">
        <v>10.0</v>
      </c>
      <c r="E36" s="35">
        <f t="shared" si="2"/>
        <v>12.66666667</v>
      </c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40">C36+L36</f>
        <v>139</v>
      </c>
      <c r="O36" s="34">
        <f t="shared" si="40"/>
        <v>10</v>
      </c>
      <c r="P36" s="49" t="s">
        <v>58</v>
      </c>
      <c r="Q36" s="49" t="s">
        <v>58</v>
      </c>
      <c r="R36" s="49"/>
      <c r="S36" s="50">
        <f t="shared" si="4"/>
        <v>6</v>
      </c>
      <c r="T36" s="52">
        <f t="shared" si="5"/>
        <v>0</v>
      </c>
      <c r="U36" s="52"/>
      <c r="V36" s="50">
        <f t="shared" si="6"/>
        <v>6</v>
      </c>
      <c r="W36" s="52">
        <f t="shared" si="7"/>
        <v>-2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136</v>
      </c>
      <c r="C37" s="34">
        <v>129.0</v>
      </c>
      <c r="D37" s="34">
        <v>11.0</v>
      </c>
      <c r="E37" s="35">
        <f t="shared" si="2"/>
        <v>10.75</v>
      </c>
      <c r="F37" s="95">
        <v>1.0</v>
      </c>
      <c r="G37" s="96">
        <v>6.0</v>
      </c>
      <c r="H37" s="97">
        <v>0.0</v>
      </c>
      <c r="I37" s="96">
        <v>6.0</v>
      </c>
      <c r="J37" s="96">
        <v>5.0</v>
      </c>
      <c r="K37" s="96">
        <v>6.0</v>
      </c>
      <c r="L37" s="98">
        <v>17.0</v>
      </c>
      <c r="M37" s="96">
        <v>2.0</v>
      </c>
      <c r="N37" s="34">
        <f t="shared" ref="N37:O37" si="41">C37+L37</f>
        <v>146</v>
      </c>
      <c r="O37" s="34">
        <f t="shared" si="41"/>
        <v>13</v>
      </c>
      <c r="P37" s="49" t="s">
        <v>58</v>
      </c>
      <c r="Q37" s="49" t="s">
        <v>58</v>
      </c>
      <c r="R37" s="49"/>
      <c r="S37" s="50">
        <f t="shared" si="4"/>
        <v>12</v>
      </c>
      <c r="T37" s="52">
        <f t="shared" si="5"/>
        <v>0</v>
      </c>
      <c r="U37" s="52"/>
      <c r="V37" s="50">
        <f t="shared" si="6"/>
        <v>0</v>
      </c>
      <c r="W37" s="52">
        <f t="shared" si="7"/>
        <v>3</v>
      </c>
      <c r="X37" s="32">
        <f t="shared" si="12"/>
        <v>33</v>
      </c>
      <c r="Y37" s="32" t="str">
        <f t="shared" si="8"/>
        <v>Y</v>
      </c>
      <c r="Z37" s="16" t="str">
        <f t="shared" si="9"/>
        <v/>
      </c>
    </row>
    <row r="38">
      <c r="A38" s="32">
        <f t="shared" si="10"/>
        <v>34</v>
      </c>
      <c r="B38" s="33" t="s">
        <v>114</v>
      </c>
      <c r="C38" s="34">
        <v>129.0</v>
      </c>
      <c r="D38" s="34">
        <v>7.0</v>
      </c>
      <c r="E38" s="35">
        <f t="shared" si="2"/>
        <v>10.7</v>
      </c>
      <c r="F38" s="95">
        <v>1.0</v>
      </c>
      <c r="G38" s="96">
        <v>6.0</v>
      </c>
      <c r="H38" s="97">
        <v>0.0</v>
      </c>
      <c r="I38" s="96">
        <v>3.0</v>
      </c>
      <c r="J38" s="96">
        <v>7.0</v>
      </c>
      <c r="K38" s="96">
        <v>6.0</v>
      </c>
      <c r="L38" s="98">
        <v>16.0</v>
      </c>
      <c r="M38" s="96">
        <v>2.0</v>
      </c>
      <c r="N38" s="34">
        <f t="shared" ref="N38:O38" si="42">C38+L38</f>
        <v>145</v>
      </c>
      <c r="O38" s="34">
        <f t="shared" si="42"/>
        <v>9</v>
      </c>
      <c r="P38" s="49" t="s">
        <v>58</v>
      </c>
      <c r="Q38" s="49" t="s">
        <v>58</v>
      </c>
      <c r="R38" s="49"/>
      <c r="S38" s="50">
        <f t="shared" si="4"/>
        <v>10</v>
      </c>
      <c r="T38" s="52">
        <f t="shared" si="5"/>
        <v>1</v>
      </c>
      <c r="U38" s="52"/>
      <c r="V38" s="50">
        <f t="shared" si="6"/>
        <v>1</v>
      </c>
      <c r="W38" s="52">
        <f t="shared" si="7"/>
        <v>-2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60</v>
      </c>
      <c r="C39" s="34">
        <v>128.0</v>
      </c>
      <c r="D39" s="34">
        <v>13.0</v>
      </c>
      <c r="E39" s="35">
        <f t="shared" si="2"/>
        <v>11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3">C39+L39</f>
        <v>137</v>
      </c>
      <c r="O39" s="34">
        <f t="shared" si="43"/>
        <v>13</v>
      </c>
      <c r="P39" s="49" t="s">
        <v>58</v>
      </c>
      <c r="Q39" s="49" t="s">
        <v>58</v>
      </c>
      <c r="R39" s="49"/>
      <c r="S39" s="50">
        <f t="shared" si="4"/>
        <v>10</v>
      </c>
      <c r="T39" s="52">
        <f t="shared" si="5"/>
        <v>0</v>
      </c>
      <c r="U39" s="52"/>
      <c r="V39" s="50">
        <f t="shared" si="6"/>
        <v>2</v>
      </c>
      <c r="W39" s="52">
        <f t="shared" si="7"/>
        <v>-2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137</v>
      </c>
      <c r="C40" s="34">
        <v>126.0</v>
      </c>
      <c r="D40" s="34">
        <v>8.0</v>
      </c>
      <c r="E40" s="35">
        <f t="shared" si="2"/>
        <v>11.25</v>
      </c>
      <c r="F40" s="95">
        <v>1.0</v>
      </c>
      <c r="G40" s="96">
        <v>6.0</v>
      </c>
      <c r="H40" s="97">
        <v>0.0</v>
      </c>
      <c r="I40" s="96">
        <v>6.0</v>
      </c>
      <c r="J40" s="96">
        <v>7.0</v>
      </c>
      <c r="K40" s="96">
        <v>3.0</v>
      </c>
      <c r="L40" s="98">
        <v>16.0</v>
      </c>
      <c r="M40" s="96">
        <v>2.0</v>
      </c>
      <c r="N40" s="34">
        <f t="shared" ref="N40:O40" si="44">C40+L40</f>
        <v>142</v>
      </c>
      <c r="O40" s="34">
        <f t="shared" si="44"/>
        <v>10</v>
      </c>
      <c r="P40" s="49" t="s">
        <v>58</v>
      </c>
      <c r="Q40" s="49" t="s">
        <v>58</v>
      </c>
      <c r="R40" s="49"/>
      <c r="S40" s="50">
        <f t="shared" si="4"/>
        <v>8</v>
      </c>
      <c r="T40" s="52">
        <f t="shared" si="5"/>
        <v>0</v>
      </c>
      <c r="U40" s="52"/>
      <c r="V40" s="50">
        <f t="shared" si="6"/>
        <v>4</v>
      </c>
      <c r="W40" s="52">
        <f t="shared" si="7"/>
        <v>-2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108</v>
      </c>
      <c r="C41" s="34">
        <v>126.0</v>
      </c>
      <c r="D41" s="34">
        <v>7.0</v>
      </c>
      <c r="E41" s="35">
        <f t="shared" si="2"/>
        <v>10.8</v>
      </c>
      <c r="F41" s="95">
        <v>1.0</v>
      </c>
      <c r="G41" s="96">
        <v>6.0</v>
      </c>
      <c r="H41" s="97">
        <v>0.0</v>
      </c>
      <c r="I41" s="96">
        <v>3.0</v>
      </c>
      <c r="J41" s="96">
        <v>5.0</v>
      </c>
      <c r="K41" s="96">
        <v>3.0</v>
      </c>
      <c r="L41" s="98">
        <v>11.0</v>
      </c>
      <c r="M41" s="96">
        <v>0.0</v>
      </c>
      <c r="N41" s="34">
        <f t="shared" ref="N41:O41" si="45">C41+L41</f>
        <v>137</v>
      </c>
      <c r="O41" s="34">
        <f t="shared" si="45"/>
        <v>7</v>
      </c>
      <c r="P41" s="49" t="s">
        <v>58</v>
      </c>
      <c r="Q41" s="49" t="s">
        <v>58</v>
      </c>
      <c r="R41" s="49"/>
      <c r="S41" s="50">
        <f t="shared" si="4"/>
        <v>10</v>
      </c>
      <c r="T41" s="52">
        <f t="shared" si="5"/>
        <v>0</v>
      </c>
      <c r="U41" s="52"/>
      <c r="V41" s="50">
        <f t="shared" si="6"/>
        <v>2</v>
      </c>
      <c r="W41" s="52">
        <f t="shared" si="7"/>
        <v>-2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122</v>
      </c>
      <c r="C42" s="34">
        <v>125.0</v>
      </c>
      <c r="D42" s="34">
        <v>8.0</v>
      </c>
      <c r="E42" s="35">
        <f t="shared" si="2"/>
        <v>12.4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6">C42+L42</f>
        <v>134</v>
      </c>
      <c r="O42" s="34">
        <f t="shared" si="46"/>
        <v>8</v>
      </c>
      <c r="P42" s="49" t="s">
        <v>58</v>
      </c>
      <c r="Q42" s="49" t="s">
        <v>58</v>
      </c>
      <c r="R42" s="49"/>
      <c r="S42" s="50">
        <f t="shared" si="4"/>
        <v>5</v>
      </c>
      <c r="T42" s="52">
        <f t="shared" si="5"/>
        <v>0</v>
      </c>
      <c r="U42" s="52"/>
      <c r="V42" s="50">
        <f t="shared" si="6"/>
        <v>7</v>
      </c>
      <c r="W42" s="52">
        <f t="shared" si="7"/>
        <v>3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47</v>
      </c>
      <c r="C43" s="34">
        <v>124.0</v>
      </c>
      <c r="D43" s="34">
        <v>8.0</v>
      </c>
      <c r="E43" s="35">
        <f t="shared" si="2"/>
        <v>14.33333333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7">C43+L43</f>
        <v>133</v>
      </c>
      <c r="O43" s="34">
        <f t="shared" si="47"/>
        <v>8</v>
      </c>
      <c r="P43" s="49" t="s">
        <v>58</v>
      </c>
      <c r="Q43" s="49" t="s">
        <v>58</v>
      </c>
      <c r="R43" s="49"/>
      <c r="S43" s="50">
        <f t="shared" si="4"/>
        <v>3</v>
      </c>
      <c r="T43" s="52">
        <f t="shared" si="5"/>
        <v>0</v>
      </c>
      <c r="U43" s="52"/>
      <c r="V43" s="50">
        <f t="shared" si="6"/>
        <v>9</v>
      </c>
      <c r="W43" s="52">
        <f t="shared" si="7"/>
        <v>-2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93</v>
      </c>
      <c r="C44" s="34">
        <v>123.0</v>
      </c>
      <c r="D44" s="34">
        <v>7.0</v>
      </c>
      <c r="E44" s="35">
        <f t="shared" si="2"/>
        <v>12.75</v>
      </c>
      <c r="F44" s="95">
        <v>1.0</v>
      </c>
      <c r="G44" s="96">
        <v>7.0</v>
      </c>
      <c r="H44" s="97">
        <v>0.0</v>
      </c>
      <c r="I44" s="96">
        <v>6.0</v>
      </c>
      <c r="J44" s="96">
        <v>6.0</v>
      </c>
      <c r="K44" s="96">
        <v>6.0</v>
      </c>
      <c r="L44" s="98">
        <v>18.0</v>
      </c>
      <c r="M44" s="96">
        <v>3.0</v>
      </c>
      <c r="N44" s="34">
        <f t="shared" ref="N44:O44" si="48">C44+L44</f>
        <v>141</v>
      </c>
      <c r="O44" s="34">
        <f t="shared" si="48"/>
        <v>10</v>
      </c>
      <c r="P44" s="49" t="s">
        <v>58</v>
      </c>
      <c r="Q44" s="49" t="s">
        <v>58</v>
      </c>
      <c r="R44" s="49"/>
      <c r="S44" s="50">
        <f t="shared" si="4"/>
        <v>4</v>
      </c>
      <c r="T44" s="52">
        <f t="shared" si="5"/>
        <v>0</v>
      </c>
      <c r="U44" s="52"/>
      <c r="V44" s="50">
        <f t="shared" si="6"/>
        <v>8</v>
      </c>
      <c r="W44" s="52">
        <f t="shared" si="7"/>
        <v>-1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135</v>
      </c>
      <c r="C45" s="34">
        <v>122.0</v>
      </c>
      <c r="D45" s="34">
        <v>10.0</v>
      </c>
      <c r="E45" s="35">
        <f t="shared" si="2"/>
        <v>11</v>
      </c>
      <c r="F45" s="95">
        <v>1.0</v>
      </c>
      <c r="G45" s="96">
        <v>7.0</v>
      </c>
      <c r="H45" s="97">
        <v>0.0</v>
      </c>
      <c r="I45" s="96">
        <v>4.0</v>
      </c>
      <c r="J45" s="96">
        <v>2.0</v>
      </c>
      <c r="K45" s="96">
        <v>6.0</v>
      </c>
      <c r="L45" s="98">
        <v>12.0</v>
      </c>
      <c r="M45" s="96">
        <v>1.0</v>
      </c>
      <c r="N45" s="34">
        <f t="shared" ref="N45:O45" si="49">C45+L45</f>
        <v>134</v>
      </c>
      <c r="O45" s="34">
        <f t="shared" si="49"/>
        <v>11</v>
      </c>
      <c r="P45" s="49" t="s">
        <v>58</v>
      </c>
      <c r="Q45" s="49" t="s">
        <v>58</v>
      </c>
      <c r="R45" s="49"/>
      <c r="S45" s="50">
        <f t="shared" si="4"/>
        <v>7</v>
      </c>
      <c r="T45" s="52">
        <f t="shared" si="5"/>
        <v>0</v>
      </c>
      <c r="U45" s="52"/>
      <c r="V45" s="50">
        <f t="shared" si="6"/>
        <v>5</v>
      </c>
      <c r="W45" s="52">
        <f t="shared" si="7"/>
        <v>4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72</v>
      </c>
      <c r="C46" s="34">
        <v>119.0</v>
      </c>
      <c r="D46" s="34">
        <v>7.0</v>
      </c>
      <c r="E46" s="35">
        <f t="shared" si="2"/>
        <v>10.16666667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0">C46+L46</f>
        <v>128</v>
      </c>
      <c r="O46" s="34">
        <f t="shared" si="50"/>
        <v>7</v>
      </c>
      <c r="P46" s="49" t="s">
        <v>58</v>
      </c>
      <c r="Q46" s="49" t="s">
        <v>58</v>
      </c>
      <c r="R46" s="49"/>
      <c r="S46" s="50">
        <f t="shared" si="4"/>
        <v>6</v>
      </c>
      <c r="T46" s="52">
        <f t="shared" si="5"/>
        <v>1</v>
      </c>
      <c r="U46" s="52"/>
      <c r="V46" s="50">
        <f t="shared" si="6"/>
        <v>5</v>
      </c>
      <c r="W46" s="52">
        <f t="shared" si="7"/>
        <v>-2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129</v>
      </c>
      <c r="C47" s="34">
        <v>118.0</v>
      </c>
      <c r="D47" s="34">
        <v>11.0</v>
      </c>
      <c r="E47" s="35">
        <f t="shared" si="2"/>
        <v>10.11111111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1">C47+L47</f>
        <v>127</v>
      </c>
      <c r="O47" s="34">
        <f t="shared" si="51"/>
        <v>11</v>
      </c>
      <c r="P47" s="49" t="s">
        <v>58</v>
      </c>
      <c r="Q47" s="49" t="s">
        <v>58</v>
      </c>
      <c r="R47" s="49"/>
      <c r="S47" s="50">
        <f t="shared" si="4"/>
        <v>9</v>
      </c>
      <c r="T47" s="52">
        <f t="shared" si="5"/>
        <v>0</v>
      </c>
      <c r="U47" s="52"/>
      <c r="V47" s="50">
        <f t="shared" si="6"/>
        <v>3</v>
      </c>
      <c r="W47" s="52">
        <f t="shared" si="7"/>
        <v>1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54</v>
      </c>
      <c r="C48" s="34">
        <v>117.0</v>
      </c>
      <c r="D48" s="34">
        <v>12.0</v>
      </c>
      <c r="E48" s="35">
        <f t="shared" si="2"/>
        <v>10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2">C48+L48</f>
        <v>126</v>
      </c>
      <c r="O48" s="34">
        <f t="shared" si="52"/>
        <v>12</v>
      </c>
      <c r="P48" s="49" t="s">
        <v>58</v>
      </c>
      <c r="Q48" s="49" t="s">
        <v>58</v>
      </c>
      <c r="R48" s="49"/>
      <c r="S48" s="50">
        <f t="shared" si="4"/>
        <v>9</v>
      </c>
      <c r="T48" s="52">
        <f t="shared" si="5"/>
        <v>0</v>
      </c>
      <c r="U48" s="52"/>
      <c r="V48" s="50">
        <f t="shared" si="6"/>
        <v>3</v>
      </c>
      <c r="W48" s="52">
        <f t="shared" si="7"/>
        <v>-2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143</v>
      </c>
      <c r="C49" s="34">
        <v>117.0</v>
      </c>
      <c r="D49" s="34">
        <v>5.0</v>
      </c>
      <c r="E49" s="35">
        <f t="shared" si="2"/>
        <v>12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3">C49+L49</f>
        <v>126</v>
      </c>
      <c r="O49" s="34">
        <f t="shared" si="53"/>
        <v>5</v>
      </c>
      <c r="P49" s="49" t="s">
        <v>58</v>
      </c>
      <c r="Q49" s="49" t="s">
        <v>58</v>
      </c>
      <c r="R49" s="49"/>
      <c r="S49" s="50">
        <f t="shared" si="4"/>
        <v>3</v>
      </c>
      <c r="T49" s="52">
        <f t="shared" si="5"/>
        <v>0</v>
      </c>
      <c r="U49" s="52"/>
      <c r="V49" s="50">
        <f t="shared" si="6"/>
        <v>9</v>
      </c>
      <c r="W49" s="52">
        <f t="shared" si="7"/>
        <v>-2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105</v>
      </c>
      <c r="C50" s="34">
        <v>115.0</v>
      </c>
      <c r="D50" s="34">
        <v>6.0</v>
      </c>
      <c r="E50" s="35">
        <f t="shared" si="2"/>
        <v>11.33333333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4">C50+L50</f>
        <v>124</v>
      </c>
      <c r="O50" s="34">
        <f t="shared" si="54"/>
        <v>6</v>
      </c>
      <c r="P50" s="49" t="s">
        <v>58</v>
      </c>
      <c r="Q50" s="49" t="s">
        <v>58</v>
      </c>
      <c r="R50" s="49"/>
      <c r="S50" s="50">
        <f t="shared" si="4"/>
        <v>3</v>
      </c>
      <c r="T50" s="52">
        <f t="shared" si="5"/>
        <v>0</v>
      </c>
      <c r="U50" s="52"/>
      <c r="V50" s="50">
        <f t="shared" si="6"/>
        <v>9</v>
      </c>
      <c r="W50" s="52">
        <f t="shared" si="7"/>
        <v>0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145</v>
      </c>
      <c r="C51" s="34">
        <v>114.0</v>
      </c>
      <c r="D51" s="34">
        <v>9.0</v>
      </c>
      <c r="E51" s="35">
        <f t="shared" si="2"/>
        <v>9.75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5">C51+L51</f>
        <v>123</v>
      </c>
      <c r="O51" s="34">
        <f t="shared" si="55"/>
        <v>9</v>
      </c>
      <c r="P51" s="49" t="s">
        <v>58</v>
      </c>
      <c r="Q51" s="49" t="s">
        <v>58</v>
      </c>
      <c r="R51" s="49"/>
      <c r="S51" s="50">
        <f t="shared" si="4"/>
        <v>8</v>
      </c>
      <c r="T51" s="52">
        <f t="shared" si="5"/>
        <v>0</v>
      </c>
      <c r="U51" s="52"/>
      <c r="V51" s="50">
        <f t="shared" si="6"/>
        <v>4</v>
      </c>
      <c r="W51" s="52">
        <f t="shared" si="7"/>
        <v>0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142</v>
      </c>
      <c r="C52" s="34">
        <v>114.0</v>
      </c>
      <c r="D52" s="34">
        <v>9.0</v>
      </c>
      <c r="E52" s="35">
        <f t="shared" si="2"/>
        <v>9.666666667</v>
      </c>
      <c r="F52" s="95">
        <v>2.0</v>
      </c>
      <c r="G52" s="96">
        <v>7.0</v>
      </c>
      <c r="H52" s="97">
        <v>0.0</v>
      </c>
      <c r="I52" s="96">
        <v>6.0</v>
      </c>
      <c r="J52" s="96">
        <v>2.0</v>
      </c>
      <c r="K52" s="96">
        <v>0.0</v>
      </c>
      <c r="L52" s="98">
        <v>8.0</v>
      </c>
      <c r="M52" s="96">
        <v>1.0</v>
      </c>
      <c r="N52" s="34">
        <f t="shared" ref="N52:O52" si="56">C52+L52</f>
        <v>122</v>
      </c>
      <c r="O52" s="34">
        <f t="shared" si="56"/>
        <v>10</v>
      </c>
      <c r="P52" s="49" t="s">
        <v>58</v>
      </c>
      <c r="Q52" s="49" t="s">
        <v>58</v>
      </c>
      <c r="R52" s="49"/>
      <c r="S52" s="50">
        <f t="shared" si="4"/>
        <v>9</v>
      </c>
      <c r="T52" s="52">
        <f t="shared" si="5"/>
        <v>0</v>
      </c>
      <c r="U52" s="52"/>
      <c r="V52" s="50">
        <f t="shared" si="6"/>
        <v>3</v>
      </c>
      <c r="W52" s="52">
        <f t="shared" si="7"/>
        <v>2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144</v>
      </c>
      <c r="C53" s="34">
        <v>114.0</v>
      </c>
      <c r="D53" s="34">
        <v>6.0</v>
      </c>
      <c r="E53" s="35">
        <f t="shared" si="2"/>
        <v>9.4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7">C53+L53</f>
        <v>123</v>
      </c>
      <c r="O53" s="34">
        <f t="shared" si="57"/>
        <v>6</v>
      </c>
      <c r="P53" s="49" t="s">
        <v>58</v>
      </c>
      <c r="Q53" s="49" t="s">
        <v>58</v>
      </c>
      <c r="R53" s="49"/>
      <c r="S53" s="50">
        <f t="shared" si="4"/>
        <v>5</v>
      </c>
      <c r="T53" s="52">
        <f t="shared" si="5"/>
        <v>1</v>
      </c>
      <c r="U53" s="52"/>
      <c r="V53" s="50">
        <f t="shared" si="6"/>
        <v>6</v>
      </c>
      <c r="W53" s="52">
        <f t="shared" si="7"/>
        <v>-1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69</v>
      </c>
      <c r="C54" s="34">
        <v>112.0</v>
      </c>
      <c r="D54" s="34">
        <v>5.0</v>
      </c>
      <c r="E54" s="35">
        <f t="shared" si="2"/>
        <v>11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8">C54+L54</f>
        <v>121</v>
      </c>
      <c r="O54" s="34">
        <f t="shared" si="58"/>
        <v>5</v>
      </c>
      <c r="P54" s="49" t="s">
        <v>58</v>
      </c>
      <c r="Q54" s="49" t="s">
        <v>58</v>
      </c>
      <c r="R54" s="49"/>
      <c r="S54" s="50">
        <f t="shared" si="4"/>
        <v>2</v>
      </c>
      <c r="T54" s="52">
        <f t="shared" si="5"/>
        <v>0</v>
      </c>
      <c r="U54" s="52"/>
      <c r="V54" s="50">
        <f t="shared" si="6"/>
        <v>10</v>
      </c>
      <c r="W54" s="52">
        <f t="shared" si="7"/>
        <v>2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139</v>
      </c>
      <c r="C55" s="34">
        <v>110.0</v>
      </c>
      <c r="D55" s="34">
        <v>7.0</v>
      </c>
      <c r="E55" s="35">
        <f t="shared" si="2"/>
        <v>9.25</v>
      </c>
      <c r="F55" s="95">
        <v>1.0</v>
      </c>
      <c r="G55" s="96">
        <v>7.0</v>
      </c>
      <c r="H55" s="97">
        <v>0.0</v>
      </c>
      <c r="I55" s="96">
        <v>4.0</v>
      </c>
      <c r="J55" s="96">
        <v>6.0</v>
      </c>
      <c r="K55" s="96">
        <v>0.0</v>
      </c>
      <c r="L55" s="98">
        <v>10.0</v>
      </c>
      <c r="M55" s="96">
        <v>1.0</v>
      </c>
      <c r="N55" s="34">
        <f t="shared" ref="N55:O55" si="59">C55+L55</f>
        <v>120</v>
      </c>
      <c r="O55" s="34">
        <f t="shared" si="59"/>
        <v>8</v>
      </c>
      <c r="P55" s="49" t="s">
        <v>58</v>
      </c>
      <c r="Q55" s="49" t="s">
        <v>58</v>
      </c>
      <c r="R55" s="49"/>
      <c r="S55" s="50">
        <f t="shared" si="4"/>
        <v>8</v>
      </c>
      <c r="T55" s="52">
        <f t="shared" si="5"/>
        <v>0</v>
      </c>
      <c r="U55" s="52"/>
      <c r="V55" s="50">
        <f t="shared" si="6"/>
        <v>4</v>
      </c>
      <c r="W55" s="52">
        <f t="shared" si="7"/>
        <v>-2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75</v>
      </c>
      <c r="C56" s="34">
        <v>109.0</v>
      </c>
      <c r="D56" s="34">
        <v>3.0</v>
      </c>
      <c r="E56" s="35">
        <f t="shared" si="2"/>
        <v>9.333333333</v>
      </c>
      <c r="F56" s="95">
        <v>1.0</v>
      </c>
      <c r="G56" s="96">
        <v>8.0</v>
      </c>
      <c r="H56" s="97">
        <v>0.0</v>
      </c>
      <c r="I56" s="96">
        <v>6.0</v>
      </c>
      <c r="J56" s="96">
        <v>6.0</v>
      </c>
      <c r="K56" s="96">
        <v>5.0</v>
      </c>
      <c r="L56" s="98">
        <v>17.0</v>
      </c>
      <c r="M56" s="96">
        <v>2.0</v>
      </c>
      <c r="N56" s="34">
        <f t="shared" ref="N56:O56" si="60">C56+L56</f>
        <v>126</v>
      </c>
      <c r="O56" s="34">
        <f t="shared" si="60"/>
        <v>5</v>
      </c>
      <c r="P56" s="49" t="s">
        <v>58</v>
      </c>
      <c r="Q56" s="49" t="s">
        <v>58</v>
      </c>
      <c r="R56" s="49"/>
      <c r="S56" s="50">
        <f t="shared" si="4"/>
        <v>3</v>
      </c>
      <c r="T56" s="52">
        <f t="shared" si="5"/>
        <v>0</v>
      </c>
      <c r="U56" s="52"/>
      <c r="V56" s="50">
        <f t="shared" si="6"/>
        <v>9</v>
      </c>
      <c r="W56" s="52">
        <f t="shared" si="7"/>
        <v>3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121</v>
      </c>
      <c r="C57" s="34">
        <v>108.0</v>
      </c>
      <c r="D57" s="34">
        <v>3.0</v>
      </c>
      <c r="E57" s="35">
        <f t="shared" si="2"/>
        <v>9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1">C57+L57</f>
        <v>117</v>
      </c>
      <c r="O57" s="34">
        <f t="shared" si="61"/>
        <v>3</v>
      </c>
      <c r="P57" s="49" t="s">
        <v>58</v>
      </c>
      <c r="Q57" s="49" t="s">
        <v>58</v>
      </c>
      <c r="R57" s="49"/>
      <c r="S57" s="50">
        <f t="shared" si="4"/>
        <v>1</v>
      </c>
      <c r="T57" s="52">
        <f t="shared" si="5"/>
        <v>0</v>
      </c>
      <c r="U57" s="52"/>
      <c r="V57" s="50">
        <f t="shared" si="6"/>
        <v>11</v>
      </c>
      <c r="W57" s="52">
        <f t="shared" si="7"/>
        <v>-2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148</v>
      </c>
      <c r="C58" s="34">
        <v>107.0</v>
      </c>
      <c r="D58" s="34">
        <v>1.0</v>
      </c>
      <c r="E58" s="35">
        <f t="shared" si="2"/>
        <v>7.75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2">C58+L58</f>
        <v>116</v>
      </c>
      <c r="O58" s="34">
        <f t="shared" si="62"/>
        <v>1</v>
      </c>
      <c r="P58" s="49" t="s">
        <v>58</v>
      </c>
      <c r="Q58" s="49" t="s">
        <v>58</v>
      </c>
      <c r="R58" s="49"/>
      <c r="S58" s="50">
        <f t="shared" si="4"/>
        <v>4</v>
      </c>
      <c r="T58" s="52">
        <f t="shared" si="5"/>
        <v>1</v>
      </c>
      <c r="U58" s="52"/>
      <c r="V58" s="50">
        <f t="shared" si="6"/>
        <v>7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140</v>
      </c>
      <c r="C59" s="34">
        <v>103.0</v>
      </c>
      <c r="D59" s="34">
        <v>2.0</v>
      </c>
      <c r="E59" s="35">
        <f t="shared" si="2"/>
        <v>4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3">C59+L59</f>
        <v>112</v>
      </c>
      <c r="O59" s="34">
        <f t="shared" si="63"/>
        <v>2</v>
      </c>
      <c r="P59" s="49" t="s">
        <v>58</v>
      </c>
      <c r="Q59" s="49" t="s">
        <v>58</v>
      </c>
      <c r="R59" s="49"/>
      <c r="S59" s="50">
        <f t="shared" si="4"/>
        <v>1</v>
      </c>
      <c r="T59" s="52">
        <f t="shared" si="5"/>
        <v>0</v>
      </c>
      <c r="U59" s="52"/>
      <c r="V59" s="50">
        <f t="shared" si="6"/>
        <v>11</v>
      </c>
      <c r="W59" s="52">
        <f t="shared" si="7"/>
        <v>4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95</v>
      </c>
      <c r="C60" s="34">
        <v>103.0</v>
      </c>
      <c r="D60" s="34">
        <v>1.0</v>
      </c>
      <c r="E60" s="35">
        <f t="shared" si="2"/>
        <v>4.5</v>
      </c>
      <c r="F60" s="95">
        <v>1.0</v>
      </c>
      <c r="G60" s="96">
        <v>8.0</v>
      </c>
      <c r="H60" s="97">
        <v>0.0</v>
      </c>
      <c r="I60" s="96">
        <v>6.0</v>
      </c>
      <c r="J60" s="96">
        <v>2.0</v>
      </c>
      <c r="K60" s="96">
        <v>7.0</v>
      </c>
      <c r="L60" s="98">
        <v>15.0</v>
      </c>
      <c r="M60" s="96">
        <v>2.0</v>
      </c>
      <c r="N60" s="34">
        <f t="shared" ref="N60:O60" si="64">C60+L60</f>
        <v>118</v>
      </c>
      <c r="O60" s="34">
        <f t="shared" si="64"/>
        <v>3</v>
      </c>
      <c r="P60" s="49" t="s">
        <v>58</v>
      </c>
      <c r="Q60" s="49" t="s">
        <v>58</v>
      </c>
      <c r="R60" s="49"/>
      <c r="S60" s="50">
        <f t="shared" si="4"/>
        <v>2</v>
      </c>
      <c r="T60" s="52">
        <f t="shared" si="5"/>
        <v>1</v>
      </c>
      <c r="U60" s="52"/>
      <c r="V60" s="50">
        <f t="shared" si="6"/>
        <v>9</v>
      </c>
      <c r="W60" s="52">
        <f t="shared" si="7"/>
        <v>-2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147</v>
      </c>
      <c r="C61" s="34">
        <v>101.0</v>
      </c>
      <c r="D61" s="34">
        <v>2.0</v>
      </c>
      <c r="E61" s="35">
        <f t="shared" si="2"/>
        <v>5.5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5">C61+L61</f>
        <v>110</v>
      </c>
      <c r="O61" s="34">
        <f t="shared" si="65"/>
        <v>2</v>
      </c>
      <c r="P61" s="49" t="s">
        <v>58</v>
      </c>
      <c r="Q61" s="49" t="s">
        <v>58</v>
      </c>
      <c r="R61" s="49"/>
      <c r="S61" s="50">
        <f t="shared" si="4"/>
        <v>2</v>
      </c>
      <c r="T61" s="52">
        <f t="shared" si="5"/>
        <v>0</v>
      </c>
      <c r="U61" s="52"/>
      <c r="V61" s="50">
        <f t="shared" si="6"/>
        <v>10</v>
      </c>
      <c r="W61" s="52">
        <f t="shared" si="7"/>
        <v>-1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101</v>
      </c>
      <c r="C62" s="34">
        <v>100.0</v>
      </c>
      <c r="D62" s="34">
        <v>3.0</v>
      </c>
      <c r="E62" s="35">
        <f t="shared" si="2"/>
        <v>7.666666667</v>
      </c>
      <c r="F62" s="95">
        <v>1.0</v>
      </c>
      <c r="G62" s="96">
        <v>8.0</v>
      </c>
      <c r="H62" s="97">
        <v>0.0</v>
      </c>
      <c r="I62" s="96">
        <v>4.0</v>
      </c>
      <c r="J62" s="96">
        <v>2.0</v>
      </c>
      <c r="K62" s="96">
        <v>5.0</v>
      </c>
      <c r="L62" s="98">
        <v>11.0</v>
      </c>
      <c r="M62" s="96">
        <v>0.0</v>
      </c>
      <c r="N62" s="34">
        <f t="shared" ref="N62:O62" si="66">C62+L62</f>
        <v>111</v>
      </c>
      <c r="O62" s="34">
        <f t="shared" si="66"/>
        <v>3</v>
      </c>
      <c r="P62" s="49" t="s">
        <v>58</v>
      </c>
      <c r="Q62" s="49" t="s">
        <v>58</v>
      </c>
      <c r="R62" s="49"/>
      <c r="S62" s="50">
        <f t="shared" si="4"/>
        <v>6</v>
      </c>
      <c r="T62" s="52">
        <f t="shared" si="5"/>
        <v>0</v>
      </c>
      <c r="U62" s="52"/>
      <c r="V62" s="50">
        <f t="shared" si="6"/>
        <v>6</v>
      </c>
      <c r="W62" s="52">
        <f t="shared" si="7"/>
        <v>-1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130</v>
      </c>
      <c r="C63" s="34">
        <v>99.0</v>
      </c>
      <c r="D63" s="34">
        <v>0.0</v>
      </c>
      <c r="E63" s="35">
        <f t="shared" si="2"/>
        <v>0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7">C63+L63</f>
        <v>108</v>
      </c>
      <c r="O63" s="34">
        <f t="shared" si="67"/>
        <v>0</v>
      </c>
      <c r="P63" s="49" t="s">
        <v>58</v>
      </c>
      <c r="Q63" s="49" t="s">
        <v>58</v>
      </c>
      <c r="R63" s="49"/>
      <c r="S63" s="50">
        <f t="shared" si="4"/>
        <v>0</v>
      </c>
      <c r="T63" s="52">
        <f t="shared" si="5"/>
        <v>0</v>
      </c>
      <c r="U63" s="52"/>
      <c r="V63" s="50">
        <f t="shared" si="6"/>
        <v>12</v>
      </c>
      <c r="W63" s="52">
        <f t="shared" si="7"/>
        <v>-1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104</v>
      </c>
      <c r="C64" s="34">
        <v>99.0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8">C64+L64</f>
        <v>108</v>
      </c>
      <c r="O64" s="34">
        <f t="shared" si="68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12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131</v>
      </c>
      <c r="C65" s="34">
        <v>99.0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9">C65+L65</f>
        <v>108</v>
      </c>
      <c r="O65" s="34">
        <f t="shared" si="69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12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141</v>
      </c>
      <c r="C66" s="34">
        <v>97.0</v>
      </c>
      <c r="D66" s="34">
        <v>1.0</v>
      </c>
      <c r="E66" s="35">
        <f t="shared" si="2"/>
        <v>3.5</v>
      </c>
      <c r="F66" s="95">
        <v>2.0</v>
      </c>
      <c r="G66" s="96">
        <v>8.0</v>
      </c>
      <c r="H66" s="97">
        <v>0.0</v>
      </c>
      <c r="I66" s="96">
        <v>4.0</v>
      </c>
      <c r="J66" s="96">
        <v>6.0</v>
      </c>
      <c r="K66" s="96">
        <v>7.0</v>
      </c>
      <c r="L66" s="98">
        <v>17.0</v>
      </c>
      <c r="M66" s="96">
        <v>2.0</v>
      </c>
      <c r="N66" s="34">
        <f t="shared" ref="N66:O66" si="70">C66+L66</f>
        <v>114</v>
      </c>
      <c r="O66" s="34">
        <f t="shared" si="70"/>
        <v>3</v>
      </c>
      <c r="P66" s="49" t="s">
        <v>58</v>
      </c>
      <c r="Q66" s="49" t="s">
        <v>58</v>
      </c>
      <c r="R66" s="49"/>
      <c r="S66" s="50">
        <f t="shared" si="4"/>
        <v>2</v>
      </c>
      <c r="T66" s="52">
        <f t="shared" si="5"/>
        <v>0</v>
      </c>
      <c r="U66" s="52"/>
      <c r="V66" s="50">
        <f t="shared" si="6"/>
        <v>10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146</v>
      </c>
      <c r="C67" s="34">
        <v>96.0</v>
      </c>
      <c r="D67" s="34">
        <v>2.0</v>
      </c>
      <c r="E67" s="35">
        <f t="shared" si="2"/>
        <v>3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1">C67+L67</f>
        <v>105</v>
      </c>
      <c r="O67" s="34">
        <f t="shared" si="71"/>
        <v>2</v>
      </c>
      <c r="P67" s="49" t="s">
        <v>58</v>
      </c>
      <c r="Q67" s="49" t="s">
        <v>58</v>
      </c>
      <c r="R67" s="49"/>
      <c r="S67" s="50">
        <f t="shared" si="4"/>
        <v>2</v>
      </c>
      <c r="T67" s="52">
        <f t="shared" si="5"/>
        <v>0</v>
      </c>
      <c r="U67" s="52"/>
      <c r="V67" s="50">
        <f t="shared" si="6"/>
        <v>10</v>
      </c>
      <c r="W67" s="52">
        <f t="shared" si="7"/>
        <v>1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118</v>
      </c>
      <c r="C68" s="34">
        <v>93.0</v>
      </c>
      <c r="D68" s="34">
        <v>1.0</v>
      </c>
      <c r="E68" s="35">
        <f t="shared" si="2"/>
        <v>1.5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2">C68+L68</f>
        <v>102</v>
      </c>
      <c r="O68" s="34">
        <f t="shared" si="72"/>
        <v>1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10</v>
      </c>
      <c r="W68" s="52">
        <f t="shared" si="7"/>
        <v>-1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91.0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3">C69+L69</f>
        <v>100</v>
      </c>
      <c r="O69" s="34">
        <f t="shared" si="73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9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09/13/25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desc"",0)"),"Adrian Tay")</f>
        <v>Adrian Tay</v>
      </c>
      <c r="C81" s="117">
        <f>IFERROR(__xludf.DUMMYFUNCTION("""COMPUTED_VALUE"""),20.0)</f>
        <v>20</v>
      </c>
      <c r="D81" s="117">
        <f>IFERROR(__xludf.DUMMYFUNCTION("""COMPUTED_VALUE"""),3.0)</f>
        <v>3</v>
      </c>
      <c r="E81" s="117">
        <f>IFERROR(__xludf.DUMMYFUNCTION("""COMPUTED_VALUE"""),3.0)</f>
        <v>3</v>
      </c>
      <c r="F81" s="1"/>
    </row>
    <row r="82">
      <c r="A82" s="1"/>
      <c r="B82" s="33" t="str">
        <f>IFERROR(__xludf.DUMMYFUNCTION("""COMPUTED_VALUE"""),"Ted Shen")</f>
        <v>Ted Shen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IFERROR(__xludf.DUMMYFUNCTION("""COMPUTED_VALUE"""),4.0)</f>
        <v>4</v>
      </c>
      <c r="F82" s="1"/>
    </row>
    <row r="83">
      <c r="A83" s="1"/>
      <c r="B83" s="33" t="str">
        <f>IFERROR(__xludf.DUMMYFUNCTION("""COMPUTED_VALUE"""),"Sandeep Kamalon")</f>
        <v>Sandeep Kamalon</v>
      </c>
      <c r="C83" s="117">
        <f>IFERROR(__xludf.DUMMYFUNCTION("""COMPUTED_VALUE"""),18.0)</f>
        <v>18</v>
      </c>
      <c r="D83" s="117">
        <f>IFERROR(__xludf.DUMMYFUNCTION("""COMPUTED_VALUE"""),2.0)</f>
        <v>2</v>
      </c>
      <c r="E83" s="117">
        <f>IFERROR(__xludf.DUMMYFUNCTION("""COMPUTED_VALUE"""),2.0)</f>
        <v>2</v>
      </c>
      <c r="F83" s="1"/>
    </row>
    <row r="84">
      <c r="A84" s="1"/>
      <c r="B84" s="33" t="str">
        <f>IFERROR(__xludf.DUMMYFUNCTION("""COMPUTED_VALUE"""),"Mauricio Palacios")</f>
        <v>Mauricio Palacios</v>
      </c>
      <c r="C84" s="117">
        <f>IFERROR(__xludf.DUMMYFUNCTION("""COMPUTED_VALUE"""),18.0)</f>
        <v>18</v>
      </c>
      <c r="D84" s="117">
        <f>IFERROR(__xludf.DUMMYFUNCTION("""COMPUTED_VALUE"""),2.0)</f>
        <v>2</v>
      </c>
      <c r="E84" s="117">
        <f>IFERROR(__xludf.DUMMYFUNCTION("""COMPUTED_VALUE"""),6.0)</f>
        <v>6</v>
      </c>
      <c r="F84" s="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10"")"),"Adrian Tay")</f>
        <v>Adrian Tay</v>
      </c>
      <c r="C100" s="117">
        <f>IFERROR(__xludf.DUMMYFUNCTION("""COMPUTED_VALUE"""),11.0)</f>
        <v>11</v>
      </c>
      <c r="D100" s="117">
        <f t="shared" ref="D100:D109" si="74">VLOOKUP(B100,indirect($AC$2&amp;"!B$5:X$69"),23, false)</f>
        <v>17</v>
      </c>
      <c r="E100" s="117">
        <f t="shared" ref="E100:E109" si="75">VLOOKUP(B100,B$5:X$69,23, false)</f>
        <v>6</v>
      </c>
      <c r="F100" s="117">
        <f t="shared" ref="F100:F109" si="76">VLOOKUP(B100,indirect($AC$2&amp;"!B$5:U$70"),11, false)</f>
        <v>20</v>
      </c>
      <c r="G100" s="117">
        <f t="shared" ref="G100:G109" si="77">VLOOKUP(B100,indirect($AC$2&amp;"!B$5:U$70"),6, false)</f>
        <v>3</v>
      </c>
      <c r="L100" s="117" t="str">
        <f t="shared" ref="L100:L109" si="78">if(D100-E100=C100,"ok","Error")</f>
        <v>ok</v>
      </c>
    </row>
    <row r="101">
      <c r="A101" s="1"/>
      <c r="B101" s="33" t="str">
        <f>IFERROR(__xludf.DUMMYFUNCTION("""COMPUTED_VALUE"""),"Mauricio Palacios")</f>
        <v>Mauricio Palacios</v>
      </c>
      <c r="C101" s="117">
        <f>IFERROR(__xludf.DUMMYFUNCTION("""COMPUTED_VALUE"""),10.0)</f>
        <v>10</v>
      </c>
      <c r="D101" s="117">
        <f t="shared" si="74"/>
        <v>38</v>
      </c>
      <c r="E101" s="117">
        <f t="shared" si="75"/>
        <v>28</v>
      </c>
      <c r="F101" s="117">
        <f t="shared" si="76"/>
        <v>18</v>
      </c>
      <c r="G101" s="117">
        <f t="shared" si="77"/>
        <v>6</v>
      </c>
      <c r="L101" s="117" t="str">
        <f t="shared" si="78"/>
        <v>ok</v>
      </c>
    </row>
    <row r="102">
      <c r="A102" s="1"/>
      <c r="B102" s="33" t="str">
        <f>IFERROR(__xludf.DUMMYFUNCTION("""COMPUTED_VALUE"""),"Allen Zhang")</f>
        <v>Allen Zhang</v>
      </c>
      <c r="C102" s="117">
        <f>IFERROR(__xludf.DUMMYFUNCTION("""COMPUTED_VALUE"""),7.0)</f>
        <v>7</v>
      </c>
      <c r="D102" s="117">
        <f t="shared" si="74"/>
        <v>31</v>
      </c>
      <c r="E102" s="117">
        <f t="shared" si="75"/>
        <v>24</v>
      </c>
      <c r="F102" s="117">
        <f t="shared" si="76"/>
        <v>15</v>
      </c>
      <c r="G102" s="117">
        <f t="shared" si="77"/>
        <v>5</v>
      </c>
      <c r="L102" s="117" t="str">
        <f t="shared" si="78"/>
        <v>ok</v>
      </c>
    </row>
    <row r="103">
      <c r="A103" s="1"/>
      <c r="B103" s="33" t="str">
        <f>IFERROR(__xludf.DUMMYFUNCTION("""COMPUTED_VALUE"""),"Jimmy Awolesi")</f>
        <v>Jimmy Awolesi</v>
      </c>
      <c r="C103" s="117">
        <f>IFERROR(__xludf.DUMMYFUNCTION("""COMPUTED_VALUE"""),5.0)</f>
        <v>5</v>
      </c>
      <c r="D103" s="117">
        <f t="shared" si="74"/>
        <v>25</v>
      </c>
      <c r="E103" s="117">
        <f t="shared" si="75"/>
        <v>20</v>
      </c>
      <c r="F103" s="117">
        <f t="shared" si="76"/>
        <v>14</v>
      </c>
      <c r="G103" s="117">
        <f t="shared" si="77"/>
        <v>5</v>
      </c>
      <c r="L103" s="117" t="str">
        <f t="shared" si="78"/>
        <v>ok</v>
      </c>
    </row>
    <row r="104">
      <c r="A104" s="1"/>
      <c r="B104" s="33" t="str">
        <f>IFERROR(__xludf.DUMMYFUNCTION("""COMPUTED_VALUE"""),"Chinna Ponnaganti")</f>
        <v>Chinna Ponnaganti</v>
      </c>
      <c r="C104" s="117">
        <f>IFERROR(__xludf.DUMMYFUNCTION("""COMPUTED_VALUE"""),5.0)</f>
        <v>5</v>
      </c>
      <c r="D104" s="117">
        <f t="shared" si="74"/>
        <v>27</v>
      </c>
      <c r="E104" s="117">
        <f t="shared" si="75"/>
        <v>22</v>
      </c>
      <c r="F104" s="117">
        <f t="shared" si="76"/>
        <v>15</v>
      </c>
      <c r="G104" s="117">
        <f t="shared" si="77"/>
        <v>5</v>
      </c>
      <c r="L104" s="117" t="str">
        <f t="shared" si="78"/>
        <v>ok</v>
      </c>
    </row>
    <row r="105">
      <c r="A105" s="1"/>
      <c r="B105" s="33" t="str">
        <f>IFERROR(__xludf.DUMMYFUNCTION("""COMPUTED_VALUE"""),"Ethan Gu")</f>
        <v>Ethan Gu</v>
      </c>
      <c r="C105" s="117">
        <f>IFERROR(__xludf.DUMMYFUNCTION("""COMPUTED_VALUE"""),4.0)</f>
        <v>4</v>
      </c>
      <c r="D105" s="117">
        <f t="shared" si="74"/>
        <v>7</v>
      </c>
      <c r="E105" s="117">
        <f t="shared" si="75"/>
        <v>3</v>
      </c>
      <c r="F105" s="117">
        <f t="shared" si="76"/>
        <v>16</v>
      </c>
      <c r="G105" s="117">
        <f t="shared" si="77"/>
        <v>1</v>
      </c>
      <c r="L105" s="117" t="str">
        <f t="shared" si="78"/>
        <v>ok</v>
      </c>
    </row>
    <row r="106">
      <c r="A106" s="1"/>
      <c r="B106" s="33" t="str">
        <f>IFERROR(__xludf.DUMMYFUNCTION("""COMPUTED_VALUE"""),"Sandeep Kamalon")</f>
        <v>Sandeep Kamalon</v>
      </c>
      <c r="C106" s="117">
        <f>IFERROR(__xludf.DUMMYFUNCTION("""COMPUTED_VALUE"""),4.0)</f>
        <v>4</v>
      </c>
      <c r="D106" s="117">
        <f t="shared" si="74"/>
        <v>12</v>
      </c>
      <c r="E106" s="117">
        <f t="shared" si="75"/>
        <v>8</v>
      </c>
      <c r="F106" s="117">
        <f t="shared" si="76"/>
        <v>18</v>
      </c>
      <c r="G106" s="117">
        <f t="shared" si="77"/>
        <v>2</v>
      </c>
      <c r="L106" s="117" t="str">
        <f t="shared" si="78"/>
        <v>ok</v>
      </c>
    </row>
    <row r="107">
      <c r="A107" s="1"/>
      <c r="B107" s="33" t="str">
        <f>IFERROR(__xludf.DUMMYFUNCTION("""COMPUTED_VALUE"""),"Ted Shen")</f>
        <v>Ted Shen</v>
      </c>
      <c r="C107" s="117">
        <f>IFERROR(__xludf.DUMMYFUNCTION("""COMPUTED_VALUE"""),4.0)</f>
        <v>4</v>
      </c>
      <c r="D107" s="117">
        <f t="shared" si="74"/>
        <v>19</v>
      </c>
      <c r="E107" s="117">
        <f t="shared" si="75"/>
        <v>15</v>
      </c>
      <c r="F107" s="117">
        <f t="shared" si="76"/>
        <v>18</v>
      </c>
      <c r="G107" s="117">
        <f t="shared" si="77"/>
        <v>4</v>
      </c>
      <c r="L107" s="117" t="str">
        <f t="shared" si="78"/>
        <v>ok</v>
      </c>
    </row>
    <row r="108">
      <c r="A108" s="1"/>
      <c r="B108" s="33" t="str">
        <f>IFERROR(__xludf.DUMMYFUNCTION("""COMPUTED_VALUE"""),"Naveen Raj")</f>
        <v>Naveen Raj</v>
      </c>
      <c r="C108" s="117">
        <f>IFERROR(__xludf.DUMMYFUNCTION("""COMPUTED_VALUE"""),4.0)</f>
        <v>4</v>
      </c>
      <c r="D108" s="117">
        <f t="shared" si="74"/>
        <v>45</v>
      </c>
      <c r="E108" s="117">
        <f t="shared" si="75"/>
        <v>41</v>
      </c>
      <c r="F108" s="117">
        <f t="shared" si="76"/>
        <v>16</v>
      </c>
      <c r="G108" s="117">
        <f t="shared" si="77"/>
        <v>7</v>
      </c>
      <c r="L108" s="117" t="str">
        <f t="shared" si="78"/>
        <v>ok</v>
      </c>
    </row>
    <row r="109">
      <c r="A109" s="1"/>
      <c r="B109" s="33" t="str">
        <f>IFERROR(__xludf.DUMMYFUNCTION("""COMPUTED_VALUE"""),"Sanjaye Elayattu")</f>
        <v>Sanjaye Elayattu</v>
      </c>
      <c r="C109" s="117">
        <f>IFERROR(__xludf.DUMMYFUNCTION("""COMPUTED_VALUE"""),4.0)</f>
        <v>4</v>
      </c>
      <c r="D109" s="117">
        <f t="shared" si="74"/>
        <v>59</v>
      </c>
      <c r="E109" s="117">
        <f t="shared" si="75"/>
        <v>55</v>
      </c>
      <c r="F109" s="117">
        <f t="shared" si="76"/>
        <v>13</v>
      </c>
      <c r="G109" s="117">
        <f t="shared" si="77"/>
        <v>8</v>
      </c>
      <c r="L109" s="117" t="str">
        <f t="shared" si="78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12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79">A5</f>
        <v>1</v>
      </c>
      <c r="B118" s="33" t="str">
        <f t="shared" si="79"/>
        <v>Pulkit Mathur</v>
      </c>
      <c r="C118" s="117">
        <f t="shared" si="79"/>
        <v>163</v>
      </c>
      <c r="D118" s="117">
        <f t="shared" si="79"/>
        <v>19</v>
      </c>
      <c r="E118" s="117">
        <f t="shared" si="79"/>
        <v>14.5</v>
      </c>
      <c r="F118" s="1"/>
    </row>
    <row r="119">
      <c r="A119" s="117">
        <f t="shared" ref="A119:E119" si="80">A6</f>
        <v>2</v>
      </c>
      <c r="B119" s="33" t="str">
        <f t="shared" si="80"/>
        <v>Lam Bui</v>
      </c>
      <c r="C119" s="117">
        <f t="shared" si="80"/>
        <v>158</v>
      </c>
      <c r="D119" s="117">
        <f t="shared" si="80"/>
        <v>16</v>
      </c>
      <c r="E119" s="117">
        <f t="shared" si="80"/>
        <v>14.55555556</v>
      </c>
      <c r="F119" s="1"/>
    </row>
    <row r="120">
      <c r="A120" s="117">
        <f t="shared" ref="A120:E120" si="81">A7</f>
        <v>3</v>
      </c>
      <c r="B120" s="33" t="str">
        <f t="shared" si="81"/>
        <v>Ethan Gu</v>
      </c>
      <c r="C120" s="117">
        <f t="shared" si="81"/>
        <v>154</v>
      </c>
      <c r="D120" s="117">
        <f t="shared" si="81"/>
        <v>20</v>
      </c>
      <c r="E120" s="117">
        <f t="shared" si="81"/>
        <v>13.18181818</v>
      </c>
      <c r="F120" s="1"/>
    </row>
    <row r="121">
      <c r="A121" s="117">
        <f t="shared" ref="A121:E121" si="82">A8</f>
        <v>4</v>
      </c>
      <c r="B121" s="33" t="str">
        <f t="shared" si="82"/>
        <v>Darren Wong</v>
      </c>
      <c r="C121" s="117">
        <f t="shared" si="82"/>
        <v>151</v>
      </c>
      <c r="D121" s="117">
        <f t="shared" si="82"/>
        <v>17</v>
      </c>
      <c r="E121" s="117">
        <f t="shared" si="82"/>
        <v>15.14285714</v>
      </c>
      <c r="F121" s="1"/>
    </row>
    <row r="122">
      <c r="A122" s="117">
        <f t="shared" ref="A122:E122" si="83">A9</f>
        <v>5</v>
      </c>
      <c r="B122" s="33" t="str">
        <f t="shared" si="83"/>
        <v>Tom Le</v>
      </c>
      <c r="C122" s="117">
        <f t="shared" si="83"/>
        <v>150</v>
      </c>
      <c r="D122" s="117">
        <f t="shared" si="83"/>
        <v>16</v>
      </c>
      <c r="E122" s="117">
        <f t="shared" si="83"/>
        <v>13.75</v>
      </c>
      <c r="F122" s="1"/>
    </row>
    <row r="123">
      <c r="A123" s="117">
        <f t="shared" ref="A123:E123" si="84">A10</f>
        <v>6</v>
      </c>
      <c r="B123" s="33" t="str">
        <f t="shared" si="84"/>
        <v>Adrian Tay</v>
      </c>
      <c r="C123" s="117">
        <f t="shared" si="84"/>
        <v>150</v>
      </c>
      <c r="D123" s="117">
        <f t="shared" si="84"/>
        <v>16</v>
      </c>
      <c r="E123" s="117">
        <f t="shared" si="84"/>
        <v>15</v>
      </c>
      <c r="F123" s="1"/>
    </row>
    <row r="124">
      <c r="A124" s="117">
        <f t="shared" ref="A124:E124" si="85">A11</f>
        <v>7</v>
      </c>
      <c r="B124" s="33" t="str">
        <f t="shared" si="85"/>
        <v>Jonathan Phan</v>
      </c>
      <c r="C124" s="117">
        <f t="shared" si="85"/>
        <v>150</v>
      </c>
      <c r="D124" s="117">
        <f t="shared" si="85"/>
        <v>14</v>
      </c>
      <c r="E124" s="117">
        <f t="shared" si="85"/>
        <v>13.2</v>
      </c>
      <c r="F124" s="1"/>
    </row>
    <row r="125">
      <c r="A125" s="117">
        <f t="shared" ref="A125:E125" si="86">A12</f>
        <v>8</v>
      </c>
      <c r="B125" s="33" t="str">
        <f t="shared" si="86"/>
        <v>Sandeep Kamalon</v>
      </c>
      <c r="C125" s="117">
        <f t="shared" si="86"/>
        <v>149</v>
      </c>
      <c r="D125" s="117">
        <f t="shared" si="86"/>
        <v>17</v>
      </c>
      <c r="E125" s="117">
        <f t="shared" si="86"/>
        <v>12.36363636</v>
      </c>
      <c r="F125" s="1"/>
    </row>
    <row r="126">
      <c r="A126" s="117">
        <f t="shared" ref="A126:E126" si="87">A13</f>
        <v>9</v>
      </c>
      <c r="B126" s="33" t="str">
        <f t="shared" si="87"/>
        <v>Pavan Akkimsetty</v>
      </c>
      <c r="C126" s="117">
        <f t="shared" si="87"/>
        <v>149</v>
      </c>
      <c r="D126" s="117">
        <f t="shared" si="87"/>
        <v>14</v>
      </c>
      <c r="E126" s="117">
        <f t="shared" si="87"/>
        <v>14.125</v>
      </c>
      <c r="F126" s="1"/>
    </row>
    <row r="127">
      <c r="A127" s="117">
        <f t="shared" ref="A127:E127" si="88">A14</f>
        <v>10</v>
      </c>
      <c r="B127" s="33" t="str">
        <f t="shared" si="88"/>
        <v>Erik Hoeckmann</v>
      </c>
      <c r="C127" s="117">
        <f t="shared" si="88"/>
        <v>148</v>
      </c>
      <c r="D127" s="117">
        <f t="shared" si="88"/>
        <v>14</v>
      </c>
      <c r="E127" s="117">
        <f t="shared" si="88"/>
        <v>13.44444444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Data!F110</f>
        <v>Adrian Tay</v>
      </c>
      <c r="C134" s="117">
        <f>Data!G110</f>
        <v>12</v>
      </c>
      <c r="D134" s="1"/>
      <c r="E134" s="1"/>
      <c r="F134" s="1"/>
    </row>
    <row r="135">
      <c r="A135" s="1"/>
      <c r="B135" s="33" t="str">
        <f>Data!F111</f>
        <v>Darren Wong</v>
      </c>
      <c r="C135" s="117">
        <f>Data!G111</f>
        <v>4</v>
      </c>
      <c r="D135" s="1"/>
      <c r="E135" s="1"/>
      <c r="F135" s="1"/>
    </row>
    <row r="136">
      <c r="A136" s="1"/>
      <c r="B136" s="33" t="str">
        <f>Data!F112</f>
        <v>Pulkit Mathur</v>
      </c>
      <c r="C136" s="117">
        <f>Data!G112</f>
        <v>4</v>
      </c>
      <c r="D136" s="1"/>
      <c r="E136" s="1"/>
      <c r="F136" s="1"/>
    </row>
    <row r="137">
      <c r="A137" s="1"/>
      <c r="B137" s="33" t="str">
        <f>Data!F113</f>
        <v>Eric Pan</v>
      </c>
      <c r="C137" s="117">
        <f>Data!G113</f>
        <v>1</v>
      </c>
      <c r="D137" s="1"/>
      <c r="E137" s="1"/>
      <c r="F137" s="1"/>
    </row>
    <row r="138">
      <c r="A138" s="1"/>
      <c r="B138" s="33" t="str">
        <f>Data!F114</f>
        <v>Frank Moon</v>
      </c>
      <c r="C138" s="117">
        <f>Data!G114</f>
        <v>1</v>
      </c>
      <c r="D138" s="1"/>
      <c r="E138" s="1"/>
      <c r="F138" s="1"/>
    </row>
    <row r="139">
      <c r="A139" s="1"/>
      <c r="B139" s="33" t="str">
        <f>Data!F115</f>
        <v>Lam Bui</v>
      </c>
      <c r="C139" s="117">
        <f>Data!G115</f>
        <v>1</v>
      </c>
      <c r="D139" s="1"/>
      <c r="E139" s="1"/>
      <c r="F139" s="1"/>
    </row>
    <row r="140">
      <c r="A140" s="1"/>
      <c r="B140" s="33" t="str">
        <f>Data!F116</f>
        <v/>
      </c>
      <c r="C140" s="117" t="str">
        <f>Data!G116</f>
        <v/>
      </c>
      <c r="D140" s="1"/>
      <c r="E140" s="1"/>
      <c r="F140" s="1"/>
    </row>
    <row r="141">
      <c r="A141" s="1"/>
      <c r="B141" s="33" t="str">
        <f>Data!F117</f>
        <v/>
      </c>
      <c r="C141" s="117" t="str">
        <f>Data!G117</f>
        <v/>
      </c>
      <c r="D141" s="1"/>
      <c r="E141" s="1"/>
      <c r="F141" s="1"/>
    </row>
    <row r="142">
      <c r="A142" s="1"/>
      <c r="B142" s="33" t="str">
        <f>Data!F118</f>
        <v/>
      </c>
      <c r="C142" s="117" t="str">
        <f>Data!G118</f>
        <v/>
      </c>
      <c r="D142" s="1"/>
      <c r="E142" s="1"/>
      <c r="F142" s="1"/>
    </row>
    <row r="143">
      <c r="A143" s="1"/>
      <c r="B143" s="33" t="str">
        <f>Data!F119</f>
        <v/>
      </c>
      <c r="C143" s="117" t="str">
        <f>Data!G119</f>
        <v/>
      </c>
      <c r="D143" s="1"/>
      <c r="E143" s="1"/>
      <c r="F143" s="1"/>
    </row>
    <row r="144">
      <c r="A144" s="1"/>
      <c r="B144" s="33" t="str">
        <f>Data!F120</f>
        <v/>
      </c>
      <c r="C144" s="117" t="str">
        <f>Data!G120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89">if(B154&lt;&gt;"",A153+1,0)</f>
        <v>2</v>
      </c>
      <c r="B154" s="33" t="str">
        <f>IFERROR(__xludf.DUMMYFUNCTION("""COMPUTED_VALUE"""),"Chinna Ponnaganti")</f>
        <v>Chinna Ponnaganti</v>
      </c>
      <c r="C154" s="1"/>
      <c r="D154" s="1"/>
      <c r="E154" s="1"/>
      <c r="F154" s="1"/>
      <c r="P154" s="33"/>
    </row>
    <row r="155">
      <c r="A155" s="117">
        <f t="shared" si="89"/>
        <v>3</v>
      </c>
      <c r="B155" s="33" t="str">
        <f>IFERROR(__xludf.DUMMYFUNCTION("""COMPUTED_VALUE"""),"Frank Moon")</f>
        <v>Frank Moon</v>
      </c>
      <c r="C155" s="1"/>
      <c r="D155" s="1"/>
      <c r="E155" s="1"/>
      <c r="F155" s="1"/>
    </row>
    <row r="156">
      <c r="A156" s="117">
        <f t="shared" si="89"/>
        <v>4</v>
      </c>
      <c r="B156" s="33" t="str">
        <f>IFERROR(__xludf.DUMMYFUNCTION("""COMPUTED_VALUE"""),"Nicole Ni")</f>
        <v>Nicole Ni</v>
      </c>
      <c r="C156" s="1"/>
      <c r="D156" s="1"/>
      <c r="E156" s="1"/>
      <c r="F156" s="1"/>
    </row>
    <row r="157">
      <c r="A157" s="117">
        <f t="shared" si="89"/>
        <v>0</v>
      </c>
      <c r="B157" s="33"/>
      <c r="C157" s="1"/>
      <c r="D157" s="1"/>
      <c r="E157" s="1"/>
      <c r="F157" s="1"/>
    </row>
    <row r="158">
      <c r="A158" s="117">
        <f t="shared" si="89"/>
        <v>0</v>
      </c>
      <c r="B158" s="33"/>
      <c r="C158" s="1"/>
      <c r="D158" s="1"/>
      <c r="E158" s="1"/>
      <c r="F158" s="1"/>
    </row>
    <row r="159">
      <c r="A159" s="117">
        <f t="shared" si="89"/>
        <v>0</v>
      </c>
      <c r="B159" s="33"/>
      <c r="C159" s="1"/>
      <c r="D159" s="1"/>
      <c r="E159" s="1"/>
      <c r="F159" s="1"/>
    </row>
    <row r="160">
      <c r="A160" s="117">
        <f t="shared" si="89"/>
        <v>0</v>
      </c>
      <c r="B160" s="33"/>
      <c r="C160" s="1"/>
      <c r="D160" s="1"/>
      <c r="E160" s="1"/>
      <c r="F160" s="1"/>
    </row>
    <row r="161">
      <c r="A161" s="117">
        <f t="shared" si="89"/>
        <v>0</v>
      </c>
      <c r="B161" s="33"/>
      <c r="C161" s="1"/>
      <c r="D161" s="1"/>
      <c r="E161" s="1"/>
      <c r="F161" s="1"/>
    </row>
    <row r="162">
      <c r="A162" s="117">
        <f t="shared" si="89"/>
        <v>0</v>
      </c>
      <c r="B162" s="33"/>
      <c r="C162" s="1"/>
      <c r="D162" s="1"/>
      <c r="E162" s="1"/>
      <c r="F162" s="1"/>
    </row>
    <row r="163">
      <c r="A163" s="117">
        <f t="shared" si="89"/>
        <v>0</v>
      </c>
      <c r="B163" s="33"/>
      <c r="C163" s="1"/>
      <c r="D163" s="1"/>
      <c r="E163" s="1"/>
      <c r="F163" s="1"/>
    </row>
    <row r="164">
      <c r="A164" s="117">
        <f t="shared" si="89"/>
        <v>0</v>
      </c>
      <c r="B164" s="33"/>
      <c r="C164" s="1"/>
      <c r="D164" s="1"/>
      <c r="E164" s="1"/>
      <c r="F164" s="1"/>
    </row>
    <row r="165">
      <c r="A165" s="117">
        <f t="shared" si="89"/>
        <v>0</v>
      </c>
      <c r="B165" s="33"/>
      <c r="C165" s="1"/>
      <c r="D165" s="1"/>
      <c r="E165" s="1"/>
      <c r="F165" s="1"/>
    </row>
    <row r="166">
      <c r="A166" s="117">
        <f t="shared" si="89"/>
        <v>0</v>
      </c>
      <c r="B166" s="33"/>
      <c r="C166" s="1"/>
      <c r="D166" s="1"/>
      <c r="E166" s="1"/>
      <c r="F166" s="1"/>
    </row>
    <row r="167">
      <c r="A167" s="117">
        <f t="shared" si="89"/>
        <v>0</v>
      </c>
      <c r="B167" s="33"/>
      <c r="C167" s="1"/>
      <c r="D167" s="1"/>
      <c r="E167" s="1"/>
      <c r="F167" s="1"/>
    </row>
    <row r="168">
      <c r="A168" s="117">
        <f t="shared" si="89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09/13/25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IFERROR(__xludf.DUMMYFUNCTION("""COMPUTED_VALUE"""),"Pulkit Mathur")</f>
        <v>Pulkit Mathur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IFERROR(__xludf.DUMMYFUNCTION("""COMPUTED_VALUE"""),3.0)</f>
        <v>3</v>
      </c>
      <c r="F184" s="122">
        <f>IFERROR(__xludf.DUMMYFUNCTION("""COMPUTED_VALUE"""),15.0)</f>
        <v>15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IFERROR(__xludf.DUMMYFUNCTION("""COMPUTED_VALUE"""),"Lam Bui")</f>
        <v>Lam Bui</v>
      </c>
      <c r="C185" s="122">
        <f>IFERROR(__xludf.DUMMYFUNCTION("""COMPUTED_VALUE"""),6.0)</f>
        <v>6</v>
      </c>
      <c r="D185" s="122">
        <f>IFERROR(__xludf.DUMMYFUNCTION("""COMPUTED_VALUE"""),4.0)</f>
        <v>4</v>
      </c>
      <c r="E185" s="122">
        <f>IFERROR(__xludf.DUMMYFUNCTION("""COMPUTED_VALUE"""),6.0)</f>
        <v>6</v>
      </c>
      <c r="F185" s="122">
        <f>IFERROR(__xludf.DUMMYFUNCTION("""COMPUTED_VALUE"""),16.0)</f>
        <v>16</v>
      </c>
      <c r="G185" s="122">
        <f>IFERROR(__xludf.DUMMYFUNCTION("""COMPUTED_VALUE"""),2.0)</f>
        <v>2</v>
      </c>
    </row>
    <row r="186">
      <c r="A186" s="117">
        <f>IFERROR(__xludf.DUMMYFUNCTION("""COMPUTED_VALUE"""),1.0)</f>
        <v>1</v>
      </c>
      <c r="B186" s="33" t="str">
        <f>IFERROR(__xludf.DUMMYFUNCTION("""COMPUTED_VALUE"""),"Jonathan Phan")</f>
        <v>Jonathan Phan</v>
      </c>
      <c r="C186" s="122">
        <f>IFERROR(__xludf.DUMMYFUNCTION("""COMPUTED_VALUE"""),4.0)</f>
        <v>4</v>
      </c>
      <c r="D186" s="122">
        <f>IFERROR(__xludf.DUMMYFUNCTION("""COMPUTED_VALUE"""),4.0)</f>
        <v>4</v>
      </c>
      <c r="E186" s="122">
        <f>IFERROR(__xludf.DUMMYFUNCTION("""COMPUTED_VALUE"""),3.0)</f>
        <v>3</v>
      </c>
      <c r="F186" s="122">
        <f>IFERROR(__xludf.DUMMYFUNCTION("""COMPUTED_VALUE"""),11.0)</f>
        <v>11</v>
      </c>
      <c r="G186" s="122">
        <f>IFERROR(__xludf.DUMMYFUNCTION("""COMPUTED_VALUE"""),0.0)</f>
        <v>0</v>
      </c>
    </row>
    <row r="187">
      <c r="A187" s="117">
        <f>IFERROR(__xludf.DUMMYFUNCTION("""COMPUTED_VALUE"""),1.0)</f>
        <v>1</v>
      </c>
      <c r="B187" s="33" t="str">
        <f>IFERROR(__xludf.DUMMYFUNCTION("""COMPUTED_VALUE"""),"Ethan Gu")</f>
        <v>Ethan Gu</v>
      </c>
      <c r="C187" s="122">
        <f>IFERROR(__xludf.DUMMYFUNCTION("""COMPUTED_VALUE"""),4.0)</f>
        <v>4</v>
      </c>
      <c r="D187" s="122">
        <f>IFERROR(__xludf.DUMMYFUNCTION("""COMPUTED_VALUE"""),6.0)</f>
        <v>6</v>
      </c>
      <c r="E187" s="122">
        <f>IFERROR(__xludf.DUMMYFUNCTION("""COMPUTED_VALUE"""),6.0)</f>
        <v>6</v>
      </c>
      <c r="F187" s="122">
        <f>IFERROR(__xludf.DUMMYFUNCTION("""COMPUTED_VALUE"""),16.0)</f>
        <v>16</v>
      </c>
      <c r="G187" s="122">
        <f>IFERROR(__xludf.DUMMYFUNCTION("""COMPUTED_VALUE"""),2.0)</f>
        <v>2</v>
      </c>
    </row>
    <row r="188">
      <c r="A188" s="123">
        <f>IFERROR(__xludf.DUMMYFUNCTION("""COMPUTED_VALUE"""),2.0)</f>
        <v>2</v>
      </c>
      <c r="B188" s="124" t="str">
        <f>IFERROR(__xludf.DUMMYFUNCTION("""COMPUTED_VALUE"""),"David Shin")</f>
        <v>David Shin</v>
      </c>
      <c r="C188" s="125">
        <f>IFERROR(__xludf.DUMMYFUNCTION("""COMPUTED_VALUE"""),6.0)</f>
        <v>6</v>
      </c>
      <c r="D188" s="125">
        <f>IFERROR(__xludf.DUMMYFUNCTION("""COMPUTED_VALUE"""),2.0)</f>
        <v>2</v>
      </c>
      <c r="E188" s="125">
        <f>IFERROR(__xludf.DUMMYFUNCTION("""COMPUTED_VALUE"""),7.0)</f>
        <v>7</v>
      </c>
      <c r="F188" s="125">
        <f>IFERROR(__xludf.DUMMYFUNCTION("""COMPUTED_VALUE"""),15.0)</f>
        <v>15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IFERROR(__xludf.DUMMYFUNCTION("""COMPUTED_VALUE"""),"Pavan Akkimsetty")</f>
        <v>Pavan Akkimsetty</v>
      </c>
      <c r="C189" s="125">
        <f>IFERROR(__xludf.DUMMYFUNCTION("""COMPUTED_VALUE"""),4.0)</f>
        <v>4</v>
      </c>
      <c r="D189" s="125">
        <f>IFERROR(__xludf.DUMMYFUNCTION("""COMPUTED_VALUE"""),6.0)</f>
        <v>6</v>
      </c>
      <c r="E189" s="125">
        <f>IFERROR(__xludf.DUMMYFUNCTION("""COMPUTED_VALUE"""),7.0)</f>
        <v>7</v>
      </c>
      <c r="F189" s="125">
        <f>IFERROR(__xludf.DUMMYFUNCTION("""COMPUTED_VALUE"""),17.0)</f>
        <v>17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IFERROR(__xludf.DUMMYFUNCTION("""COMPUTED_VALUE"""),"Scott Li")</f>
        <v>Scott Li</v>
      </c>
      <c r="C190" s="125">
        <f>IFERROR(__xludf.DUMMYFUNCTION("""COMPUTED_VALUE"""),4.0)</f>
        <v>4</v>
      </c>
      <c r="D190" s="125">
        <f>IFERROR(__xludf.DUMMYFUNCTION("""COMPUTED_VALUE"""),2.0)</f>
        <v>2</v>
      </c>
      <c r="E190" s="125">
        <f>IFERROR(__xludf.DUMMYFUNCTION("""COMPUTED_VALUE"""),6.0)</f>
        <v>6</v>
      </c>
      <c r="F190" s="125">
        <f>IFERROR(__xludf.DUMMYFUNCTION("""COMPUTED_VALUE"""),12.0)</f>
        <v>12</v>
      </c>
      <c r="G190" s="125">
        <f>IFERROR(__xludf.DUMMYFUNCTION("""COMPUTED_VALUE"""),0.0)</f>
        <v>0</v>
      </c>
    </row>
    <row r="191">
      <c r="A191" s="123">
        <f>IFERROR(__xludf.DUMMYFUNCTION("""COMPUTED_VALUE"""),2.0)</f>
        <v>2</v>
      </c>
      <c r="B191" s="124" t="str">
        <f>IFERROR(__xludf.DUMMYFUNCTION("""COMPUTED_VALUE"""),"Sandeep Kamalon")</f>
        <v>Sandeep Kamalon</v>
      </c>
      <c r="C191" s="125">
        <f>IFERROR(__xludf.DUMMYFUNCTION("""COMPUTED_VALUE"""),6.0)</f>
        <v>6</v>
      </c>
      <c r="D191" s="125">
        <f>IFERROR(__xludf.DUMMYFUNCTION("""COMPUTED_VALUE"""),6.0)</f>
        <v>6</v>
      </c>
      <c r="E191" s="125">
        <f>IFERROR(__xludf.DUMMYFUNCTION("""COMPUTED_VALUE"""),6.0)</f>
        <v>6</v>
      </c>
      <c r="F191" s="125">
        <f>IFERROR(__xludf.DUMMYFUNCTION("""COMPUTED_VALUE"""),18.0)</f>
        <v>18</v>
      </c>
      <c r="G191" s="125">
        <f>IFERROR(__xludf.DUMMYFUNCTION("""COMPUTED_VALUE"""),2.0)</f>
        <v>2</v>
      </c>
    </row>
    <row r="192">
      <c r="A192" s="117">
        <f>IFERROR(__xludf.DUMMYFUNCTION("""COMPUTED_VALUE"""),3.0)</f>
        <v>3</v>
      </c>
      <c r="B192" s="33" t="str">
        <f>IFERROR(__xludf.DUMMYFUNCTION("""COMPUTED_VALUE"""),"Frank Moon")</f>
        <v>Frank Moon</v>
      </c>
      <c r="C192" s="122">
        <f>IFERROR(__xludf.DUMMYFUNCTION("""COMPUTED_VALUE"""),6.0)</f>
        <v>6</v>
      </c>
      <c r="D192" s="122">
        <f>IFERROR(__xludf.DUMMYFUNCTION("""COMPUTED_VALUE"""),5.0)</f>
        <v>5</v>
      </c>
      <c r="E192" s="122">
        <f>IFERROR(__xludf.DUMMYFUNCTION("""COMPUTED_VALUE"""),5.0)</f>
        <v>5</v>
      </c>
      <c r="F192" s="122">
        <f>IFERROR(__xludf.DUMMYFUNCTION("""COMPUTED_VALUE"""),16.0)</f>
        <v>16</v>
      </c>
      <c r="G192" s="122">
        <f>IFERROR(__xludf.DUMMYFUNCTION("""COMPUTED_VALUE"""),1.0)</f>
        <v>1</v>
      </c>
    </row>
    <row r="193">
      <c r="A193" s="117">
        <f>IFERROR(__xludf.DUMMYFUNCTION("""COMPUTED_VALUE"""),3.0)</f>
        <v>3</v>
      </c>
      <c r="B193" s="33" t="str">
        <f>IFERROR(__xludf.DUMMYFUNCTION("""COMPUTED_VALUE"""),"Sean Chang")</f>
        <v>Sean Chang</v>
      </c>
      <c r="C193" s="122">
        <f>IFERROR(__xludf.DUMMYFUNCTION("""COMPUTED_VALUE"""),4.0)</f>
        <v>4</v>
      </c>
      <c r="D193" s="122">
        <f>IFERROR(__xludf.DUMMYFUNCTION("""COMPUTED_VALUE"""),5.0)</f>
        <v>5</v>
      </c>
      <c r="E193" s="122">
        <f>IFERROR(__xludf.DUMMYFUNCTION("""COMPUTED_VALUE"""),7.0)</f>
        <v>7</v>
      </c>
      <c r="F193" s="122">
        <f>IFERROR(__xludf.DUMMYFUNCTION("""COMPUTED_VALUE"""),16.0)</f>
        <v>16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IFERROR(__xludf.DUMMYFUNCTION("""COMPUTED_VALUE"""),"Adrian Tay")</f>
        <v>Adrian Tay</v>
      </c>
      <c r="C194" s="122">
        <f>IFERROR(__xludf.DUMMYFUNCTION("""COMPUTED_VALUE"""),6.0)</f>
        <v>6</v>
      </c>
      <c r="D194" s="122">
        <f>IFERROR(__xludf.DUMMYFUNCTION("""COMPUTED_VALUE"""),7.0)</f>
        <v>7</v>
      </c>
      <c r="E194" s="122">
        <f>IFERROR(__xludf.DUMMYFUNCTION("""COMPUTED_VALUE"""),7.0)</f>
        <v>7</v>
      </c>
      <c r="F194" s="122">
        <f>IFERROR(__xludf.DUMMYFUNCTION("""COMPUTED_VALUE"""),20.0)</f>
        <v>20</v>
      </c>
      <c r="G194" s="122">
        <f>IFERROR(__xludf.DUMMYFUNCTION("""COMPUTED_VALUE"""),3.0)</f>
        <v>3</v>
      </c>
    </row>
    <row r="195">
      <c r="A195" s="117">
        <f>IFERROR(__xludf.DUMMYFUNCTION("""COMPUTED_VALUE"""),3.0)</f>
        <v>3</v>
      </c>
      <c r="B195" s="33" t="str">
        <f>IFERROR(__xludf.DUMMYFUNCTION("""COMPUTED_VALUE"""),"Joe Luzzi")</f>
        <v>Joe Luzzi</v>
      </c>
      <c r="C195" s="122">
        <f>IFERROR(__xludf.DUMMYFUNCTION("""COMPUTED_VALUE"""),4.0)</f>
        <v>4</v>
      </c>
      <c r="D195" s="122">
        <f>IFERROR(__xludf.DUMMYFUNCTION("""COMPUTED_VALUE"""),7.0)</f>
        <v>7</v>
      </c>
      <c r="E195" s="122">
        <f>IFERROR(__xludf.DUMMYFUNCTION("""COMPUTED_VALUE"""),5.0)</f>
        <v>5</v>
      </c>
      <c r="F195" s="122">
        <f>IFERROR(__xludf.DUMMYFUNCTION("""COMPUTED_VALUE"""),16.0)</f>
        <v>16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IFERROR(__xludf.DUMMYFUNCTION("""COMPUTED_VALUE"""),"Ted Shen")</f>
        <v>Ted Shen</v>
      </c>
      <c r="C196" s="125">
        <f>IFERROR(__xludf.DUMMYFUNCTION("""COMPUTED_VALUE"""),6.0)</f>
        <v>6</v>
      </c>
      <c r="D196" s="125">
        <f>IFERROR(__xludf.DUMMYFUNCTION("""COMPUTED_VALUE"""),6.0)</f>
        <v>6</v>
      </c>
      <c r="E196" s="125">
        <f>IFERROR(__xludf.DUMMYFUNCTION("""COMPUTED_VALUE"""),6.0)</f>
        <v>6</v>
      </c>
      <c r="F196" s="125">
        <f>IFERROR(__xludf.DUMMYFUNCTION("""COMPUTED_VALUE"""),18.0)</f>
        <v>18</v>
      </c>
      <c r="G196" s="125">
        <f>IFERROR(__xludf.DUMMYFUNCTION("""COMPUTED_VALUE"""),3.0)</f>
        <v>3</v>
      </c>
    </row>
    <row r="197">
      <c r="A197" s="123">
        <f>IFERROR(__xludf.DUMMYFUNCTION("""COMPUTED_VALUE"""),4.0)</f>
        <v>4</v>
      </c>
      <c r="B197" s="124" t="str">
        <f>IFERROR(__xludf.DUMMYFUNCTION("""COMPUTED_VALUE"""),"Tina Hanson")</f>
        <v>Tina Hanson</v>
      </c>
      <c r="C197" s="125">
        <f>IFERROR(__xludf.DUMMYFUNCTION("""COMPUTED_VALUE"""),6.0)</f>
        <v>6</v>
      </c>
      <c r="D197" s="125">
        <f>IFERROR(__xludf.DUMMYFUNCTION("""COMPUTED_VALUE"""),3.0)</f>
        <v>3</v>
      </c>
      <c r="E197" s="125">
        <f>IFERROR(__xludf.DUMMYFUNCTION("""COMPUTED_VALUE"""),0.0)</f>
        <v>0</v>
      </c>
      <c r="F197" s="125">
        <f>IFERROR(__xludf.DUMMYFUNCTION("""COMPUTED_VALUE"""),9.0)</f>
        <v>9</v>
      </c>
      <c r="G197" s="125">
        <f>IFERROR(__xludf.DUMMYFUNCTION("""COMPUTED_VALUE"""),1.0)</f>
        <v>1</v>
      </c>
    </row>
    <row r="198">
      <c r="A198" s="123">
        <f>IFERROR(__xludf.DUMMYFUNCTION("""COMPUTED_VALUE"""),4.0)</f>
        <v>4</v>
      </c>
      <c r="B198" s="124" t="str">
        <f>IFERROR(__xludf.DUMMYFUNCTION("""COMPUTED_VALUE"""),"Oscar Bonilla")</f>
        <v>Oscar Bonilla</v>
      </c>
      <c r="C198" s="125">
        <f>IFERROR(__xludf.DUMMYFUNCTION("""COMPUTED_VALUE"""),3.0)</f>
        <v>3</v>
      </c>
      <c r="D198" s="125">
        <f>IFERROR(__xludf.DUMMYFUNCTION("""COMPUTED_VALUE"""),3.0)</f>
        <v>3</v>
      </c>
      <c r="E198" s="125">
        <f>IFERROR(__xludf.DUMMYFUNCTION("""COMPUTED_VALUE"""),6.0)</f>
        <v>6</v>
      </c>
      <c r="F198" s="125">
        <f>IFERROR(__xludf.DUMMYFUNCTION("""COMPUTED_VALUE"""),12.0)</f>
        <v>12</v>
      </c>
      <c r="G198" s="125">
        <f>IFERROR(__xludf.DUMMYFUNCTION("""COMPUTED_VALUE"""),1.0)</f>
        <v>1</v>
      </c>
    </row>
    <row r="199">
      <c r="A199" s="123">
        <f>IFERROR(__xludf.DUMMYFUNCTION("""COMPUTED_VALUE"""),4.0)</f>
        <v>4</v>
      </c>
      <c r="B199" s="124" t="str">
        <f>IFERROR(__xludf.DUMMYFUNCTION("""COMPUTED_VALUE"""),"Coco Yan")</f>
        <v>Coco Yan</v>
      </c>
      <c r="C199" s="125">
        <f>IFERROR(__xludf.DUMMYFUNCTION("""COMPUTED_VALUE"""),3.0)</f>
        <v>3</v>
      </c>
      <c r="D199" s="125">
        <f>IFERROR(__xludf.DUMMYFUNCTION("""COMPUTED_VALUE"""),6.0)</f>
        <v>6</v>
      </c>
      <c r="E199" s="125">
        <f>IFERROR(__xludf.DUMMYFUNCTION("""COMPUTED_VALUE"""),0.0)</f>
        <v>0</v>
      </c>
      <c r="F199" s="125">
        <f>IFERROR(__xludf.DUMMYFUNCTION("""COMPUTED_VALUE"""),9.0)</f>
        <v>9</v>
      </c>
      <c r="G199" s="125">
        <f>IFERROR(__xludf.DUMMYFUNCTION("""COMPUTED_VALUE"""),1.0)</f>
        <v>1</v>
      </c>
    </row>
    <row r="200">
      <c r="A200" s="117">
        <f>IFERROR(__xludf.DUMMYFUNCTION("""COMPUTED_VALUE"""),5.0)</f>
        <v>5</v>
      </c>
      <c r="B200" s="33" t="str">
        <f>IFERROR(__xludf.DUMMYFUNCTION("""COMPUTED_VALUE"""),"Jimmy Awolesi")</f>
        <v>Jimmy Awolesi</v>
      </c>
      <c r="C200" s="122">
        <f>IFERROR(__xludf.DUMMYFUNCTION("""COMPUTED_VALUE"""),6.0)</f>
        <v>6</v>
      </c>
      <c r="D200" s="122">
        <f>IFERROR(__xludf.DUMMYFUNCTION("""COMPUTED_VALUE"""),2.0)</f>
        <v>2</v>
      </c>
      <c r="E200" s="122">
        <f>IFERROR(__xludf.DUMMYFUNCTION("""COMPUTED_VALUE"""),6.0)</f>
        <v>6</v>
      </c>
      <c r="F200" s="122">
        <f>IFERROR(__xludf.DUMMYFUNCTION("""COMPUTED_VALUE"""),14.0)</f>
        <v>14</v>
      </c>
      <c r="G200" s="122">
        <f>IFERROR(__xludf.DUMMYFUNCTION("""COMPUTED_VALUE"""),2.0)</f>
        <v>2</v>
      </c>
    </row>
    <row r="201">
      <c r="A201" s="117">
        <f>IFERROR(__xludf.DUMMYFUNCTION("""COMPUTED_VALUE"""),5.0)</f>
        <v>5</v>
      </c>
      <c r="B201" s="33" t="str">
        <f>IFERROR(__xludf.DUMMYFUNCTION("""COMPUTED_VALUE"""),"Chinna Ponnaganti")</f>
        <v>Chinna Ponnaganti</v>
      </c>
      <c r="C201" s="122">
        <f>IFERROR(__xludf.DUMMYFUNCTION("""COMPUTED_VALUE"""),3.0)</f>
        <v>3</v>
      </c>
      <c r="D201" s="122">
        <f>IFERROR(__xludf.DUMMYFUNCTION("""COMPUTED_VALUE"""),6.0)</f>
        <v>6</v>
      </c>
      <c r="E201" s="122">
        <f>IFERROR(__xludf.DUMMYFUNCTION("""COMPUTED_VALUE"""),6.0)</f>
        <v>6</v>
      </c>
      <c r="F201" s="122">
        <f>IFERROR(__xludf.DUMMYFUNCTION("""COMPUTED_VALUE"""),15.0)</f>
        <v>15</v>
      </c>
      <c r="G201" s="122">
        <f>IFERROR(__xludf.DUMMYFUNCTION("""COMPUTED_VALUE"""),2.0)</f>
        <v>2</v>
      </c>
    </row>
    <row r="202">
      <c r="A202" s="117">
        <f>IFERROR(__xludf.DUMMYFUNCTION("""COMPUTED_VALUE"""),5.0)</f>
        <v>5</v>
      </c>
      <c r="B202" s="33" t="str">
        <f>IFERROR(__xludf.DUMMYFUNCTION("""COMPUTED_VALUE"""),"Allen Zhang")</f>
        <v>Allen Zhang</v>
      </c>
      <c r="C202" s="122">
        <f>IFERROR(__xludf.DUMMYFUNCTION("""COMPUTED_VALUE"""),6.0)</f>
        <v>6</v>
      </c>
      <c r="D202" s="122">
        <f>IFERROR(__xludf.DUMMYFUNCTION("""COMPUTED_VALUE"""),6.0)</f>
        <v>6</v>
      </c>
      <c r="E202" s="122">
        <f>IFERROR(__xludf.DUMMYFUNCTION("""COMPUTED_VALUE"""),3.0)</f>
        <v>3</v>
      </c>
      <c r="F202" s="122">
        <f>IFERROR(__xludf.DUMMYFUNCTION("""COMPUTED_VALUE"""),15.0)</f>
        <v>15</v>
      </c>
      <c r="G202" s="122">
        <f>IFERROR(__xludf.DUMMYFUNCTION("""COMPUTED_VALUE"""),2.0)</f>
        <v>2</v>
      </c>
    </row>
    <row r="203">
      <c r="A203" s="117">
        <f>IFERROR(__xludf.DUMMYFUNCTION("""COMPUTED_VALUE"""),5.0)</f>
        <v>5</v>
      </c>
      <c r="B203" s="33" t="str">
        <f>IFERROR(__xludf.DUMMYFUNCTION("""COMPUTED_VALUE"""),"Hongyuan Wen")</f>
        <v>Hongyuan Wen</v>
      </c>
      <c r="C203" s="122">
        <f>IFERROR(__xludf.DUMMYFUNCTION("""COMPUTED_VALUE"""),3.0)</f>
        <v>3</v>
      </c>
      <c r="D203" s="122">
        <f>IFERROR(__xludf.DUMMYFUNCTION("""COMPUTED_VALUE"""),2.0)</f>
        <v>2</v>
      </c>
      <c r="E203" s="122">
        <f>IFERROR(__xludf.DUMMYFUNCTION("""COMPUTED_VALUE"""),3.0)</f>
        <v>3</v>
      </c>
      <c r="F203" s="122">
        <f>IFERROR(__xludf.DUMMYFUNCTION("""COMPUTED_VALUE"""),8.0)</f>
        <v>8</v>
      </c>
      <c r="G203" s="122">
        <f>IFERROR(__xludf.DUMMYFUNCTION("""COMPUTED_VALUE"""),0.0)</f>
        <v>0</v>
      </c>
    </row>
    <row r="204">
      <c r="A204" s="123">
        <f>IFERROR(__xludf.DUMMYFUNCTION("""COMPUTED_VALUE"""),6.0)</f>
        <v>6</v>
      </c>
      <c r="B204" s="124" t="str">
        <f>IFERROR(__xludf.DUMMYFUNCTION("""COMPUTED_VALUE"""),"Eric Tan")</f>
        <v>Eric Tan</v>
      </c>
      <c r="C204" s="125">
        <f>IFERROR(__xludf.DUMMYFUNCTION("""COMPUTED_VALUE"""),6.0)</f>
        <v>6</v>
      </c>
      <c r="D204" s="125">
        <f>IFERROR(__xludf.DUMMYFUNCTION("""COMPUTED_VALUE"""),2.0)</f>
        <v>2</v>
      </c>
      <c r="E204" s="125">
        <f>IFERROR(__xludf.DUMMYFUNCTION("""COMPUTED_VALUE"""),1.0)</f>
        <v>1</v>
      </c>
      <c r="F204" s="125">
        <f>IFERROR(__xludf.DUMMYFUNCTION("""COMPUTED_VALUE"""),9.0)</f>
        <v>9</v>
      </c>
      <c r="G204" s="125">
        <f>IFERROR(__xludf.DUMMYFUNCTION("""COMPUTED_VALUE"""),0.0)</f>
        <v>0</v>
      </c>
    </row>
    <row r="205">
      <c r="A205" s="123">
        <f>IFERROR(__xludf.DUMMYFUNCTION("""COMPUTED_VALUE"""),6.0)</f>
        <v>6</v>
      </c>
      <c r="B205" s="124" t="str">
        <f>IFERROR(__xludf.DUMMYFUNCTION("""COMPUTED_VALUE"""),"Nicole Ni")</f>
        <v>Nicole Ni</v>
      </c>
      <c r="C205" s="125">
        <f>IFERROR(__xludf.DUMMYFUNCTION("""COMPUTED_VALUE"""),7.0)</f>
        <v>7</v>
      </c>
      <c r="D205" s="125">
        <f>IFERROR(__xludf.DUMMYFUNCTION("""COMPUTED_VALUE"""),6.0)</f>
        <v>6</v>
      </c>
      <c r="E205" s="125">
        <f>IFERROR(__xludf.DUMMYFUNCTION("""COMPUTED_VALUE"""),1.0)</f>
        <v>1</v>
      </c>
      <c r="F205" s="125">
        <f>IFERROR(__xludf.DUMMYFUNCTION("""COMPUTED_VALUE"""),14.0)</f>
        <v>14</v>
      </c>
      <c r="G205" s="125">
        <f>IFERROR(__xludf.DUMMYFUNCTION("""COMPUTED_VALUE"""),2.0)</f>
        <v>2</v>
      </c>
    </row>
    <row r="206">
      <c r="A206" s="123">
        <f>IFERROR(__xludf.DUMMYFUNCTION("""COMPUTED_VALUE"""),6.0)</f>
        <v>6</v>
      </c>
      <c r="B206" s="124" t="str">
        <f>IFERROR(__xludf.DUMMYFUNCTION("""COMPUTED_VALUE"""),"Mauricio Palacios")</f>
        <v>Mauricio Palacios</v>
      </c>
      <c r="C206" s="125">
        <f>IFERROR(__xludf.DUMMYFUNCTION("""COMPUTED_VALUE"""),6.0)</f>
        <v>6</v>
      </c>
      <c r="D206" s="125">
        <f>IFERROR(__xludf.DUMMYFUNCTION("""COMPUTED_VALUE"""),6.0)</f>
        <v>6</v>
      </c>
      <c r="E206" s="125">
        <f>IFERROR(__xludf.DUMMYFUNCTION("""COMPUTED_VALUE"""),6.0)</f>
        <v>6</v>
      </c>
      <c r="F206" s="125">
        <f>IFERROR(__xludf.DUMMYFUNCTION("""COMPUTED_VALUE"""),18.0)</f>
        <v>18</v>
      </c>
      <c r="G206" s="125">
        <f>IFERROR(__xludf.DUMMYFUNCTION("""COMPUTED_VALUE"""),2.0)</f>
        <v>2</v>
      </c>
    </row>
    <row r="207">
      <c r="A207" s="123">
        <f>IFERROR(__xludf.DUMMYFUNCTION("""COMPUTED_VALUE"""),6.0)</f>
        <v>6</v>
      </c>
      <c r="B207" s="124" t="str">
        <f>IFERROR(__xludf.DUMMYFUNCTION("""COMPUTED_VALUE"""),"Jim Miao")</f>
        <v>Jim Miao</v>
      </c>
      <c r="C207" s="125">
        <f>IFERROR(__xludf.DUMMYFUNCTION("""COMPUTED_VALUE"""),7.0)</f>
        <v>7</v>
      </c>
      <c r="D207" s="125">
        <f>IFERROR(__xludf.DUMMYFUNCTION("""COMPUTED_VALUE"""),2.0)</f>
        <v>2</v>
      </c>
      <c r="E207" s="125">
        <f>IFERROR(__xludf.DUMMYFUNCTION("""COMPUTED_VALUE"""),6.0)</f>
        <v>6</v>
      </c>
      <c r="F207" s="125">
        <f>IFERROR(__xludf.DUMMYFUNCTION("""COMPUTED_VALUE"""),15.0)</f>
        <v>15</v>
      </c>
      <c r="G207" s="125">
        <f>IFERROR(__xludf.DUMMYFUNCTION("""COMPUTED_VALUE"""),2.0)</f>
        <v>2</v>
      </c>
    </row>
    <row r="208">
      <c r="A208" s="117">
        <f>IFERROR(__xludf.DUMMYFUNCTION("""COMPUTED_VALUE"""),7.0)</f>
        <v>7</v>
      </c>
      <c r="B208" s="33" t="str">
        <f>IFERROR(__xludf.DUMMYFUNCTION("""COMPUTED_VALUE"""),"Kumar Palakeel")</f>
        <v>Kumar Palakeel</v>
      </c>
      <c r="C208" s="122">
        <f>IFERROR(__xludf.DUMMYFUNCTION("""COMPUTED_VALUE"""),6.0)</f>
        <v>6</v>
      </c>
      <c r="D208" s="122">
        <f>IFERROR(__xludf.DUMMYFUNCTION("""COMPUTED_VALUE"""),0.0)</f>
        <v>0</v>
      </c>
      <c r="E208" s="122">
        <f>IFERROR(__xludf.DUMMYFUNCTION("""COMPUTED_VALUE"""),6.0)</f>
        <v>6</v>
      </c>
      <c r="F208" s="122">
        <f>IFERROR(__xludf.DUMMYFUNCTION("""COMPUTED_VALUE"""),12.0)</f>
        <v>12</v>
      </c>
      <c r="G208" s="122">
        <f>IFERROR(__xludf.DUMMYFUNCTION("""COMPUTED_VALUE"""),2.0)</f>
        <v>2</v>
      </c>
    </row>
    <row r="209">
      <c r="A209" s="117">
        <f>IFERROR(__xludf.DUMMYFUNCTION("""COMPUTED_VALUE"""),7.0)</f>
        <v>7</v>
      </c>
      <c r="B209" s="33" t="str">
        <f>IFERROR(__xludf.DUMMYFUNCTION("""COMPUTED_VALUE"""),"Naveen Raj")</f>
        <v>Naveen Raj</v>
      </c>
      <c r="C209" s="122">
        <f>IFERROR(__xludf.DUMMYFUNCTION("""COMPUTED_VALUE"""),4.0)</f>
        <v>4</v>
      </c>
      <c r="D209" s="122">
        <f>IFERROR(__xludf.DUMMYFUNCTION("""COMPUTED_VALUE"""),6.0)</f>
        <v>6</v>
      </c>
      <c r="E209" s="122">
        <f>IFERROR(__xludf.DUMMYFUNCTION("""COMPUTED_VALUE"""),6.0)</f>
        <v>6</v>
      </c>
      <c r="F209" s="122">
        <f>IFERROR(__xludf.DUMMYFUNCTION("""COMPUTED_VALUE"""),16.0)</f>
        <v>16</v>
      </c>
      <c r="G209" s="122">
        <f>IFERROR(__xludf.DUMMYFUNCTION("""COMPUTED_VALUE"""),2.0)</f>
        <v>2</v>
      </c>
    </row>
    <row r="210">
      <c r="A210" s="117">
        <f>IFERROR(__xludf.DUMMYFUNCTION("""COMPUTED_VALUE"""),7.0)</f>
        <v>7</v>
      </c>
      <c r="B210" s="33" t="str">
        <f>IFERROR(__xludf.DUMMYFUNCTION("""COMPUTED_VALUE"""),"Sandy Weyant")</f>
        <v>Sandy Weyant</v>
      </c>
      <c r="C210" s="122">
        <f>IFERROR(__xludf.DUMMYFUNCTION("""COMPUTED_VALUE"""),4.0)</f>
        <v>4</v>
      </c>
      <c r="D210" s="122">
        <f>IFERROR(__xludf.DUMMYFUNCTION("""COMPUTED_VALUE"""),0.0)</f>
        <v>0</v>
      </c>
      <c r="E210" s="122">
        <f>IFERROR(__xludf.DUMMYFUNCTION("""COMPUTED_VALUE"""),2.0)</f>
        <v>2</v>
      </c>
      <c r="F210" s="122">
        <f>IFERROR(__xludf.DUMMYFUNCTION("""COMPUTED_VALUE"""),6.0)</f>
        <v>6</v>
      </c>
      <c r="G210" s="122">
        <f>IFERROR(__xludf.DUMMYFUNCTION("""COMPUTED_VALUE"""),0.0)</f>
        <v>0</v>
      </c>
    </row>
    <row r="211">
      <c r="A211" s="117">
        <f>IFERROR(__xludf.DUMMYFUNCTION("""COMPUTED_VALUE"""),7.0)</f>
        <v>7</v>
      </c>
      <c r="B211" s="33" t="str">
        <f>IFERROR(__xludf.DUMMYFUNCTION("""COMPUTED_VALUE"""),"Saravanan Veerapandian")</f>
        <v>Saravanan Veerapandian</v>
      </c>
      <c r="C211" s="122">
        <f>IFERROR(__xludf.DUMMYFUNCTION("""COMPUTED_VALUE"""),6.0)</f>
        <v>6</v>
      </c>
      <c r="D211" s="122">
        <f>IFERROR(__xludf.DUMMYFUNCTION("""COMPUTED_VALUE"""),6.0)</f>
        <v>6</v>
      </c>
      <c r="E211" s="122">
        <f>IFERROR(__xludf.DUMMYFUNCTION("""COMPUTED_VALUE"""),2.0)</f>
        <v>2</v>
      </c>
      <c r="F211" s="122">
        <f>IFERROR(__xludf.DUMMYFUNCTION("""COMPUTED_VALUE"""),14.0)</f>
        <v>14</v>
      </c>
      <c r="G211" s="122">
        <f>IFERROR(__xludf.DUMMYFUNCTION("""COMPUTED_VALUE"""),2.0)</f>
        <v>2</v>
      </c>
    </row>
    <row r="212">
      <c r="A212" s="123">
        <f>IFERROR(__xludf.DUMMYFUNCTION("""COMPUTED_VALUE"""),8.0)</f>
        <v>8</v>
      </c>
      <c r="B212" s="124" t="str">
        <f>IFERROR(__xludf.DUMMYFUNCTION("""COMPUTED_VALUE"""),"Susanta Mishra")</f>
        <v>Susanta Mishra</v>
      </c>
      <c r="C212" s="125">
        <f>IFERROR(__xludf.DUMMYFUNCTION("""COMPUTED_VALUE"""),6.0)</f>
        <v>6</v>
      </c>
      <c r="D212" s="125">
        <f>IFERROR(__xludf.DUMMYFUNCTION("""COMPUTED_VALUE"""),1.0)</f>
        <v>1</v>
      </c>
      <c r="E212" s="125">
        <f>IFERROR(__xludf.DUMMYFUNCTION("""COMPUTED_VALUE"""),6.0)</f>
        <v>6</v>
      </c>
      <c r="F212" s="125">
        <f>IFERROR(__xludf.DUMMYFUNCTION("""COMPUTED_VALUE"""),13.0)</f>
        <v>13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IFERROR(__xludf.DUMMYFUNCTION("""COMPUTED_VALUE"""),"Balaji Alahari")</f>
        <v>Balaji Alahari</v>
      </c>
      <c r="C213" s="125">
        <f>IFERROR(__xludf.DUMMYFUNCTION("""COMPUTED_VALUE"""),6.0)</f>
        <v>6</v>
      </c>
      <c r="D213" s="125">
        <f>IFERROR(__xludf.DUMMYFUNCTION("""COMPUTED_VALUE"""),6.0)</f>
        <v>6</v>
      </c>
      <c r="E213" s="125">
        <f>IFERROR(__xludf.DUMMYFUNCTION("""COMPUTED_VALUE"""),3.0)</f>
        <v>3</v>
      </c>
      <c r="F213" s="125">
        <f>IFERROR(__xludf.DUMMYFUNCTION("""COMPUTED_VALUE"""),15.0)</f>
        <v>15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IFERROR(__xludf.DUMMYFUNCTION("""COMPUTED_VALUE"""),"Sanjaye Elayattu")</f>
        <v>Sanjaye Elayattu</v>
      </c>
      <c r="C214" s="125">
        <f>IFERROR(__xludf.DUMMYFUNCTION("""COMPUTED_VALUE"""),1.0)</f>
        <v>1</v>
      </c>
      <c r="D214" s="125">
        <f>IFERROR(__xludf.DUMMYFUNCTION("""COMPUTED_VALUE"""),6.0)</f>
        <v>6</v>
      </c>
      <c r="E214" s="125">
        <f>IFERROR(__xludf.DUMMYFUNCTION("""COMPUTED_VALUE"""),6.0)</f>
        <v>6</v>
      </c>
      <c r="F214" s="125">
        <f>IFERROR(__xludf.DUMMYFUNCTION("""COMPUTED_VALUE"""),13.0)</f>
        <v>13</v>
      </c>
      <c r="G214" s="125">
        <f>IFERROR(__xludf.DUMMYFUNCTION("""COMPUTED_VALUE"""),2.0)</f>
        <v>2</v>
      </c>
    </row>
    <row r="215">
      <c r="A215" s="123">
        <f>IFERROR(__xludf.DUMMYFUNCTION("""COMPUTED_VALUE"""),8.0)</f>
        <v>8</v>
      </c>
      <c r="B215" s="124" t="str">
        <f>IFERROR(__xludf.DUMMYFUNCTION("""COMPUTED_VALUE"""),"Hubert J Sung")</f>
        <v>Hubert J Sung</v>
      </c>
      <c r="C215" s="125">
        <f>IFERROR(__xludf.DUMMYFUNCTION("""COMPUTED_VALUE"""),1.0)</f>
        <v>1</v>
      </c>
      <c r="D215" s="125">
        <f>IFERROR(__xludf.DUMMYFUNCTION("""COMPUTED_VALUE"""),1.0)</f>
        <v>1</v>
      </c>
      <c r="E215" s="125">
        <f>IFERROR(__xludf.DUMMYFUNCTION("""COMPUTED_VALUE"""),3.0)</f>
        <v>3</v>
      </c>
      <c r="F215" s="125">
        <f>IFERROR(__xludf.DUMMYFUNCTION("""COMPUTED_VALUE"""),5.0)</f>
        <v>5</v>
      </c>
      <c r="G215" s="125">
        <f>IFERROR(__xludf.DUMMYFUNCTION("""COMPUTED_VALUE"""),0.0)</f>
        <v>0</v>
      </c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45913.0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11.0</v>
      </c>
      <c r="E2" s="1"/>
      <c r="F2" s="1"/>
      <c r="R2" s="17"/>
      <c r="AC2" s="21" t="str">
        <f>text(C1-7,"mm/dd/yy")</f>
        <v>09/06/25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84</v>
      </c>
      <c r="C5" s="34">
        <v>148.0</v>
      </c>
      <c r="D5" s="34">
        <v>17.0</v>
      </c>
      <c r="E5" s="35">
        <f t="shared" ref="E5:E69" si="2">if(S5&gt;0,(C5-(V5*9)-(T5*13))/S5,0)</f>
        <v>14.44444444</v>
      </c>
      <c r="F5" s="95">
        <v>1.0</v>
      </c>
      <c r="G5" s="96">
        <v>1.0</v>
      </c>
      <c r="H5" s="97">
        <v>0.0</v>
      </c>
      <c r="I5" s="96">
        <v>6.0</v>
      </c>
      <c r="J5" s="96">
        <v>6.0</v>
      </c>
      <c r="K5" s="96">
        <v>3.0</v>
      </c>
      <c r="L5" s="98">
        <v>15.0</v>
      </c>
      <c r="M5" s="96">
        <v>2.0</v>
      </c>
      <c r="N5" s="34">
        <f t="shared" ref="N5:O5" si="1">C5+L5</f>
        <v>163</v>
      </c>
      <c r="O5" s="34">
        <f t="shared" si="1"/>
        <v>19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9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2</v>
      </c>
      <c r="W5" s="52">
        <f t="shared" ref="W5:W69" si="7">vlookup(B5,indirect("'" &amp; AC$2 &amp; "'!B5:x69"),23,false)-X5</f>
        <v>0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67</v>
      </c>
      <c r="C6" s="34">
        <v>142.0</v>
      </c>
      <c r="D6" s="34">
        <v>17.0</v>
      </c>
      <c r="E6" s="35">
        <f t="shared" si="2"/>
        <v>15.14285714</v>
      </c>
      <c r="F6" s="95">
        <v>3.0</v>
      </c>
      <c r="G6" s="96">
        <v>0.0</v>
      </c>
      <c r="H6" s="97">
        <v>9.0</v>
      </c>
      <c r="I6" s="96">
        <v>0.0</v>
      </c>
      <c r="J6" s="96">
        <v>0.0</v>
      </c>
      <c r="K6" s="96">
        <v>0.0</v>
      </c>
      <c r="L6" s="98">
        <v>9.0</v>
      </c>
      <c r="M6" s="96">
        <v>0.0</v>
      </c>
      <c r="N6" s="34">
        <f t="shared" ref="N6:O6" si="3">C6+L6</f>
        <v>151</v>
      </c>
      <c r="O6" s="34">
        <f t="shared" si="3"/>
        <v>17</v>
      </c>
      <c r="P6" s="49" t="s">
        <v>58</v>
      </c>
      <c r="Q6" s="49" t="s">
        <v>58</v>
      </c>
      <c r="R6" s="49"/>
      <c r="S6" s="50">
        <f t="shared" si="4"/>
        <v>7</v>
      </c>
      <c r="T6" s="52">
        <f t="shared" si="5"/>
        <v>0</v>
      </c>
      <c r="U6" s="52"/>
      <c r="V6" s="50">
        <f t="shared" si="6"/>
        <v>4</v>
      </c>
      <c r="W6" s="52">
        <f t="shared" si="7"/>
        <v>1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73</v>
      </c>
      <c r="C7" s="34">
        <v>142.0</v>
      </c>
      <c r="D7" s="34">
        <v>14.0</v>
      </c>
      <c r="E7" s="35">
        <f t="shared" si="2"/>
        <v>13.77777778</v>
      </c>
      <c r="F7" s="95">
        <v>2.0</v>
      </c>
      <c r="G7" s="96">
        <v>1.0</v>
      </c>
      <c r="H7" s="97">
        <v>0.0</v>
      </c>
      <c r="I7" s="96">
        <v>6.0</v>
      </c>
      <c r="J7" s="96">
        <v>4.0</v>
      </c>
      <c r="K7" s="96">
        <v>6.0</v>
      </c>
      <c r="L7" s="98">
        <v>16.0</v>
      </c>
      <c r="M7" s="96">
        <v>2.0</v>
      </c>
      <c r="N7" s="34">
        <f t="shared" ref="N7:O7" si="11">C7+L7</f>
        <v>158</v>
      </c>
      <c r="O7" s="34">
        <f t="shared" si="11"/>
        <v>16</v>
      </c>
      <c r="P7" s="49" t="s">
        <v>58</v>
      </c>
      <c r="Q7" s="49" t="s">
        <v>58</v>
      </c>
      <c r="R7" s="49"/>
      <c r="S7" s="50">
        <f t="shared" si="4"/>
        <v>9</v>
      </c>
      <c r="T7" s="52">
        <f t="shared" si="5"/>
        <v>0</v>
      </c>
      <c r="U7" s="52"/>
      <c r="V7" s="50">
        <f t="shared" si="6"/>
        <v>2</v>
      </c>
      <c r="W7" s="52">
        <f t="shared" si="7"/>
        <v>-1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107</v>
      </c>
      <c r="C8" s="34">
        <v>141.0</v>
      </c>
      <c r="D8" s="34">
        <v>16.0</v>
      </c>
      <c r="E8" s="35">
        <f t="shared" si="2"/>
        <v>14.25</v>
      </c>
      <c r="F8" s="95">
        <v>3.0</v>
      </c>
      <c r="G8" s="96">
        <v>0.0</v>
      </c>
      <c r="H8" s="97">
        <v>9.0</v>
      </c>
      <c r="I8" s="96">
        <v>0.0</v>
      </c>
      <c r="J8" s="96">
        <v>0.0</v>
      </c>
      <c r="K8" s="96">
        <v>0.0</v>
      </c>
      <c r="L8" s="98">
        <v>9.0</v>
      </c>
      <c r="M8" s="96">
        <v>0.0</v>
      </c>
      <c r="N8" s="34">
        <f t="shared" ref="N8:O8" si="13">C8+L8</f>
        <v>150</v>
      </c>
      <c r="O8" s="34">
        <f t="shared" si="13"/>
        <v>16</v>
      </c>
      <c r="P8" s="49" t="s">
        <v>58</v>
      </c>
      <c r="Q8" s="49" t="s">
        <v>58</v>
      </c>
      <c r="R8" s="49"/>
      <c r="S8" s="50">
        <f t="shared" si="4"/>
        <v>8</v>
      </c>
      <c r="T8" s="52">
        <f t="shared" si="5"/>
        <v>0</v>
      </c>
      <c r="U8" s="52"/>
      <c r="V8" s="50">
        <f t="shared" si="6"/>
        <v>3</v>
      </c>
      <c r="W8" s="52">
        <f t="shared" si="7"/>
        <v>0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109</v>
      </c>
      <c r="C9" s="34">
        <v>139.0</v>
      </c>
      <c r="D9" s="34">
        <v>14.0</v>
      </c>
      <c r="E9" s="35">
        <f t="shared" si="2"/>
        <v>14</v>
      </c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4">C9+L9</f>
        <v>148</v>
      </c>
      <c r="O9" s="34">
        <f t="shared" si="14"/>
        <v>14</v>
      </c>
      <c r="P9" s="49" t="s">
        <v>58</v>
      </c>
      <c r="Q9" s="49" t="s">
        <v>58</v>
      </c>
      <c r="R9" s="49"/>
      <c r="S9" s="50">
        <f t="shared" si="4"/>
        <v>8</v>
      </c>
      <c r="T9" s="52">
        <f t="shared" si="5"/>
        <v>0</v>
      </c>
      <c r="U9" s="52"/>
      <c r="V9" s="50">
        <f t="shared" si="6"/>
        <v>3</v>
      </c>
      <c r="W9" s="52">
        <f t="shared" si="7"/>
        <v>0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128</v>
      </c>
      <c r="C10" s="34">
        <v>139.0</v>
      </c>
      <c r="D10" s="34">
        <v>14.0</v>
      </c>
      <c r="E10" s="35">
        <f t="shared" si="2"/>
        <v>13.44444444</v>
      </c>
      <c r="F10" s="95">
        <v>1.0</v>
      </c>
      <c r="G10" s="96">
        <v>1.0</v>
      </c>
      <c r="H10" s="97">
        <v>0.0</v>
      </c>
      <c r="I10" s="96">
        <v>4.0</v>
      </c>
      <c r="J10" s="96">
        <v>4.0</v>
      </c>
      <c r="K10" s="96">
        <v>3.0</v>
      </c>
      <c r="L10" s="98">
        <v>11.0</v>
      </c>
      <c r="M10" s="96">
        <v>0.0</v>
      </c>
      <c r="N10" s="34">
        <f t="shared" ref="N10:O10" si="15">C10+L10</f>
        <v>150</v>
      </c>
      <c r="O10" s="34">
        <f t="shared" si="15"/>
        <v>14</v>
      </c>
      <c r="P10" s="49" t="s">
        <v>58</v>
      </c>
      <c r="Q10" s="49" t="s">
        <v>58</v>
      </c>
      <c r="R10" s="49"/>
      <c r="S10" s="50">
        <f t="shared" si="4"/>
        <v>9</v>
      </c>
      <c r="T10" s="52">
        <f t="shared" si="5"/>
        <v>0</v>
      </c>
      <c r="U10" s="52"/>
      <c r="V10" s="50">
        <f t="shared" si="6"/>
        <v>2</v>
      </c>
      <c r="W10" s="52">
        <f t="shared" si="7"/>
        <v>0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98</v>
      </c>
      <c r="C11" s="34">
        <v>138.0</v>
      </c>
      <c r="D11" s="34">
        <v>18.0</v>
      </c>
      <c r="E11" s="35">
        <f t="shared" si="2"/>
        <v>12.9</v>
      </c>
      <c r="F11" s="95">
        <v>1.0</v>
      </c>
      <c r="G11" s="96">
        <v>1.0</v>
      </c>
      <c r="H11" s="97">
        <v>0.0</v>
      </c>
      <c r="I11" s="96">
        <v>4.0</v>
      </c>
      <c r="J11" s="96">
        <v>6.0</v>
      </c>
      <c r="K11" s="96">
        <v>6.0</v>
      </c>
      <c r="L11" s="98">
        <v>16.0</v>
      </c>
      <c r="M11" s="96">
        <v>2.0</v>
      </c>
      <c r="N11" s="34">
        <f t="shared" ref="N11:O11" si="16">C11+L11</f>
        <v>154</v>
      </c>
      <c r="O11" s="34">
        <f t="shared" si="16"/>
        <v>20</v>
      </c>
      <c r="P11" s="49" t="s">
        <v>58</v>
      </c>
      <c r="Q11" s="49" t="s">
        <v>58</v>
      </c>
      <c r="R11" s="49"/>
      <c r="S11" s="50">
        <f t="shared" si="4"/>
        <v>10</v>
      </c>
      <c r="T11" s="52">
        <f t="shared" si="5"/>
        <v>0</v>
      </c>
      <c r="U11" s="52"/>
      <c r="V11" s="50">
        <f t="shared" si="6"/>
        <v>1</v>
      </c>
      <c r="W11" s="52">
        <f t="shared" si="7"/>
        <v>3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83</v>
      </c>
      <c r="C12" s="34">
        <v>138.0</v>
      </c>
      <c r="D12" s="34">
        <v>14.0</v>
      </c>
      <c r="E12" s="35">
        <f t="shared" si="2"/>
        <v>14.57142857</v>
      </c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7">C12+L12</f>
        <v>147</v>
      </c>
      <c r="O12" s="34">
        <f t="shared" si="17"/>
        <v>14</v>
      </c>
      <c r="P12" s="49" t="s">
        <v>58</v>
      </c>
      <c r="Q12" s="49" t="s">
        <v>58</v>
      </c>
      <c r="R12" s="49"/>
      <c r="S12" s="50">
        <f t="shared" si="4"/>
        <v>7</v>
      </c>
      <c r="T12" s="52">
        <f t="shared" si="5"/>
        <v>0</v>
      </c>
      <c r="U12" s="52"/>
      <c r="V12" s="50">
        <f t="shared" si="6"/>
        <v>4</v>
      </c>
      <c r="W12" s="52">
        <f t="shared" si="7"/>
        <v>1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94</v>
      </c>
      <c r="C13" s="34">
        <v>133.0</v>
      </c>
      <c r="D13" s="34">
        <v>12.0</v>
      </c>
      <c r="E13" s="35">
        <f t="shared" si="2"/>
        <v>12.4</v>
      </c>
      <c r="F13" s="95">
        <v>1.0</v>
      </c>
      <c r="G13" s="96">
        <v>2.0</v>
      </c>
      <c r="H13" s="97">
        <v>0.0</v>
      </c>
      <c r="I13" s="96">
        <v>6.0</v>
      </c>
      <c r="J13" s="96">
        <v>2.0</v>
      </c>
      <c r="K13" s="96">
        <v>7.0</v>
      </c>
      <c r="L13" s="98">
        <v>15.0</v>
      </c>
      <c r="M13" s="96">
        <v>2.0</v>
      </c>
      <c r="N13" s="34">
        <f t="shared" ref="N13:O13" si="18">C13+L13</f>
        <v>148</v>
      </c>
      <c r="O13" s="34">
        <f t="shared" si="18"/>
        <v>14</v>
      </c>
      <c r="P13" s="49" t="s">
        <v>58</v>
      </c>
      <c r="Q13" s="49" t="s">
        <v>58</v>
      </c>
      <c r="R13" s="49"/>
      <c r="S13" s="50">
        <f t="shared" si="4"/>
        <v>10</v>
      </c>
      <c r="T13" s="52">
        <f t="shared" si="5"/>
        <v>0</v>
      </c>
      <c r="U13" s="52"/>
      <c r="V13" s="50">
        <f t="shared" si="6"/>
        <v>1</v>
      </c>
      <c r="W13" s="52">
        <f t="shared" si="7"/>
        <v>-2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113</v>
      </c>
      <c r="C14" s="34">
        <v>132.0</v>
      </c>
      <c r="D14" s="34">
        <v>12.0</v>
      </c>
      <c r="E14" s="35">
        <f t="shared" si="2"/>
        <v>13.71428571</v>
      </c>
      <c r="F14" s="95">
        <v>1.0</v>
      </c>
      <c r="G14" s="96">
        <v>2.0</v>
      </c>
      <c r="H14" s="97">
        <v>0.0</v>
      </c>
      <c r="I14" s="96">
        <v>4.0</v>
      </c>
      <c r="J14" s="96">
        <v>6.0</v>
      </c>
      <c r="K14" s="96">
        <v>7.0</v>
      </c>
      <c r="L14" s="98">
        <v>17.0</v>
      </c>
      <c r="M14" s="96">
        <v>2.0</v>
      </c>
      <c r="N14" s="34">
        <f t="shared" ref="N14:O14" si="19">C14+L14</f>
        <v>149</v>
      </c>
      <c r="O14" s="34">
        <f t="shared" si="19"/>
        <v>14</v>
      </c>
      <c r="P14" s="49" t="s">
        <v>58</v>
      </c>
      <c r="Q14" s="49" t="s">
        <v>58</v>
      </c>
      <c r="R14" s="49"/>
      <c r="S14" s="50">
        <f t="shared" si="4"/>
        <v>7</v>
      </c>
      <c r="T14" s="52">
        <f t="shared" si="5"/>
        <v>0</v>
      </c>
      <c r="U14" s="52"/>
      <c r="V14" s="50">
        <f t="shared" si="6"/>
        <v>4</v>
      </c>
      <c r="W14" s="52">
        <f t="shared" si="7"/>
        <v>17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87</v>
      </c>
      <c r="C15" s="34">
        <v>131.0</v>
      </c>
      <c r="D15" s="34">
        <v>15.0</v>
      </c>
      <c r="E15" s="35">
        <f t="shared" si="2"/>
        <v>12.2</v>
      </c>
      <c r="F15" s="95">
        <v>1.0</v>
      </c>
      <c r="G15" s="96">
        <v>2.0</v>
      </c>
      <c r="H15" s="97">
        <v>0.0</v>
      </c>
      <c r="I15" s="96">
        <v>4.0</v>
      </c>
      <c r="J15" s="96">
        <v>2.0</v>
      </c>
      <c r="K15" s="96">
        <v>6.0</v>
      </c>
      <c r="L15" s="98">
        <v>12.0</v>
      </c>
      <c r="M15" s="96">
        <v>0.0</v>
      </c>
      <c r="N15" s="34">
        <f t="shared" ref="N15:O15" si="20">C15+L15</f>
        <v>143</v>
      </c>
      <c r="O15" s="34">
        <f t="shared" si="20"/>
        <v>15</v>
      </c>
      <c r="P15" s="49" t="s">
        <v>58</v>
      </c>
      <c r="Q15" s="49" t="s">
        <v>58</v>
      </c>
      <c r="R15" s="49"/>
      <c r="S15" s="50">
        <f t="shared" si="4"/>
        <v>10</v>
      </c>
      <c r="T15" s="52">
        <f t="shared" si="5"/>
        <v>0</v>
      </c>
      <c r="U15" s="52"/>
      <c r="V15" s="50">
        <f t="shared" si="6"/>
        <v>1</v>
      </c>
      <c r="W15" s="52">
        <f t="shared" si="7"/>
        <v>-3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90</v>
      </c>
      <c r="C16" s="34">
        <v>131.0</v>
      </c>
      <c r="D16" s="34">
        <v>15.0</v>
      </c>
      <c r="E16" s="35">
        <f t="shared" si="2"/>
        <v>11.8</v>
      </c>
      <c r="F16" s="95">
        <v>1.0</v>
      </c>
      <c r="G16" s="96">
        <v>2.0</v>
      </c>
      <c r="H16" s="97">
        <v>0.0</v>
      </c>
      <c r="I16" s="96">
        <v>6.0</v>
      </c>
      <c r="J16" s="96">
        <v>6.0</v>
      </c>
      <c r="K16" s="96">
        <v>6.0</v>
      </c>
      <c r="L16" s="98">
        <v>18.0</v>
      </c>
      <c r="M16" s="96">
        <v>2.0</v>
      </c>
      <c r="N16" s="34">
        <f t="shared" ref="N16:O16" si="21">C16+L16</f>
        <v>149</v>
      </c>
      <c r="O16" s="34">
        <f t="shared" si="21"/>
        <v>17</v>
      </c>
      <c r="P16" s="49" t="s">
        <v>58</v>
      </c>
      <c r="Q16" s="49" t="s">
        <v>58</v>
      </c>
      <c r="R16" s="49"/>
      <c r="S16" s="50">
        <f t="shared" si="4"/>
        <v>10</v>
      </c>
      <c r="T16" s="52">
        <f t="shared" si="5"/>
        <v>1</v>
      </c>
      <c r="U16" s="52"/>
      <c r="V16" s="50">
        <f t="shared" si="6"/>
        <v>0</v>
      </c>
      <c r="W16" s="52">
        <f t="shared" si="7"/>
        <v>4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110</v>
      </c>
      <c r="C17" s="34">
        <v>131.0</v>
      </c>
      <c r="D17" s="34">
        <v>14.0</v>
      </c>
      <c r="E17" s="35">
        <f t="shared" si="2"/>
        <v>11.90909091</v>
      </c>
      <c r="F17" s="95">
        <v>1.0</v>
      </c>
      <c r="G17" s="96">
        <v>3.0</v>
      </c>
      <c r="H17" s="97">
        <v>0.0</v>
      </c>
      <c r="I17" s="96">
        <v>6.0</v>
      </c>
      <c r="J17" s="96">
        <v>5.0</v>
      </c>
      <c r="K17" s="96">
        <v>5.0</v>
      </c>
      <c r="L17" s="98">
        <v>16.0</v>
      </c>
      <c r="M17" s="96">
        <v>1.0</v>
      </c>
      <c r="N17" s="34">
        <f t="shared" ref="N17:O17" si="22">C17+L17</f>
        <v>147</v>
      </c>
      <c r="O17" s="34">
        <f t="shared" si="22"/>
        <v>15</v>
      </c>
      <c r="P17" s="49" t="s">
        <v>58</v>
      </c>
      <c r="Q17" s="49" t="s">
        <v>58</v>
      </c>
      <c r="R17" s="49"/>
      <c r="S17" s="50">
        <f t="shared" si="4"/>
        <v>11</v>
      </c>
      <c r="T17" s="52">
        <f t="shared" si="5"/>
        <v>0</v>
      </c>
      <c r="U17" s="52"/>
      <c r="V17" s="50">
        <f t="shared" si="6"/>
        <v>0</v>
      </c>
      <c r="W17" s="52">
        <f t="shared" si="7"/>
        <v>0</v>
      </c>
      <c r="X17" s="32">
        <f t="shared" si="12"/>
        <v>13</v>
      </c>
      <c r="Y17" s="32" t="str">
        <f t="shared" si="8"/>
        <v>Y</v>
      </c>
      <c r="Z17" s="16" t="str">
        <f t="shared" si="9"/>
        <v/>
      </c>
    </row>
    <row r="18">
      <c r="A18" s="32">
        <f t="shared" si="10"/>
        <v>14</v>
      </c>
      <c r="B18" s="33" t="s">
        <v>91</v>
      </c>
      <c r="C18" s="34">
        <v>131.0</v>
      </c>
      <c r="D18" s="34">
        <v>14.0</v>
      </c>
      <c r="E18" s="35">
        <f t="shared" si="2"/>
        <v>12.11111111</v>
      </c>
      <c r="F18" s="95">
        <v>3.0</v>
      </c>
      <c r="G18" s="96">
        <v>0.0</v>
      </c>
      <c r="H18" s="97">
        <v>9.0</v>
      </c>
      <c r="I18" s="96">
        <v>0.0</v>
      </c>
      <c r="J18" s="96">
        <v>0.0</v>
      </c>
      <c r="K18" s="96">
        <v>0.0</v>
      </c>
      <c r="L18" s="98">
        <v>9.0</v>
      </c>
      <c r="M18" s="96">
        <v>0.0</v>
      </c>
      <c r="N18" s="34">
        <f t="shared" ref="N18:O18" si="23">C18+L18</f>
        <v>140</v>
      </c>
      <c r="O18" s="34">
        <f t="shared" si="23"/>
        <v>14</v>
      </c>
      <c r="P18" s="49" t="s">
        <v>58</v>
      </c>
      <c r="Q18" s="49" t="s">
        <v>58</v>
      </c>
      <c r="R18" s="49"/>
      <c r="S18" s="50">
        <f t="shared" si="4"/>
        <v>9</v>
      </c>
      <c r="T18" s="52">
        <f t="shared" si="5"/>
        <v>1</v>
      </c>
      <c r="U18" s="52"/>
      <c r="V18" s="50">
        <f t="shared" si="6"/>
        <v>1</v>
      </c>
      <c r="W18" s="52">
        <f t="shared" si="7"/>
        <v>3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89</v>
      </c>
      <c r="C19" s="34">
        <v>131.0</v>
      </c>
      <c r="D19" s="34">
        <v>13.0</v>
      </c>
      <c r="E19" s="35">
        <f t="shared" si="2"/>
        <v>13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4">C19+L19</f>
        <v>140</v>
      </c>
      <c r="O19" s="34">
        <f t="shared" si="24"/>
        <v>13</v>
      </c>
      <c r="P19" s="49" t="s">
        <v>58</v>
      </c>
      <c r="Q19" s="49" t="s">
        <v>58</v>
      </c>
      <c r="R19" s="49"/>
      <c r="S19" s="50">
        <f t="shared" si="4"/>
        <v>8</v>
      </c>
      <c r="T19" s="52">
        <f t="shared" si="5"/>
        <v>0</v>
      </c>
      <c r="U19" s="52"/>
      <c r="V19" s="50">
        <f t="shared" si="6"/>
        <v>3</v>
      </c>
      <c r="W19" s="52">
        <f t="shared" si="7"/>
        <v>-4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106</v>
      </c>
      <c r="C20" s="34">
        <v>131.0</v>
      </c>
      <c r="D20" s="34">
        <v>13.0</v>
      </c>
      <c r="E20" s="35">
        <f t="shared" si="2"/>
        <v>12.5</v>
      </c>
      <c r="F20" s="95">
        <v>1.0</v>
      </c>
      <c r="G20" s="96">
        <v>3.0</v>
      </c>
      <c r="H20" s="97">
        <v>0.0</v>
      </c>
      <c r="I20" s="96">
        <v>4.0</v>
      </c>
      <c r="J20" s="96">
        <v>5.0</v>
      </c>
      <c r="K20" s="96">
        <v>7.0</v>
      </c>
      <c r="L20" s="98">
        <v>16.0</v>
      </c>
      <c r="M20" s="96">
        <v>1.0</v>
      </c>
      <c r="N20" s="34">
        <f t="shared" ref="N20:O20" si="25">C20+L20</f>
        <v>147</v>
      </c>
      <c r="O20" s="34">
        <f t="shared" si="25"/>
        <v>14</v>
      </c>
      <c r="P20" s="49" t="s">
        <v>58</v>
      </c>
      <c r="Q20" s="49" t="s">
        <v>58</v>
      </c>
      <c r="R20" s="49"/>
      <c r="S20" s="50">
        <f t="shared" si="4"/>
        <v>8</v>
      </c>
      <c r="T20" s="52">
        <f t="shared" si="5"/>
        <v>1</v>
      </c>
      <c r="U20" s="52"/>
      <c r="V20" s="50">
        <f t="shared" si="6"/>
        <v>2</v>
      </c>
      <c r="W20" s="52">
        <f t="shared" si="7"/>
        <v>3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45</v>
      </c>
      <c r="C21" s="34">
        <v>130.0</v>
      </c>
      <c r="D21" s="34">
        <v>13.0</v>
      </c>
      <c r="E21" s="35">
        <f t="shared" si="2"/>
        <v>14.16666667</v>
      </c>
      <c r="F21" s="95">
        <v>1.0</v>
      </c>
      <c r="G21" s="96">
        <v>3.0</v>
      </c>
      <c r="H21" s="97">
        <v>0.0</v>
      </c>
      <c r="I21" s="96">
        <v>6.0</v>
      </c>
      <c r="J21" s="96">
        <v>7.0</v>
      </c>
      <c r="K21" s="96">
        <v>7.0</v>
      </c>
      <c r="L21" s="98">
        <v>20.0</v>
      </c>
      <c r="M21" s="96">
        <v>3.0</v>
      </c>
      <c r="N21" s="34">
        <f t="shared" ref="N21:O21" si="26">C21+L21</f>
        <v>150</v>
      </c>
      <c r="O21" s="34">
        <f t="shared" si="26"/>
        <v>16</v>
      </c>
      <c r="P21" s="49" t="s">
        <v>58</v>
      </c>
      <c r="Q21" s="49" t="s">
        <v>58</v>
      </c>
      <c r="R21" s="49"/>
      <c r="S21" s="50">
        <f t="shared" si="4"/>
        <v>6</v>
      </c>
      <c r="T21" s="52">
        <f t="shared" si="5"/>
        <v>0</v>
      </c>
      <c r="U21" s="52"/>
      <c r="V21" s="50">
        <f t="shared" si="6"/>
        <v>5</v>
      </c>
      <c r="W21" s="52">
        <f t="shared" si="7"/>
        <v>8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103</v>
      </c>
      <c r="C22" s="34">
        <v>130.0</v>
      </c>
      <c r="D22" s="34">
        <v>9.0</v>
      </c>
      <c r="E22" s="35">
        <f t="shared" si="2"/>
        <v>12</v>
      </c>
      <c r="F22" s="95">
        <v>1.0</v>
      </c>
      <c r="G22" s="96">
        <v>3.0</v>
      </c>
      <c r="H22" s="97">
        <v>0.0</v>
      </c>
      <c r="I22" s="96">
        <v>4.0</v>
      </c>
      <c r="J22" s="96">
        <v>7.0</v>
      </c>
      <c r="K22" s="96">
        <v>5.0</v>
      </c>
      <c r="L22" s="98">
        <v>16.0</v>
      </c>
      <c r="M22" s="96">
        <v>1.0</v>
      </c>
      <c r="N22" s="34">
        <f t="shared" ref="N22:O22" si="27">C22+L22</f>
        <v>146</v>
      </c>
      <c r="O22" s="34">
        <f t="shared" si="27"/>
        <v>10</v>
      </c>
      <c r="P22" s="49" t="s">
        <v>58</v>
      </c>
      <c r="Q22" s="49" t="s">
        <v>58</v>
      </c>
      <c r="R22" s="49"/>
      <c r="S22" s="50">
        <f t="shared" si="4"/>
        <v>9</v>
      </c>
      <c r="T22" s="52">
        <f t="shared" si="5"/>
        <v>1</v>
      </c>
      <c r="U22" s="52"/>
      <c r="V22" s="50">
        <f t="shared" si="6"/>
        <v>1</v>
      </c>
      <c r="W22" s="52">
        <f t="shared" si="7"/>
        <v>10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97</v>
      </c>
      <c r="C23" s="34">
        <v>128.0</v>
      </c>
      <c r="D23" s="34">
        <v>14.0</v>
      </c>
      <c r="E23" s="35">
        <f t="shared" si="2"/>
        <v>12.625</v>
      </c>
      <c r="F23" s="95">
        <v>2.0</v>
      </c>
      <c r="G23" s="96">
        <v>4.0</v>
      </c>
      <c r="H23" s="97">
        <v>0.0</v>
      </c>
      <c r="I23" s="96">
        <v>6.0</v>
      </c>
      <c r="J23" s="96">
        <v>6.0</v>
      </c>
      <c r="K23" s="96">
        <v>6.0</v>
      </c>
      <c r="L23" s="98">
        <v>18.0</v>
      </c>
      <c r="M23" s="96">
        <v>3.0</v>
      </c>
      <c r="N23" s="34">
        <f t="shared" ref="N23:O23" si="28">C23+L23</f>
        <v>146</v>
      </c>
      <c r="O23" s="34">
        <f t="shared" si="28"/>
        <v>17</v>
      </c>
      <c r="P23" s="49" t="s">
        <v>58</v>
      </c>
      <c r="Q23" s="49" t="s">
        <v>58</v>
      </c>
      <c r="R23" s="49"/>
      <c r="S23" s="50">
        <f t="shared" si="4"/>
        <v>8</v>
      </c>
      <c r="T23" s="52">
        <f t="shared" si="5"/>
        <v>0</v>
      </c>
      <c r="U23" s="52"/>
      <c r="V23" s="50">
        <f t="shared" si="6"/>
        <v>3</v>
      </c>
      <c r="W23" s="52">
        <f t="shared" si="7"/>
        <v>-7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133</v>
      </c>
      <c r="C24" s="34">
        <v>127.0</v>
      </c>
      <c r="D24" s="34">
        <v>12.0</v>
      </c>
      <c r="E24" s="35">
        <f t="shared" si="2"/>
        <v>13</v>
      </c>
      <c r="F24" s="95">
        <v>1.0</v>
      </c>
      <c r="G24" s="96">
        <v>4.0</v>
      </c>
      <c r="H24" s="97">
        <v>0.0</v>
      </c>
      <c r="I24" s="96">
        <v>6.0</v>
      </c>
      <c r="J24" s="96">
        <v>3.0</v>
      </c>
      <c r="K24" s="96">
        <v>0.0</v>
      </c>
      <c r="L24" s="98">
        <v>9.0</v>
      </c>
      <c r="M24" s="96">
        <v>1.0</v>
      </c>
      <c r="N24" s="34">
        <f t="shared" ref="N24:O24" si="29">C24+L24</f>
        <v>136</v>
      </c>
      <c r="O24" s="34">
        <f t="shared" si="29"/>
        <v>13</v>
      </c>
      <c r="P24" s="49" t="s">
        <v>58</v>
      </c>
      <c r="Q24" s="49" t="s">
        <v>58</v>
      </c>
      <c r="R24" s="49"/>
      <c r="S24" s="50">
        <f t="shared" si="4"/>
        <v>7</v>
      </c>
      <c r="T24" s="52">
        <f t="shared" si="5"/>
        <v>0</v>
      </c>
      <c r="U24" s="52"/>
      <c r="V24" s="50">
        <f t="shared" si="6"/>
        <v>4</v>
      </c>
      <c r="W24" s="52">
        <f t="shared" si="7"/>
        <v>15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65</v>
      </c>
      <c r="C25" s="34">
        <v>126.0</v>
      </c>
      <c r="D25" s="34">
        <v>13.0</v>
      </c>
      <c r="E25" s="35">
        <f t="shared" si="2"/>
        <v>14.4</v>
      </c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30">C25+L25</f>
        <v>135</v>
      </c>
      <c r="O25" s="34">
        <f t="shared" si="30"/>
        <v>13</v>
      </c>
      <c r="P25" s="49" t="s">
        <v>58</v>
      </c>
      <c r="Q25" s="49" t="s">
        <v>58</v>
      </c>
      <c r="R25" s="49"/>
      <c r="S25" s="50">
        <f t="shared" si="4"/>
        <v>5</v>
      </c>
      <c r="T25" s="52">
        <f t="shared" si="5"/>
        <v>0</v>
      </c>
      <c r="U25" s="52"/>
      <c r="V25" s="50">
        <f t="shared" si="6"/>
        <v>6</v>
      </c>
      <c r="W25" s="52">
        <f t="shared" si="7"/>
        <v>-7</v>
      </c>
      <c r="X25" s="32">
        <f t="shared" si="12"/>
        <v>21</v>
      </c>
      <c r="Y25" s="32" t="str">
        <f t="shared" si="8"/>
        <v>N</v>
      </c>
      <c r="Z25" s="16" t="str">
        <f t="shared" si="9"/>
        <v/>
      </c>
    </row>
    <row r="26">
      <c r="A26" s="32">
        <f t="shared" si="10"/>
        <v>22</v>
      </c>
      <c r="B26" s="33" t="s">
        <v>125</v>
      </c>
      <c r="C26" s="34">
        <v>126.0</v>
      </c>
      <c r="D26" s="34">
        <v>10.0</v>
      </c>
      <c r="E26" s="35">
        <f t="shared" si="2"/>
        <v>12.375</v>
      </c>
      <c r="F26" s="95">
        <v>1.0</v>
      </c>
      <c r="G26" s="96">
        <v>4.0</v>
      </c>
      <c r="H26" s="97">
        <v>0.0</v>
      </c>
      <c r="I26" s="96">
        <v>3.0</v>
      </c>
      <c r="J26" s="96">
        <v>3.0</v>
      </c>
      <c r="K26" s="96">
        <v>6.0</v>
      </c>
      <c r="L26" s="98">
        <v>12.0</v>
      </c>
      <c r="M26" s="96">
        <v>1.0</v>
      </c>
      <c r="N26" s="34">
        <f t="shared" ref="N26:O26" si="31">C26+L26</f>
        <v>138</v>
      </c>
      <c r="O26" s="34">
        <f t="shared" si="31"/>
        <v>11</v>
      </c>
      <c r="P26" s="49" t="s">
        <v>58</v>
      </c>
      <c r="Q26" s="49" t="s">
        <v>58</v>
      </c>
      <c r="R26" s="49"/>
      <c r="S26" s="50">
        <f t="shared" si="4"/>
        <v>8</v>
      </c>
      <c r="T26" s="52">
        <f t="shared" si="5"/>
        <v>0</v>
      </c>
      <c r="U26" s="52"/>
      <c r="V26" s="50">
        <f t="shared" si="6"/>
        <v>3</v>
      </c>
      <c r="W26" s="52">
        <f t="shared" si="7"/>
        <v>-7</v>
      </c>
      <c r="X26" s="32">
        <f t="shared" si="12"/>
        <v>22</v>
      </c>
      <c r="Y26" s="32" t="str">
        <f t="shared" si="8"/>
        <v>N</v>
      </c>
      <c r="Z26" s="16" t="str">
        <f t="shared" si="9"/>
        <v/>
      </c>
    </row>
    <row r="27">
      <c r="A27" s="32">
        <f t="shared" si="10"/>
        <v>23</v>
      </c>
      <c r="B27" s="33" t="s">
        <v>99</v>
      </c>
      <c r="C27" s="34">
        <v>125.0</v>
      </c>
      <c r="D27" s="34">
        <v>11.0</v>
      </c>
      <c r="E27" s="35">
        <f t="shared" si="2"/>
        <v>12.25</v>
      </c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2">C27+L27</f>
        <v>134</v>
      </c>
      <c r="O27" s="34">
        <f t="shared" si="32"/>
        <v>11</v>
      </c>
      <c r="P27" s="49" t="s">
        <v>58</v>
      </c>
      <c r="Q27" s="49" t="s">
        <v>58</v>
      </c>
      <c r="R27" s="49"/>
      <c r="S27" s="50">
        <f t="shared" si="4"/>
        <v>8</v>
      </c>
      <c r="T27" s="52">
        <f t="shared" si="5"/>
        <v>0</v>
      </c>
      <c r="U27" s="52"/>
      <c r="V27" s="50">
        <f t="shared" si="6"/>
        <v>3</v>
      </c>
      <c r="W27" s="52">
        <f t="shared" si="7"/>
        <v>-5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96</v>
      </c>
      <c r="C28" s="34">
        <v>125.0</v>
      </c>
      <c r="D28" s="34">
        <v>9.0</v>
      </c>
      <c r="E28" s="35">
        <f t="shared" si="2"/>
        <v>11.88888889</v>
      </c>
      <c r="F28" s="95">
        <v>1.0</v>
      </c>
      <c r="G28" s="96">
        <v>4.0</v>
      </c>
      <c r="H28" s="97">
        <v>0.0</v>
      </c>
      <c r="I28" s="96">
        <v>3.0</v>
      </c>
      <c r="J28" s="96">
        <v>6.0</v>
      </c>
      <c r="K28" s="96">
        <v>0.0</v>
      </c>
      <c r="L28" s="98">
        <v>9.0</v>
      </c>
      <c r="M28" s="96">
        <v>1.0</v>
      </c>
      <c r="N28" s="34">
        <f t="shared" ref="N28:O28" si="33">C28+L28</f>
        <v>134</v>
      </c>
      <c r="O28" s="34">
        <f t="shared" si="33"/>
        <v>10</v>
      </c>
      <c r="P28" s="49" t="s">
        <v>58</v>
      </c>
      <c r="Q28" s="49" t="s">
        <v>58</v>
      </c>
      <c r="R28" s="49"/>
      <c r="S28" s="50">
        <f t="shared" si="4"/>
        <v>9</v>
      </c>
      <c r="T28" s="52">
        <f t="shared" si="5"/>
        <v>0</v>
      </c>
      <c r="U28" s="52"/>
      <c r="V28" s="50">
        <f t="shared" si="6"/>
        <v>2</v>
      </c>
      <c r="W28" s="52">
        <f t="shared" si="7"/>
        <v>9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49</v>
      </c>
      <c r="C29" s="34">
        <v>124.0</v>
      </c>
      <c r="D29" s="34">
        <v>13.0</v>
      </c>
      <c r="E29" s="35">
        <f t="shared" si="2"/>
        <v>11.5</v>
      </c>
      <c r="F29" s="95">
        <v>1.0</v>
      </c>
      <c r="G29" s="96">
        <v>5.0</v>
      </c>
      <c r="H29" s="97">
        <v>0.0</v>
      </c>
      <c r="I29" s="96">
        <v>6.0</v>
      </c>
      <c r="J29" s="96">
        <v>2.0</v>
      </c>
      <c r="K29" s="96">
        <v>6.0</v>
      </c>
      <c r="L29" s="98">
        <v>14.0</v>
      </c>
      <c r="M29" s="96">
        <v>2.0</v>
      </c>
      <c r="N29" s="34">
        <f t="shared" ref="N29:O29" si="34">C29+L29</f>
        <v>138</v>
      </c>
      <c r="O29" s="34">
        <f t="shared" si="34"/>
        <v>15</v>
      </c>
      <c r="P29" s="49" t="s">
        <v>58</v>
      </c>
      <c r="Q29" s="49" t="s">
        <v>58</v>
      </c>
      <c r="R29" s="49"/>
      <c r="S29" s="50">
        <f t="shared" si="4"/>
        <v>10</v>
      </c>
      <c r="T29" s="52">
        <f t="shared" si="5"/>
        <v>0</v>
      </c>
      <c r="U29" s="52"/>
      <c r="V29" s="50">
        <f t="shared" si="6"/>
        <v>1</v>
      </c>
      <c r="W29" s="52">
        <f t="shared" si="7"/>
        <v>4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111</v>
      </c>
      <c r="C30" s="34">
        <v>124.0</v>
      </c>
      <c r="D30" s="34">
        <v>9.0</v>
      </c>
      <c r="E30" s="35">
        <f t="shared" si="2"/>
        <v>12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133</v>
      </c>
      <c r="O30" s="34">
        <f t="shared" si="35"/>
        <v>9</v>
      </c>
      <c r="P30" s="49" t="s">
        <v>58</v>
      </c>
      <c r="Q30" s="49" t="s">
        <v>58</v>
      </c>
      <c r="R30" s="49"/>
      <c r="S30" s="50">
        <f t="shared" si="4"/>
        <v>7</v>
      </c>
      <c r="T30" s="52">
        <f t="shared" si="5"/>
        <v>1</v>
      </c>
      <c r="U30" s="52"/>
      <c r="V30" s="50">
        <f t="shared" si="6"/>
        <v>3</v>
      </c>
      <c r="W30" s="52">
        <f t="shared" si="7"/>
        <v>-6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50</v>
      </c>
      <c r="C31" s="34">
        <v>122.0</v>
      </c>
      <c r="D31" s="34">
        <v>12.0</v>
      </c>
      <c r="E31" s="35">
        <f t="shared" si="2"/>
        <v>11.09090909</v>
      </c>
      <c r="F31" s="95">
        <v>1.0</v>
      </c>
      <c r="G31" s="96">
        <v>5.0</v>
      </c>
      <c r="H31" s="97">
        <v>0.0</v>
      </c>
      <c r="I31" s="96">
        <v>3.0</v>
      </c>
      <c r="J31" s="96">
        <v>6.0</v>
      </c>
      <c r="K31" s="96">
        <v>6.0</v>
      </c>
      <c r="L31" s="98">
        <v>15.0</v>
      </c>
      <c r="M31" s="96">
        <v>2.0</v>
      </c>
      <c r="N31" s="34">
        <f t="shared" ref="N31:O31" si="36">C31+L31</f>
        <v>137</v>
      </c>
      <c r="O31" s="34">
        <f t="shared" si="36"/>
        <v>14</v>
      </c>
      <c r="P31" s="49" t="s">
        <v>58</v>
      </c>
      <c r="Q31" s="49" t="s">
        <v>58</v>
      </c>
      <c r="R31" s="49"/>
      <c r="S31" s="50">
        <f t="shared" si="4"/>
        <v>11</v>
      </c>
      <c r="T31" s="52">
        <f t="shared" si="5"/>
        <v>0</v>
      </c>
      <c r="U31" s="52"/>
      <c r="V31" s="50">
        <f t="shared" si="6"/>
        <v>0</v>
      </c>
      <c r="W31" s="52">
        <f t="shared" si="7"/>
        <v>-6</v>
      </c>
      <c r="X31" s="32">
        <f t="shared" si="12"/>
        <v>27</v>
      </c>
      <c r="Y31" s="32" t="str">
        <f t="shared" si="8"/>
        <v>Y</v>
      </c>
      <c r="Z31" s="16" t="str">
        <f t="shared" si="9"/>
        <v/>
      </c>
    </row>
    <row r="32">
      <c r="A32" s="32">
        <f t="shared" si="10"/>
        <v>28</v>
      </c>
      <c r="B32" s="33" t="s">
        <v>134</v>
      </c>
      <c r="C32" s="34">
        <v>122.0</v>
      </c>
      <c r="D32" s="34">
        <v>10.0</v>
      </c>
      <c r="E32" s="35">
        <f t="shared" si="2"/>
        <v>14.75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7">C32+L32</f>
        <v>131</v>
      </c>
      <c r="O32" s="34">
        <f t="shared" si="37"/>
        <v>10</v>
      </c>
      <c r="P32" s="49" t="s">
        <v>58</v>
      </c>
      <c r="Q32" s="49" t="s">
        <v>58</v>
      </c>
      <c r="R32" s="49"/>
      <c r="S32" s="50">
        <f t="shared" si="4"/>
        <v>4</v>
      </c>
      <c r="T32" s="52">
        <f t="shared" si="5"/>
        <v>0</v>
      </c>
      <c r="U32" s="52"/>
      <c r="V32" s="50">
        <f t="shared" si="6"/>
        <v>7</v>
      </c>
      <c r="W32" s="52">
        <f t="shared" si="7"/>
        <v>-5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138</v>
      </c>
      <c r="C33" s="34">
        <v>122.0</v>
      </c>
      <c r="D33" s="34">
        <v>10.0</v>
      </c>
      <c r="E33" s="35">
        <f t="shared" si="2"/>
        <v>12.28571429</v>
      </c>
      <c r="F33" s="95">
        <v>3.0</v>
      </c>
      <c r="G33" s="96">
        <v>0.0</v>
      </c>
      <c r="H33" s="97">
        <v>9.0</v>
      </c>
      <c r="I33" s="96">
        <v>0.0</v>
      </c>
      <c r="J33" s="96">
        <v>0.0</v>
      </c>
      <c r="K33" s="96">
        <v>0.0</v>
      </c>
      <c r="L33" s="98">
        <v>9.0</v>
      </c>
      <c r="M33" s="96">
        <v>0.0</v>
      </c>
      <c r="N33" s="34">
        <f t="shared" ref="N33:O33" si="38">C33+L33</f>
        <v>131</v>
      </c>
      <c r="O33" s="34">
        <f t="shared" si="38"/>
        <v>10</v>
      </c>
      <c r="P33" s="49" t="s">
        <v>58</v>
      </c>
      <c r="Q33" s="49" t="s">
        <v>58</v>
      </c>
      <c r="R33" s="49"/>
      <c r="S33" s="50">
        <f t="shared" si="4"/>
        <v>7</v>
      </c>
      <c r="T33" s="52">
        <f t="shared" si="5"/>
        <v>0</v>
      </c>
      <c r="U33" s="52"/>
      <c r="V33" s="50">
        <f t="shared" si="6"/>
        <v>4</v>
      </c>
      <c r="W33" s="52">
        <f t="shared" si="7"/>
        <v>1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132</v>
      </c>
      <c r="C34" s="34">
        <v>121.0</v>
      </c>
      <c r="D34" s="34">
        <v>10.0</v>
      </c>
      <c r="E34" s="35">
        <f t="shared" si="2"/>
        <v>12.66666667</v>
      </c>
      <c r="F34" s="95">
        <v>3.0</v>
      </c>
      <c r="G34" s="96">
        <v>0.0</v>
      </c>
      <c r="H34" s="97">
        <v>9.0</v>
      </c>
      <c r="I34" s="96">
        <v>0.0</v>
      </c>
      <c r="J34" s="96">
        <v>0.0</v>
      </c>
      <c r="K34" s="96">
        <v>0.0</v>
      </c>
      <c r="L34" s="98">
        <v>9.0</v>
      </c>
      <c r="M34" s="96">
        <v>0.0</v>
      </c>
      <c r="N34" s="34">
        <f t="shared" ref="N34:O34" si="39">C34+L34</f>
        <v>130</v>
      </c>
      <c r="O34" s="34">
        <f t="shared" si="39"/>
        <v>10</v>
      </c>
      <c r="P34" s="49" t="s">
        <v>58</v>
      </c>
      <c r="Q34" s="49" t="s">
        <v>58</v>
      </c>
      <c r="R34" s="49"/>
      <c r="S34" s="50">
        <f t="shared" si="4"/>
        <v>6</v>
      </c>
      <c r="T34" s="52">
        <f t="shared" si="5"/>
        <v>0</v>
      </c>
      <c r="U34" s="52"/>
      <c r="V34" s="50">
        <f t="shared" si="6"/>
        <v>5</v>
      </c>
      <c r="W34" s="52">
        <f t="shared" si="7"/>
        <v>-4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66</v>
      </c>
      <c r="C35" s="34">
        <v>121.0</v>
      </c>
      <c r="D35" s="34">
        <v>10.0</v>
      </c>
      <c r="E35" s="35">
        <f t="shared" si="2"/>
        <v>11</v>
      </c>
      <c r="F35" s="95">
        <v>1.0</v>
      </c>
      <c r="G35" s="96">
        <v>5.0</v>
      </c>
      <c r="H35" s="97">
        <v>0.0</v>
      </c>
      <c r="I35" s="96">
        <v>6.0</v>
      </c>
      <c r="J35" s="96">
        <v>6.0</v>
      </c>
      <c r="K35" s="96">
        <v>3.0</v>
      </c>
      <c r="L35" s="98">
        <v>15.0</v>
      </c>
      <c r="M35" s="96">
        <v>2.0</v>
      </c>
      <c r="N35" s="34">
        <f t="shared" ref="N35:O35" si="40">C35+L35</f>
        <v>136</v>
      </c>
      <c r="O35" s="34">
        <f t="shared" si="40"/>
        <v>12</v>
      </c>
      <c r="P35" s="49" t="s">
        <v>58</v>
      </c>
      <c r="Q35" s="49" t="s">
        <v>58</v>
      </c>
      <c r="R35" s="49"/>
      <c r="S35" s="50">
        <f t="shared" si="4"/>
        <v>11</v>
      </c>
      <c r="T35" s="52">
        <f t="shared" si="5"/>
        <v>0</v>
      </c>
      <c r="U35" s="52"/>
      <c r="V35" s="50">
        <f t="shared" si="6"/>
        <v>0</v>
      </c>
      <c r="W35" s="52">
        <f t="shared" si="7"/>
        <v>0</v>
      </c>
      <c r="X35" s="32">
        <f t="shared" si="12"/>
        <v>31</v>
      </c>
      <c r="Y35" s="32" t="str">
        <f t="shared" si="8"/>
        <v>Y</v>
      </c>
      <c r="Z35" s="16" t="str">
        <f t="shared" si="9"/>
        <v/>
      </c>
    </row>
    <row r="36">
      <c r="A36" s="32">
        <f t="shared" si="10"/>
        <v>32</v>
      </c>
      <c r="B36" s="33" t="s">
        <v>114</v>
      </c>
      <c r="C36" s="34">
        <v>121.0</v>
      </c>
      <c r="D36" s="34">
        <v>7.0</v>
      </c>
      <c r="E36" s="35">
        <f t="shared" si="2"/>
        <v>11</v>
      </c>
      <c r="F36" s="95">
        <v>1.0</v>
      </c>
      <c r="G36" s="96">
        <v>5.0</v>
      </c>
      <c r="H36" s="97">
        <v>0.0</v>
      </c>
      <c r="I36" s="96">
        <v>3.0</v>
      </c>
      <c r="J36" s="96">
        <v>2.0</v>
      </c>
      <c r="K36" s="96">
        <v>3.0</v>
      </c>
      <c r="L36" s="98">
        <v>8.0</v>
      </c>
      <c r="M36" s="96">
        <v>0.0</v>
      </c>
      <c r="N36" s="34">
        <f t="shared" ref="N36:O36" si="41">C36+L36</f>
        <v>129</v>
      </c>
      <c r="O36" s="34">
        <f t="shared" si="41"/>
        <v>7</v>
      </c>
      <c r="P36" s="49" t="s">
        <v>58</v>
      </c>
      <c r="Q36" s="49" t="s">
        <v>58</v>
      </c>
      <c r="R36" s="49"/>
      <c r="S36" s="50">
        <f t="shared" si="4"/>
        <v>9</v>
      </c>
      <c r="T36" s="52">
        <f t="shared" si="5"/>
        <v>1</v>
      </c>
      <c r="U36" s="52"/>
      <c r="V36" s="50">
        <f t="shared" si="6"/>
        <v>1</v>
      </c>
      <c r="W36" s="52">
        <f t="shared" si="7"/>
        <v>-8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60</v>
      </c>
      <c r="C37" s="34">
        <v>119.0</v>
      </c>
      <c r="D37" s="34">
        <v>13.0</v>
      </c>
      <c r="E37" s="35">
        <f t="shared" si="2"/>
        <v>11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2">C37+L37</f>
        <v>128</v>
      </c>
      <c r="O37" s="34">
        <f t="shared" si="42"/>
        <v>13</v>
      </c>
      <c r="P37" s="49" t="s">
        <v>58</v>
      </c>
      <c r="Q37" s="49" t="s">
        <v>58</v>
      </c>
      <c r="R37" s="49"/>
      <c r="S37" s="50">
        <f t="shared" si="4"/>
        <v>10</v>
      </c>
      <c r="T37" s="52">
        <f t="shared" si="5"/>
        <v>0</v>
      </c>
      <c r="U37" s="52"/>
      <c r="V37" s="50">
        <f t="shared" si="6"/>
        <v>1</v>
      </c>
      <c r="W37" s="52">
        <f t="shared" si="7"/>
        <v>-11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137</v>
      </c>
      <c r="C38" s="34">
        <v>117.0</v>
      </c>
      <c r="D38" s="34">
        <v>8.0</v>
      </c>
      <c r="E38" s="35">
        <f t="shared" si="2"/>
        <v>11.57142857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3">C38+L38</f>
        <v>126</v>
      </c>
      <c r="O38" s="34">
        <f t="shared" si="43"/>
        <v>8</v>
      </c>
      <c r="P38" s="49" t="s">
        <v>58</v>
      </c>
      <c r="Q38" s="49" t="s">
        <v>58</v>
      </c>
      <c r="R38" s="49"/>
      <c r="S38" s="50">
        <f t="shared" si="4"/>
        <v>7</v>
      </c>
      <c r="T38" s="52">
        <f t="shared" si="5"/>
        <v>0</v>
      </c>
      <c r="U38" s="52"/>
      <c r="V38" s="50">
        <f t="shared" si="6"/>
        <v>4</v>
      </c>
      <c r="W38" s="52">
        <f t="shared" si="7"/>
        <v>-2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108</v>
      </c>
      <c r="C39" s="34">
        <v>117.0</v>
      </c>
      <c r="D39" s="34">
        <v>7.0</v>
      </c>
      <c r="E39" s="35">
        <f t="shared" si="2"/>
        <v>11</v>
      </c>
      <c r="F39" s="95">
        <v>1.0</v>
      </c>
      <c r="G39" s="96">
        <v>6.0</v>
      </c>
      <c r="H39" s="97">
        <v>0.0</v>
      </c>
      <c r="I39" s="96">
        <v>6.0</v>
      </c>
      <c r="J39" s="96">
        <v>2.0</v>
      </c>
      <c r="K39" s="96">
        <v>1.0</v>
      </c>
      <c r="L39" s="98">
        <v>9.0</v>
      </c>
      <c r="M39" s="96">
        <v>0.0</v>
      </c>
      <c r="N39" s="34">
        <f t="shared" ref="N39:O39" si="44">C39+L39</f>
        <v>126</v>
      </c>
      <c r="O39" s="34">
        <f t="shared" si="44"/>
        <v>7</v>
      </c>
      <c r="P39" s="49" t="s">
        <v>58</v>
      </c>
      <c r="Q39" s="49" t="s">
        <v>58</v>
      </c>
      <c r="R39" s="49"/>
      <c r="S39" s="50">
        <f t="shared" si="4"/>
        <v>9</v>
      </c>
      <c r="T39" s="52">
        <f t="shared" si="5"/>
        <v>0</v>
      </c>
      <c r="U39" s="52"/>
      <c r="V39" s="50">
        <f t="shared" si="6"/>
        <v>2</v>
      </c>
      <c r="W39" s="52">
        <f t="shared" si="7"/>
        <v>-1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136</v>
      </c>
      <c r="C40" s="34">
        <v>115.0</v>
      </c>
      <c r="D40" s="34">
        <v>9.0</v>
      </c>
      <c r="E40" s="35">
        <f t="shared" si="2"/>
        <v>10.45454545</v>
      </c>
      <c r="F40" s="95">
        <v>2.0</v>
      </c>
      <c r="G40" s="96">
        <v>6.0</v>
      </c>
      <c r="H40" s="97">
        <v>0.0</v>
      </c>
      <c r="I40" s="96">
        <v>7.0</v>
      </c>
      <c r="J40" s="96">
        <v>6.0</v>
      </c>
      <c r="K40" s="96">
        <v>1.0</v>
      </c>
      <c r="L40" s="98">
        <v>14.0</v>
      </c>
      <c r="M40" s="96">
        <v>2.0</v>
      </c>
      <c r="N40" s="34">
        <f t="shared" ref="N40:O40" si="45">C40+L40</f>
        <v>129</v>
      </c>
      <c r="O40" s="34">
        <f t="shared" si="45"/>
        <v>11</v>
      </c>
      <c r="P40" s="49" t="s">
        <v>58</v>
      </c>
      <c r="Q40" s="49" t="s">
        <v>58</v>
      </c>
      <c r="R40" s="49"/>
      <c r="S40" s="50">
        <f t="shared" si="4"/>
        <v>11</v>
      </c>
      <c r="T40" s="52">
        <f t="shared" si="5"/>
        <v>0</v>
      </c>
      <c r="U40" s="52"/>
      <c r="V40" s="50">
        <f t="shared" si="6"/>
        <v>0</v>
      </c>
      <c r="W40" s="52">
        <f t="shared" si="7"/>
        <v>2</v>
      </c>
      <c r="X40" s="32">
        <f t="shared" si="12"/>
        <v>36</v>
      </c>
      <c r="Y40" s="32" t="str">
        <f t="shared" si="8"/>
        <v>Y</v>
      </c>
      <c r="Z40" s="16" t="str">
        <f t="shared" si="9"/>
        <v/>
      </c>
    </row>
    <row r="41">
      <c r="A41" s="32">
        <f t="shared" si="10"/>
        <v>37</v>
      </c>
      <c r="B41" s="33" t="s">
        <v>47</v>
      </c>
      <c r="C41" s="34">
        <v>115.0</v>
      </c>
      <c r="D41" s="34">
        <v>8.0</v>
      </c>
      <c r="E41" s="35">
        <f t="shared" si="2"/>
        <v>14.33333333</v>
      </c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6">C41+L41</f>
        <v>124</v>
      </c>
      <c r="O41" s="34">
        <f t="shared" si="46"/>
        <v>8</v>
      </c>
      <c r="P41" s="49" t="s">
        <v>58</v>
      </c>
      <c r="Q41" s="49" t="s">
        <v>58</v>
      </c>
      <c r="R41" s="49"/>
      <c r="S41" s="50">
        <f t="shared" si="4"/>
        <v>3</v>
      </c>
      <c r="T41" s="52">
        <f t="shared" si="5"/>
        <v>0</v>
      </c>
      <c r="U41" s="52"/>
      <c r="V41" s="50">
        <f t="shared" si="6"/>
        <v>8</v>
      </c>
      <c r="W41" s="52">
        <f t="shared" si="7"/>
        <v>-1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100</v>
      </c>
      <c r="C42" s="34">
        <v>115.0</v>
      </c>
      <c r="D42" s="34">
        <v>8.0</v>
      </c>
      <c r="E42" s="35">
        <f t="shared" si="2"/>
        <v>12.2</v>
      </c>
      <c r="F42" s="95">
        <v>1.0</v>
      </c>
      <c r="G42" s="96">
        <v>6.0</v>
      </c>
      <c r="H42" s="97">
        <v>0.0</v>
      </c>
      <c r="I42" s="96">
        <v>6.0</v>
      </c>
      <c r="J42" s="96">
        <v>6.0</v>
      </c>
      <c r="K42" s="96">
        <v>6.0</v>
      </c>
      <c r="L42" s="98">
        <v>18.0</v>
      </c>
      <c r="M42" s="96">
        <v>2.0</v>
      </c>
      <c r="N42" s="34">
        <f t="shared" ref="N42:O42" si="47">C42+L42</f>
        <v>133</v>
      </c>
      <c r="O42" s="34">
        <f t="shared" si="47"/>
        <v>10</v>
      </c>
      <c r="P42" s="49" t="s">
        <v>58</v>
      </c>
      <c r="Q42" s="49" t="s">
        <v>58</v>
      </c>
      <c r="R42" s="49"/>
      <c r="S42" s="50">
        <f t="shared" si="4"/>
        <v>5</v>
      </c>
      <c r="T42" s="52">
        <f t="shared" si="5"/>
        <v>0</v>
      </c>
      <c r="U42" s="52"/>
      <c r="V42" s="50">
        <f t="shared" si="6"/>
        <v>6</v>
      </c>
      <c r="W42" s="52">
        <f t="shared" si="7"/>
        <v>-1</v>
      </c>
      <c r="X42" s="32">
        <f t="shared" si="12"/>
        <v>38</v>
      </c>
      <c r="Y42" s="32" t="str">
        <f t="shared" si="8"/>
        <v>N</v>
      </c>
      <c r="Z42" s="16" t="str">
        <f t="shared" si="9"/>
        <v/>
      </c>
    </row>
    <row r="43">
      <c r="A43" s="32">
        <f t="shared" si="10"/>
        <v>39</v>
      </c>
      <c r="B43" s="33" t="s">
        <v>93</v>
      </c>
      <c r="C43" s="34">
        <v>114.0</v>
      </c>
      <c r="D43" s="34">
        <v>7.0</v>
      </c>
      <c r="E43" s="35">
        <f t="shared" si="2"/>
        <v>14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123</v>
      </c>
      <c r="O43" s="34">
        <f t="shared" si="48"/>
        <v>7</v>
      </c>
      <c r="P43" s="49" t="s">
        <v>58</v>
      </c>
      <c r="Q43" s="49" t="s">
        <v>58</v>
      </c>
      <c r="R43" s="49"/>
      <c r="S43" s="50">
        <f t="shared" si="4"/>
        <v>3</v>
      </c>
      <c r="T43" s="52">
        <f t="shared" si="5"/>
        <v>0</v>
      </c>
      <c r="U43" s="52"/>
      <c r="V43" s="50">
        <f t="shared" si="6"/>
        <v>8</v>
      </c>
      <c r="W43" s="52">
        <f t="shared" si="7"/>
        <v>8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72</v>
      </c>
      <c r="C44" s="34">
        <v>110.0</v>
      </c>
      <c r="D44" s="34">
        <v>7.0</v>
      </c>
      <c r="E44" s="35">
        <f t="shared" si="2"/>
        <v>10.16666667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119</v>
      </c>
      <c r="O44" s="34">
        <f t="shared" si="49"/>
        <v>7</v>
      </c>
      <c r="P44" s="49" t="s">
        <v>58</v>
      </c>
      <c r="Q44" s="49" t="s">
        <v>58</v>
      </c>
      <c r="R44" s="49"/>
      <c r="S44" s="50">
        <f t="shared" si="4"/>
        <v>6</v>
      </c>
      <c r="T44" s="52">
        <f t="shared" si="5"/>
        <v>1</v>
      </c>
      <c r="U44" s="52"/>
      <c r="V44" s="50">
        <f t="shared" si="6"/>
        <v>4</v>
      </c>
      <c r="W44" s="52">
        <f t="shared" si="7"/>
        <v>-1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122</v>
      </c>
      <c r="C45" s="34">
        <v>110.0</v>
      </c>
      <c r="D45" s="34">
        <v>6.0</v>
      </c>
      <c r="E45" s="35">
        <f t="shared" si="2"/>
        <v>11.2</v>
      </c>
      <c r="F45" s="95">
        <v>1.0</v>
      </c>
      <c r="G45" s="96">
        <v>6.0</v>
      </c>
      <c r="H45" s="97">
        <v>0.0</v>
      </c>
      <c r="I45" s="96">
        <v>7.0</v>
      </c>
      <c r="J45" s="96">
        <v>2.0</v>
      </c>
      <c r="K45" s="96">
        <v>6.0</v>
      </c>
      <c r="L45" s="98">
        <v>15.0</v>
      </c>
      <c r="M45" s="96">
        <v>2.0</v>
      </c>
      <c r="N45" s="34">
        <f t="shared" ref="N45:O45" si="50">C45+L45</f>
        <v>125</v>
      </c>
      <c r="O45" s="34">
        <f t="shared" si="50"/>
        <v>8</v>
      </c>
      <c r="P45" s="49" t="s">
        <v>58</v>
      </c>
      <c r="Q45" s="49" t="s">
        <v>58</v>
      </c>
      <c r="R45" s="49"/>
      <c r="S45" s="50">
        <f t="shared" si="4"/>
        <v>5</v>
      </c>
      <c r="T45" s="52">
        <f t="shared" si="5"/>
        <v>0</v>
      </c>
      <c r="U45" s="52"/>
      <c r="V45" s="50">
        <f t="shared" si="6"/>
        <v>6</v>
      </c>
      <c r="W45" s="52">
        <f t="shared" si="7"/>
        <v>-1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54</v>
      </c>
      <c r="C46" s="34">
        <v>108.0</v>
      </c>
      <c r="D46" s="34">
        <v>12.0</v>
      </c>
      <c r="E46" s="35">
        <f t="shared" si="2"/>
        <v>10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1">C46+L46</f>
        <v>117</v>
      </c>
      <c r="O46" s="34">
        <f t="shared" si="51"/>
        <v>12</v>
      </c>
      <c r="P46" s="49" t="s">
        <v>58</v>
      </c>
      <c r="Q46" s="49" t="s">
        <v>58</v>
      </c>
      <c r="R46" s="49"/>
      <c r="S46" s="50">
        <f t="shared" si="4"/>
        <v>9</v>
      </c>
      <c r="T46" s="52">
        <f t="shared" si="5"/>
        <v>0</v>
      </c>
      <c r="U46" s="52"/>
      <c r="V46" s="50">
        <f t="shared" si="6"/>
        <v>2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143</v>
      </c>
      <c r="C47" s="34">
        <v>108.0</v>
      </c>
      <c r="D47" s="34">
        <v>5.0</v>
      </c>
      <c r="E47" s="35">
        <f t="shared" si="2"/>
        <v>12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117</v>
      </c>
      <c r="O47" s="34">
        <f t="shared" si="52"/>
        <v>5</v>
      </c>
      <c r="P47" s="49" t="s">
        <v>58</v>
      </c>
      <c r="Q47" s="49" t="s">
        <v>58</v>
      </c>
      <c r="R47" s="49"/>
      <c r="S47" s="50">
        <f t="shared" si="4"/>
        <v>3</v>
      </c>
      <c r="T47" s="52">
        <f t="shared" si="5"/>
        <v>0</v>
      </c>
      <c r="U47" s="52"/>
      <c r="V47" s="50">
        <f t="shared" si="6"/>
        <v>8</v>
      </c>
      <c r="W47" s="52">
        <f t="shared" si="7"/>
        <v>0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129</v>
      </c>
      <c r="C48" s="34">
        <v>106.0</v>
      </c>
      <c r="D48" s="34">
        <v>9.0</v>
      </c>
      <c r="E48" s="35">
        <f t="shared" si="2"/>
        <v>9.777777778</v>
      </c>
      <c r="F48" s="95">
        <v>1.0</v>
      </c>
      <c r="G48" s="96">
        <v>7.0</v>
      </c>
      <c r="H48" s="97">
        <v>0.0</v>
      </c>
      <c r="I48" s="96">
        <v>6.0</v>
      </c>
      <c r="J48" s="96">
        <v>0.0</v>
      </c>
      <c r="K48" s="96">
        <v>6.0</v>
      </c>
      <c r="L48" s="98">
        <v>12.0</v>
      </c>
      <c r="M48" s="96">
        <v>2.0</v>
      </c>
      <c r="N48" s="34">
        <f t="shared" ref="N48:O48" si="53">C48+L48</f>
        <v>118</v>
      </c>
      <c r="O48" s="34">
        <f t="shared" si="53"/>
        <v>11</v>
      </c>
      <c r="P48" s="49" t="s">
        <v>58</v>
      </c>
      <c r="Q48" s="49" t="s">
        <v>58</v>
      </c>
      <c r="R48" s="49"/>
      <c r="S48" s="50">
        <f t="shared" si="4"/>
        <v>9</v>
      </c>
      <c r="T48" s="52">
        <f t="shared" si="5"/>
        <v>0</v>
      </c>
      <c r="U48" s="52"/>
      <c r="V48" s="50">
        <f t="shared" si="6"/>
        <v>2</v>
      </c>
      <c r="W48" s="52">
        <f t="shared" si="7"/>
        <v>-2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135</v>
      </c>
      <c r="C49" s="34">
        <v>106.0</v>
      </c>
      <c r="D49" s="34">
        <v>8.0</v>
      </c>
      <c r="E49" s="35">
        <f t="shared" si="2"/>
        <v>10.16666667</v>
      </c>
      <c r="F49" s="95">
        <v>1.0</v>
      </c>
      <c r="G49" s="96">
        <v>7.0</v>
      </c>
      <c r="H49" s="97">
        <v>0.0</v>
      </c>
      <c r="I49" s="96">
        <v>4.0</v>
      </c>
      <c r="J49" s="96">
        <v>6.0</v>
      </c>
      <c r="K49" s="96">
        <v>6.0</v>
      </c>
      <c r="L49" s="98">
        <v>16.0</v>
      </c>
      <c r="M49" s="96">
        <v>2.0</v>
      </c>
      <c r="N49" s="34">
        <f t="shared" ref="N49:O49" si="54">C49+L49</f>
        <v>122</v>
      </c>
      <c r="O49" s="34">
        <f t="shared" si="54"/>
        <v>10</v>
      </c>
      <c r="P49" s="49" t="s">
        <v>58</v>
      </c>
      <c r="Q49" s="49" t="s">
        <v>58</v>
      </c>
      <c r="R49" s="49"/>
      <c r="S49" s="50">
        <f t="shared" si="4"/>
        <v>6</v>
      </c>
      <c r="T49" s="52">
        <f t="shared" si="5"/>
        <v>0</v>
      </c>
      <c r="U49" s="52"/>
      <c r="V49" s="50">
        <f t="shared" si="6"/>
        <v>5</v>
      </c>
      <c r="W49" s="52">
        <f t="shared" si="7"/>
        <v>1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105</v>
      </c>
      <c r="C50" s="34">
        <v>106.0</v>
      </c>
      <c r="D50" s="34">
        <v>6.0</v>
      </c>
      <c r="E50" s="35">
        <f t="shared" si="2"/>
        <v>11.33333333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5">C50+L50</f>
        <v>115</v>
      </c>
      <c r="O50" s="34">
        <f t="shared" si="55"/>
        <v>6</v>
      </c>
      <c r="P50" s="49" t="s">
        <v>58</v>
      </c>
      <c r="Q50" s="49" t="s">
        <v>58</v>
      </c>
      <c r="R50" s="49"/>
      <c r="S50" s="50">
        <f t="shared" si="4"/>
        <v>3</v>
      </c>
      <c r="T50" s="52">
        <f t="shared" si="5"/>
        <v>0</v>
      </c>
      <c r="U50" s="52"/>
      <c r="V50" s="50">
        <f t="shared" si="6"/>
        <v>8</v>
      </c>
      <c r="W50" s="52">
        <f t="shared" si="7"/>
        <v>-2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145</v>
      </c>
      <c r="C51" s="34">
        <v>105.0</v>
      </c>
      <c r="D51" s="34">
        <v>9.0</v>
      </c>
      <c r="E51" s="35">
        <f t="shared" si="2"/>
        <v>9.75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6">C51+L51</f>
        <v>114</v>
      </c>
      <c r="O51" s="34">
        <f t="shared" si="56"/>
        <v>9</v>
      </c>
      <c r="P51" s="49" t="s">
        <v>58</v>
      </c>
      <c r="Q51" s="49" t="s">
        <v>58</v>
      </c>
      <c r="R51" s="49"/>
      <c r="S51" s="50">
        <f t="shared" si="4"/>
        <v>8</v>
      </c>
      <c r="T51" s="52">
        <f t="shared" si="5"/>
        <v>0</v>
      </c>
      <c r="U51" s="52"/>
      <c r="V51" s="50">
        <f t="shared" si="6"/>
        <v>3</v>
      </c>
      <c r="W51" s="52">
        <f t="shared" si="7"/>
        <v>-2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144</v>
      </c>
      <c r="C52" s="34">
        <v>105.0</v>
      </c>
      <c r="D52" s="34">
        <v>6.0</v>
      </c>
      <c r="E52" s="35">
        <f t="shared" si="2"/>
        <v>9.4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7">C52+L52</f>
        <v>114</v>
      </c>
      <c r="O52" s="34">
        <f t="shared" si="57"/>
        <v>6</v>
      </c>
      <c r="P52" s="49" t="s">
        <v>58</v>
      </c>
      <c r="Q52" s="49" t="s">
        <v>58</v>
      </c>
      <c r="R52" s="49"/>
      <c r="S52" s="50">
        <f t="shared" si="4"/>
        <v>5</v>
      </c>
      <c r="T52" s="52">
        <f t="shared" si="5"/>
        <v>1</v>
      </c>
      <c r="U52" s="52"/>
      <c r="V52" s="50">
        <f t="shared" si="6"/>
        <v>5</v>
      </c>
      <c r="W52" s="52">
        <f t="shared" si="7"/>
        <v>1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139</v>
      </c>
      <c r="C53" s="34">
        <v>104.0</v>
      </c>
      <c r="D53" s="34">
        <v>7.0</v>
      </c>
      <c r="E53" s="35">
        <f t="shared" si="2"/>
        <v>9.714285714</v>
      </c>
      <c r="F53" s="95">
        <v>1.0</v>
      </c>
      <c r="G53" s="96">
        <v>7.0</v>
      </c>
      <c r="H53" s="97">
        <v>0.0</v>
      </c>
      <c r="I53" s="96">
        <v>4.0</v>
      </c>
      <c r="J53" s="96">
        <v>0.0</v>
      </c>
      <c r="K53" s="96">
        <v>2.0</v>
      </c>
      <c r="L53" s="98">
        <v>6.0</v>
      </c>
      <c r="M53" s="96">
        <v>0.0</v>
      </c>
      <c r="N53" s="34">
        <f t="shared" ref="N53:O53" si="58">C53+L53</f>
        <v>110</v>
      </c>
      <c r="O53" s="34">
        <f t="shared" si="58"/>
        <v>7</v>
      </c>
      <c r="P53" s="49" t="s">
        <v>58</v>
      </c>
      <c r="Q53" s="49" t="s">
        <v>58</v>
      </c>
      <c r="R53" s="49"/>
      <c r="S53" s="50">
        <f t="shared" si="4"/>
        <v>7</v>
      </c>
      <c r="T53" s="52">
        <f t="shared" si="5"/>
        <v>0</v>
      </c>
      <c r="U53" s="52"/>
      <c r="V53" s="50">
        <f t="shared" si="6"/>
        <v>4</v>
      </c>
      <c r="W53" s="52">
        <f t="shared" si="7"/>
        <v>-1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142</v>
      </c>
      <c r="C54" s="34">
        <v>100.0</v>
      </c>
      <c r="D54" s="34">
        <v>7.0</v>
      </c>
      <c r="E54" s="35">
        <f t="shared" si="2"/>
        <v>9.125</v>
      </c>
      <c r="F54" s="95">
        <v>1.0</v>
      </c>
      <c r="G54" s="96">
        <v>7.0</v>
      </c>
      <c r="H54" s="97">
        <v>0.0</v>
      </c>
      <c r="I54" s="96">
        <v>6.0</v>
      </c>
      <c r="J54" s="96">
        <v>6.0</v>
      </c>
      <c r="K54" s="96">
        <v>2.0</v>
      </c>
      <c r="L54" s="98">
        <v>14.0</v>
      </c>
      <c r="M54" s="96">
        <v>2.0</v>
      </c>
      <c r="N54" s="34">
        <f t="shared" ref="N54:O54" si="59">C54+L54</f>
        <v>114</v>
      </c>
      <c r="O54" s="34">
        <f t="shared" si="59"/>
        <v>9</v>
      </c>
      <c r="P54" s="49" t="s">
        <v>58</v>
      </c>
      <c r="Q54" s="49" t="s">
        <v>58</v>
      </c>
      <c r="R54" s="49"/>
      <c r="S54" s="50">
        <f t="shared" si="4"/>
        <v>8</v>
      </c>
      <c r="T54" s="52">
        <f t="shared" si="5"/>
        <v>0</v>
      </c>
      <c r="U54" s="52"/>
      <c r="V54" s="50">
        <f t="shared" si="6"/>
        <v>3</v>
      </c>
      <c r="W54" s="52">
        <f t="shared" si="7"/>
        <v>0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121</v>
      </c>
      <c r="C55" s="34">
        <v>99.0</v>
      </c>
      <c r="D55" s="34">
        <v>3.0</v>
      </c>
      <c r="E55" s="35">
        <f t="shared" si="2"/>
        <v>9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108</v>
      </c>
      <c r="O55" s="34">
        <f t="shared" si="60"/>
        <v>3</v>
      </c>
      <c r="P55" s="49" t="s">
        <v>58</v>
      </c>
      <c r="Q55" s="49" t="s">
        <v>58</v>
      </c>
      <c r="R55" s="49"/>
      <c r="S55" s="50">
        <f t="shared" si="4"/>
        <v>1</v>
      </c>
      <c r="T55" s="52">
        <f t="shared" si="5"/>
        <v>0</v>
      </c>
      <c r="U55" s="52"/>
      <c r="V55" s="50">
        <f t="shared" si="6"/>
        <v>10</v>
      </c>
      <c r="W55" s="52">
        <f t="shared" si="7"/>
        <v>0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69</v>
      </c>
      <c r="C56" s="34">
        <v>99.0</v>
      </c>
      <c r="D56" s="34">
        <v>3.0</v>
      </c>
      <c r="E56" s="35">
        <f t="shared" si="2"/>
        <v>9</v>
      </c>
      <c r="F56" s="95">
        <v>1.0</v>
      </c>
      <c r="G56" s="96">
        <v>8.0</v>
      </c>
      <c r="H56" s="97">
        <v>0.0</v>
      </c>
      <c r="I56" s="96">
        <v>6.0</v>
      </c>
      <c r="J56" s="96">
        <v>1.0</v>
      </c>
      <c r="K56" s="96">
        <v>6.0</v>
      </c>
      <c r="L56" s="98">
        <v>13.0</v>
      </c>
      <c r="M56" s="96">
        <v>2.0</v>
      </c>
      <c r="N56" s="34">
        <f t="shared" ref="N56:O56" si="61">C56+L56</f>
        <v>112</v>
      </c>
      <c r="O56" s="34">
        <f t="shared" si="61"/>
        <v>5</v>
      </c>
      <c r="P56" s="49" t="s">
        <v>58</v>
      </c>
      <c r="Q56" s="49" t="s">
        <v>58</v>
      </c>
      <c r="R56" s="49"/>
      <c r="S56" s="50">
        <f t="shared" si="4"/>
        <v>2</v>
      </c>
      <c r="T56" s="52">
        <f t="shared" si="5"/>
        <v>0</v>
      </c>
      <c r="U56" s="52"/>
      <c r="V56" s="50">
        <f t="shared" si="6"/>
        <v>9</v>
      </c>
      <c r="W56" s="52">
        <f t="shared" si="7"/>
        <v>7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148</v>
      </c>
      <c r="C57" s="34">
        <v>98.0</v>
      </c>
      <c r="D57" s="34">
        <v>1.0</v>
      </c>
      <c r="E57" s="35">
        <f t="shared" si="2"/>
        <v>7.75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107</v>
      </c>
      <c r="O57" s="34">
        <f t="shared" si="62"/>
        <v>1</v>
      </c>
      <c r="P57" s="49" t="s">
        <v>58</v>
      </c>
      <c r="Q57" s="49" t="s">
        <v>58</v>
      </c>
      <c r="R57" s="49"/>
      <c r="S57" s="50">
        <f t="shared" si="4"/>
        <v>4</v>
      </c>
      <c r="T57" s="52">
        <f t="shared" si="5"/>
        <v>1</v>
      </c>
      <c r="U57" s="52"/>
      <c r="V57" s="50">
        <f t="shared" si="6"/>
        <v>6</v>
      </c>
      <c r="W57" s="52">
        <f t="shared" si="7"/>
        <v>-1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95</v>
      </c>
      <c r="C58" s="34">
        <v>94.0</v>
      </c>
      <c r="D58" s="34">
        <v>1.0</v>
      </c>
      <c r="E58" s="35">
        <f t="shared" si="2"/>
        <v>0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103</v>
      </c>
      <c r="O58" s="34">
        <f t="shared" si="63"/>
        <v>1</v>
      </c>
      <c r="P58" s="49" t="s">
        <v>58</v>
      </c>
      <c r="Q58" s="49" t="s">
        <v>58</v>
      </c>
      <c r="R58" s="49"/>
      <c r="S58" s="50">
        <f t="shared" si="4"/>
        <v>1</v>
      </c>
      <c r="T58" s="52">
        <f t="shared" si="5"/>
        <v>1</v>
      </c>
      <c r="U58" s="52"/>
      <c r="V58" s="50">
        <f t="shared" si="6"/>
        <v>9</v>
      </c>
      <c r="W58" s="52">
        <f t="shared" si="7"/>
        <v>-1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75</v>
      </c>
      <c r="C59" s="34">
        <v>94.0</v>
      </c>
      <c r="D59" s="34">
        <v>1.0</v>
      </c>
      <c r="E59" s="35">
        <f t="shared" si="2"/>
        <v>6.5</v>
      </c>
      <c r="F59" s="95">
        <v>1.0</v>
      </c>
      <c r="G59" s="96">
        <v>8.0</v>
      </c>
      <c r="H59" s="97">
        <v>0.0</v>
      </c>
      <c r="I59" s="96">
        <v>6.0</v>
      </c>
      <c r="J59" s="96">
        <v>6.0</v>
      </c>
      <c r="K59" s="96">
        <v>3.0</v>
      </c>
      <c r="L59" s="98">
        <v>15.0</v>
      </c>
      <c r="M59" s="96">
        <v>2.0</v>
      </c>
      <c r="N59" s="34">
        <f t="shared" ref="N59:O59" si="64">C59+L59</f>
        <v>109</v>
      </c>
      <c r="O59" s="34">
        <f t="shared" si="64"/>
        <v>3</v>
      </c>
      <c r="P59" s="49" t="s">
        <v>58</v>
      </c>
      <c r="Q59" s="49" t="s">
        <v>58</v>
      </c>
      <c r="R59" s="49"/>
      <c r="S59" s="50">
        <f t="shared" si="4"/>
        <v>2</v>
      </c>
      <c r="T59" s="52">
        <f t="shared" si="5"/>
        <v>0</v>
      </c>
      <c r="U59" s="52"/>
      <c r="V59" s="50">
        <f t="shared" si="6"/>
        <v>9</v>
      </c>
      <c r="W59" s="52">
        <f t="shared" si="7"/>
        <v>3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147</v>
      </c>
      <c r="C60" s="34">
        <v>92.0</v>
      </c>
      <c r="D60" s="34">
        <v>2.0</v>
      </c>
      <c r="E60" s="35">
        <f t="shared" si="2"/>
        <v>5.5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101</v>
      </c>
      <c r="O60" s="34">
        <f t="shared" si="65"/>
        <v>2</v>
      </c>
      <c r="P60" s="49" t="s">
        <v>58</v>
      </c>
      <c r="Q60" s="49" t="s">
        <v>58</v>
      </c>
      <c r="R60" s="49"/>
      <c r="S60" s="50">
        <f t="shared" si="4"/>
        <v>2</v>
      </c>
      <c r="T60" s="52">
        <f t="shared" si="5"/>
        <v>0</v>
      </c>
      <c r="U60" s="52"/>
      <c r="V60" s="50">
        <f t="shared" si="6"/>
        <v>9</v>
      </c>
      <c r="W60" s="52">
        <f t="shared" si="7"/>
        <v>-2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101</v>
      </c>
      <c r="C61" s="34">
        <v>91.0</v>
      </c>
      <c r="D61" s="34">
        <v>3.0</v>
      </c>
      <c r="E61" s="35">
        <f t="shared" si="2"/>
        <v>7.4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100</v>
      </c>
      <c r="O61" s="34">
        <f t="shared" si="66"/>
        <v>3</v>
      </c>
      <c r="P61" s="49" t="s">
        <v>58</v>
      </c>
      <c r="Q61" s="49" t="s">
        <v>58</v>
      </c>
      <c r="R61" s="49"/>
      <c r="S61" s="50">
        <f t="shared" si="4"/>
        <v>5</v>
      </c>
      <c r="T61" s="52">
        <f t="shared" si="5"/>
        <v>0</v>
      </c>
      <c r="U61" s="52"/>
      <c r="V61" s="50">
        <f t="shared" si="6"/>
        <v>6</v>
      </c>
      <c r="W61" s="52">
        <f t="shared" si="7"/>
        <v>-2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130</v>
      </c>
      <c r="C62" s="34">
        <v>90.0</v>
      </c>
      <c r="D62" s="34">
        <v>0.0</v>
      </c>
      <c r="E62" s="35">
        <f t="shared" si="2"/>
        <v>0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7">C62+L62</f>
        <v>99</v>
      </c>
      <c r="O62" s="34">
        <f t="shared" si="67"/>
        <v>0</v>
      </c>
      <c r="P62" s="49" t="s">
        <v>58</v>
      </c>
      <c r="Q62" s="49" t="s">
        <v>58</v>
      </c>
      <c r="R62" s="49"/>
      <c r="S62" s="50">
        <f t="shared" si="4"/>
        <v>0</v>
      </c>
      <c r="T62" s="52">
        <f t="shared" si="5"/>
        <v>0</v>
      </c>
      <c r="U62" s="52"/>
      <c r="V62" s="50">
        <f t="shared" si="6"/>
        <v>11</v>
      </c>
      <c r="W62" s="52">
        <f t="shared" si="7"/>
        <v>-2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140</v>
      </c>
      <c r="C63" s="34">
        <v>90.0</v>
      </c>
      <c r="D63" s="34">
        <v>0.0</v>
      </c>
      <c r="E63" s="35">
        <f t="shared" si="2"/>
        <v>0</v>
      </c>
      <c r="F63" s="95">
        <v>1.0</v>
      </c>
      <c r="G63" s="96">
        <v>8.0</v>
      </c>
      <c r="H63" s="97">
        <v>0.0</v>
      </c>
      <c r="I63" s="96">
        <v>1.0</v>
      </c>
      <c r="J63" s="96">
        <v>6.0</v>
      </c>
      <c r="K63" s="96">
        <v>6.0</v>
      </c>
      <c r="L63" s="98">
        <v>13.0</v>
      </c>
      <c r="M63" s="96">
        <v>2.0</v>
      </c>
      <c r="N63" s="34">
        <f t="shared" ref="N63:O63" si="68">C63+L63</f>
        <v>103</v>
      </c>
      <c r="O63" s="34">
        <f t="shared" si="68"/>
        <v>2</v>
      </c>
      <c r="P63" s="49" t="s">
        <v>58</v>
      </c>
      <c r="Q63" s="49" t="s">
        <v>58</v>
      </c>
      <c r="R63" s="49"/>
      <c r="S63" s="50">
        <f t="shared" si="4"/>
        <v>1</v>
      </c>
      <c r="T63" s="52">
        <f t="shared" si="5"/>
        <v>0</v>
      </c>
      <c r="U63" s="52"/>
      <c r="V63" s="50">
        <f t="shared" si="6"/>
        <v>10</v>
      </c>
      <c r="W63" s="52">
        <f t="shared" si="7"/>
        <v>-2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104</v>
      </c>
      <c r="C64" s="34">
        <v>90.0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99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11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131</v>
      </c>
      <c r="C65" s="34">
        <v>90.0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99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11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141</v>
      </c>
      <c r="C66" s="34">
        <v>88.0</v>
      </c>
      <c r="D66" s="34">
        <v>1.0</v>
      </c>
      <c r="E66" s="35">
        <f t="shared" si="2"/>
        <v>-2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97</v>
      </c>
      <c r="O66" s="34">
        <f t="shared" si="71"/>
        <v>1</v>
      </c>
      <c r="P66" s="49" t="s">
        <v>58</v>
      </c>
      <c r="Q66" s="49" t="s">
        <v>58</v>
      </c>
      <c r="R66" s="49"/>
      <c r="S66" s="50">
        <f t="shared" si="4"/>
        <v>1</v>
      </c>
      <c r="T66" s="52">
        <f t="shared" si="5"/>
        <v>0</v>
      </c>
      <c r="U66" s="52"/>
      <c r="V66" s="50">
        <f t="shared" si="6"/>
        <v>10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118</v>
      </c>
      <c r="C67" s="34">
        <v>88.0</v>
      </c>
      <c r="D67" s="34">
        <v>1.0</v>
      </c>
      <c r="E67" s="35">
        <f t="shared" si="2"/>
        <v>3.5</v>
      </c>
      <c r="F67" s="95">
        <v>1.0</v>
      </c>
      <c r="G67" s="96">
        <v>8.0</v>
      </c>
      <c r="H67" s="97">
        <v>0.0</v>
      </c>
      <c r="I67" s="96">
        <v>1.0</v>
      </c>
      <c r="J67" s="96">
        <v>1.0</v>
      </c>
      <c r="K67" s="96">
        <v>3.0</v>
      </c>
      <c r="L67" s="98">
        <v>5.0</v>
      </c>
      <c r="M67" s="96">
        <v>0.0</v>
      </c>
      <c r="N67" s="34">
        <f t="shared" ref="N67:O67" si="72">C67+L67</f>
        <v>93</v>
      </c>
      <c r="O67" s="34">
        <f t="shared" si="72"/>
        <v>1</v>
      </c>
      <c r="P67" s="49" t="s">
        <v>58</v>
      </c>
      <c r="Q67" s="49" t="s">
        <v>58</v>
      </c>
      <c r="R67" s="49"/>
      <c r="S67" s="50">
        <f t="shared" si="4"/>
        <v>2</v>
      </c>
      <c r="T67" s="52">
        <f t="shared" si="5"/>
        <v>0</v>
      </c>
      <c r="U67" s="52"/>
      <c r="V67" s="50">
        <f t="shared" si="6"/>
        <v>9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146</v>
      </c>
      <c r="C68" s="34">
        <v>87.0</v>
      </c>
      <c r="D68" s="34">
        <v>2.0</v>
      </c>
      <c r="E68" s="35">
        <f t="shared" si="2"/>
        <v>3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96</v>
      </c>
      <c r="O68" s="34">
        <f t="shared" si="73"/>
        <v>2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9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82.0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91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8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09/06/25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desc"",0)"),"Pavan Akkimsetty")</f>
        <v>Pavan Akkimsetty</v>
      </c>
      <c r="C81" s="117">
        <f>IFERROR(__xludf.DUMMYFUNCTION("""COMPUTED_VALUE"""),20.0)</f>
        <v>20</v>
      </c>
      <c r="D81" s="117">
        <f>IFERROR(__xludf.DUMMYFUNCTION("""COMPUTED_VALUE"""),3.0)</f>
        <v>3</v>
      </c>
      <c r="E81" s="117">
        <f>IFERROR(__xludf.DUMMYFUNCTION("""COMPUTED_VALUE"""),6.0)</f>
        <v>6</v>
      </c>
      <c r="F81" s="1"/>
    </row>
    <row r="82">
      <c r="A82" s="1"/>
      <c r="B82" s="33" t="str">
        <f>IFERROR(__xludf.DUMMYFUNCTION("""COMPUTED_VALUE"""),"Tina Hanson")</f>
        <v>Tina Hanson</v>
      </c>
      <c r="C82" s="117">
        <f>IFERROR(__xludf.DUMMYFUNCTION("""COMPUTED_VALUE"""),20.0)</f>
        <v>20</v>
      </c>
      <c r="D82" s="117">
        <f>IFERROR(__xludf.DUMMYFUNCTION("""COMPUTED_VALUE"""),3.0)</f>
        <v>3</v>
      </c>
      <c r="E82" s="117">
        <f>IFERROR(__xludf.DUMMYFUNCTION("""COMPUTED_VALUE"""),7.0)</f>
        <v>7</v>
      </c>
      <c r="F82" s="1"/>
    </row>
    <row r="83">
      <c r="A83" s="1"/>
      <c r="B83" s="33" t="str">
        <f>IFERROR(__xludf.DUMMYFUNCTION("""COMPUTED_VALUE"""),"Ethan Gu")</f>
        <v>Ethan Gu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IFERROR(__xludf.DUMMYFUNCTION("""COMPUTED_VALUE"""),3.0)</f>
        <v>3</v>
      </c>
      <c r="F83" s="1"/>
    </row>
    <row r="84">
      <c r="A84" s="1"/>
      <c r="B84" s="33" t="str">
        <f>IFERROR(__xludf.DUMMYFUNCTION("""COMPUTED_VALUE"""),"Adrian Tay")</f>
        <v>Adrian Tay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IFERROR(__xludf.DUMMYFUNCTION("""COMPUTED_VALUE"""),5.0)</f>
        <v>5</v>
      </c>
      <c r="F84" s="1"/>
    </row>
    <row r="85">
      <c r="A85" s="1"/>
      <c r="B85" s="33" t="str">
        <f>IFERROR(__xludf.DUMMYFUNCTION("""COMPUTED_VALUE"""),"Cid Macaraeg")</f>
        <v>Cid Macaraeg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IFERROR(__xludf.DUMMYFUNCTION("""COMPUTED_VALUE"""),8.0)</f>
        <v>8</v>
      </c>
      <c r="F85" s="1"/>
    </row>
    <row r="86">
      <c r="A86" s="1"/>
      <c r="B86" s="33" t="str">
        <f>IFERROR(__xludf.DUMMYFUNCTION("""COMPUTED_VALUE"""),"Susanta Mishra")</f>
        <v>Susanta Mishra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IFERROR(__xludf.DUMMYFUNCTION("""COMPUTED_VALUE"""),8.0)</f>
        <v>8</v>
      </c>
      <c r="F86" s="1"/>
    </row>
    <row r="87">
      <c r="A87" s="1"/>
      <c r="B87" s="33" t="str">
        <f>IFERROR(__xludf.DUMMYFUNCTION("""COMPUTED_VALUE"""),"Pulkit Mathur")</f>
        <v>Pulkit Mathur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IFERROR(__xludf.DUMMYFUNCTION("""COMPUTED_VALUE"""),1.0)</f>
        <v>1</v>
      </c>
      <c r="F87" s="1"/>
    </row>
    <row r="88">
      <c r="A88" s="1"/>
      <c r="B88" s="33" t="str">
        <f>IFERROR(__xludf.DUMMYFUNCTION("""COMPUTED_VALUE"""),"Joe Luzzi")</f>
        <v>Joe Luzzi</v>
      </c>
      <c r="C88" s="117">
        <f>IFERROR(__xludf.DUMMYFUNCTION("""COMPUTED_VALUE"""),18.0)</f>
        <v>18</v>
      </c>
      <c r="D88" s="117">
        <f>IFERROR(__xludf.DUMMYFUNCTION("""COMPUTED_VALUE"""),1.0)</f>
        <v>1</v>
      </c>
      <c r="E88" s="117">
        <f>IFERROR(__xludf.DUMMYFUNCTION("""COMPUTED_VALUE"""),6.0)</f>
        <v>6</v>
      </c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10"")"),"Pavan Akkimsetty")</f>
        <v>Pavan Akkimsetty</v>
      </c>
      <c r="C100" s="117">
        <f>IFERROR(__xludf.DUMMYFUNCTION("""COMPUTED_VALUE"""),17.0)</f>
        <v>17</v>
      </c>
      <c r="D100" s="117">
        <f t="shared" ref="D100:D109" si="75">VLOOKUP(B100,indirect($AC$2&amp;"!B$5:X$69"),23, false)</f>
        <v>27</v>
      </c>
      <c r="E100" s="117">
        <f t="shared" ref="E100:E109" si="76">VLOOKUP(B100,B$5:X$69,23, false)</f>
        <v>10</v>
      </c>
      <c r="F100" s="117">
        <f t="shared" ref="F100:F109" si="77">VLOOKUP(B100,indirect($AC$2&amp;"!B$5:U$70"),11, false)</f>
        <v>20</v>
      </c>
      <c r="G100" s="117">
        <f t="shared" ref="G100:G109" si="78">VLOOKUP(B100,indirect($AC$2&amp;"!B$5:U$70"),6, false)</f>
        <v>6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IFERROR(__xludf.DUMMYFUNCTION("""COMPUTED_VALUE"""),"Tina Hanson")</f>
        <v>Tina Hanson</v>
      </c>
      <c r="C101" s="117">
        <f>IFERROR(__xludf.DUMMYFUNCTION("""COMPUTED_VALUE"""),15.0)</f>
        <v>15</v>
      </c>
      <c r="D101" s="117">
        <f t="shared" si="75"/>
        <v>35</v>
      </c>
      <c r="E101" s="117">
        <f t="shared" si="76"/>
        <v>20</v>
      </c>
      <c r="F101" s="117">
        <f t="shared" si="77"/>
        <v>20</v>
      </c>
      <c r="G101" s="117">
        <f t="shared" si="78"/>
        <v>7</v>
      </c>
      <c r="L101" s="117" t="str">
        <f t="shared" si="79"/>
        <v>ok</v>
      </c>
    </row>
    <row r="102">
      <c r="A102" s="1"/>
      <c r="B102" s="33" t="str">
        <f>IFERROR(__xludf.DUMMYFUNCTION("""COMPUTED_VALUE"""),"Joe Luzzi")</f>
        <v>Joe Luzzi</v>
      </c>
      <c r="C102" s="117">
        <f>IFERROR(__xludf.DUMMYFUNCTION("""COMPUTED_VALUE"""),10.0)</f>
        <v>10</v>
      </c>
      <c r="D102" s="117">
        <f t="shared" si="75"/>
        <v>28</v>
      </c>
      <c r="E102" s="117">
        <f t="shared" si="76"/>
        <v>18</v>
      </c>
      <c r="F102" s="117">
        <f t="shared" si="77"/>
        <v>18</v>
      </c>
      <c r="G102" s="117">
        <f t="shared" si="78"/>
        <v>6</v>
      </c>
      <c r="L102" s="117" t="str">
        <f t="shared" si="79"/>
        <v>ok</v>
      </c>
    </row>
    <row r="103">
      <c r="A103" s="1"/>
      <c r="B103" s="33" t="str">
        <f>IFERROR(__xludf.DUMMYFUNCTION("""COMPUTED_VALUE"""),"Coco Yan")</f>
        <v>Coco Yan</v>
      </c>
      <c r="C103" s="117">
        <f>IFERROR(__xludf.DUMMYFUNCTION("""COMPUTED_VALUE"""),9.0)</f>
        <v>9</v>
      </c>
      <c r="D103" s="117">
        <f t="shared" si="75"/>
        <v>33</v>
      </c>
      <c r="E103" s="117">
        <f t="shared" si="76"/>
        <v>24</v>
      </c>
      <c r="F103" s="117">
        <f t="shared" si="77"/>
        <v>17</v>
      </c>
      <c r="G103" s="117">
        <f t="shared" si="78"/>
        <v>7</v>
      </c>
      <c r="L103" s="117" t="str">
        <f t="shared" si="79"/>
        <v>ok</v>
      </c>
    </row>
    <row r="104">
      <c r="A104" s="1"/>
      <c r="B104" s="33" t="str">
        <f>IFERROR(__xludf.DUMMYFUNCTION("""COMPUTED_VALUE"""),"Adrian Tay")</f>
        <v>Adrian Tay</v>
      </c>
      <c r="C104" s="117">
        <f>IFERROR(__xludf.DUMMYFUNCTION("""COMPUTED_VALUE"""),8.0)</f>
        <v>8</v>
      </c>
      <c r="D104" s="117">
        <f t="shared" si="75"/>
        <v>25</v>
      </c>
      <c r="E104" s="117">
        <f t="shared" si="76"/>
        <v>17</v>
      </c>
      <c r="F104" s="117">
        <f t="shared" si="77"/>
        <v>18</v>
      </c>
      <c r="G104" s="117">
        <f t="shared" si="78"/>
        <v>5</v>
      </c>
      <c r="L104" s="117" t="str">
        <f t="shared" si="79"/>
        <v>ok</v>
      </c>
    </row>
    <row r="105">
      <c r="A105" s="1"/>
      <c r="B105" s="33" t="str">
        <f>IFERROR(__xludf.DUMMYFUNCTION("""COMPUTED_VALUE"""),"Cid Macaraeg")</f>
        <v>Cid Macaraeg</v>
      </c>
      <c r="C105" s="117">
        <f>IFERROR(__xludf.DUMMYFUNCTION("""COMPUTED_VALUE"""),8.0)</f>
        <v>8</v>
      </c>
      <c r="D105" s="117">
        <f t="shared" si="75"/>
        <v>47</v>
      </c>
      <c r="E105" s="117">
        <f t="shared" si="76"/>
        <v>39</v>
      </c>
      <c r="F105" s="117">
        <f t="shared" si="77"/>
        <v>18</v>
      </c>
      <c r="G105" s="117">
        <f t="shared" si="78"/>
        <v>8</v>
      </c>
      <c r="L105" s="117" t="str">
        <f t="shared" si="79"/>
        <v>ok</v>
      </c>
    </row>
    <row r="106">
      <c r="A106" s="1"/>
      <c r="B106" s="33" t="str">
        <f>IFERROR(__xludf.DUMMYFUNCTION("""COMPUTED_VALUE"""),"Susanta Mishra")</f>
        <v>Susanta Mishra</v>
      </c>
      <c r="C106" s="117">
        <f>IFERROR(__xludf.DUMMYFUNCTION("""COMPUTED_VALUE"""),7.0)</f>
        <v>7</v>
      </c>
      <c r="D106" s="117">
        <f t="shared" si="75"/>
        <v>59</v>
      </c>
      <c r="E106" s="117">
        <f t="shared" si="76"/>
        <v>52</v>
      </c>
      <c r="F106" s="117">
        <f t="shared" si="77"/>
        <v>18</v>
      </c>
      <c r="G106" s="117">
        <f t="shared" si="78"/>
        <v>8</v>
      </c>
      <c r="L106" s="117" t="str">
        <f t="shared" si="79"/>
        <v>ok</v>
      </c>
    </row>
    <row r="107">
      <c r="A107" s="1"/>
      <c r="B107" s="33" t="str">
        <f>IFERROR(__xludf.DUMMYFUNCTION("""COMPUTED_VALUE"""),"Sandeep Kamalon")</f>
        <v>Sandeep Kamalon</v>
      </c>
      <c r="C107" s="117">
        <f>IFERROR(__xludf.DUMMYFUNCTION("""COMPUTED_VALUE"""),4.0)</f>
        <v>4</v>
      </c>
      <c r="D107" s="117">
        <f t="shared" si="75"/>
        <v>16</v>
      </c>
      <c r="E107" s="117">
        <f t="shared" si="76"/>
        <v>12</v>
      </c>
      <c r="F107" s="117">
        <f t="shared" si="77"/>
        <v>15</v>
      </c>
      <c r="G107" s="117">
        <f t="shared" si="78"/>
        <v>4</v>
      </c>
      <c r="L107" s="117" t="str">
        <f t="shared" si="79"/>
        <v>ok</v>
      </c>
    </row>
    <row r="108">
      <c r="A108" s="1"/>
      <c r="B108" s="33" t="str">
        <f>IFERROR(__xludf.DUMMYFUNCTION("""COMPUTED_VALUE"""),"Jimmy Awolesi")</f>
        <v>Jimmy Awolesi</v>
      </c>
      <c r="C108" s="117">
        <f>IFERROR(__xludf.DUMMYFUNCTION("""COMPUTED_VALUE"""),4.0)</f>
        <v>4</v>
      </c>
      <c r="D108" s="117">
        <f t="shared" si="75"/>
        <v>29</v>
      </c>
      <c r="E108" s="117">
        <f t="shared" si="76"/>
        <v>25</v>
      </c>
      <c r="F108" s="117">
        <f t="shared" si="77"/>
        <v>14</v>
      </c>
      <c r="G108" s="117">
        <f t="shared" si="78"/>
        <v>6</v>
      </c>
      <c r="L108" s="117" t="str">
        <f t="shared" si="79"/>
        <v>ok</v>
      </c>
    </row>
    <row r="109">
      <c r="A109" s="1"/>
      <c r="B109" s="33" t="str">
        <f>IFERROR(__xludf.DUMMYFUNCTION("""COMPUTED_VALUE"""),"Ethan Gu")</f>
        <v>Ethan Gu</v>
      </c>
      <c r="C109" s="117">
        <f>IFERROR(__xludf.DUMMYFUNCTION("""COMPUTED_VALUE"""),3.0)</f>
        <v>3</v>
      </c>
      <c r="D109" s="117">
        <f t="shared" si="75"/>
        <v>10</v>
      </c>
      <c r="E109" s="117">
        <f t="shared" si="76"/>
        <v>7</v>
      </c>
      <c r="F109" s="117">
        <f t="shared" si="77"/>
        <v>18</v>
      </c>
      <c r="G109" s="117">
        <f t="shared" si="78"/>
        <v>3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11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Pulkit Mathur</v>
      </c>
      <c r="C118" s="117">
        <f t="shared" si="80"/>
        <v>148</v>
      </c>
      <c r="D118" s="117">
        <f t="shared" si="80"/>
        <v>17</v>
      </c>
      <c r="E118" s="117">
        <f t="shared" si="80"/>
        <v>14.44444444</v>
      </c>
      <c r="F118" s="1"/>
    </row>
    <row r="119">
      <c r="A119" s="117">
        <f t="shared" ref="A119:E119" si="81">A6</f>
        <v>2</v>
      </c>
      <c r="B119" s="33" t="str">
        <f t="shared" si="81"/>
        <v>Darren Wong</v>
      </c>
      <c r="C119" s="117">
        <f t="shared" si="81"/>
        <v>142</v>
      </c>
      <c r="D119" s="117">
        <f t="shared" si="81"/>
        <v>17</v>
      </c>
      <c r="E119" s="117">
        <f t="shared" si="81"/>
        <v>15.14285714</v>
      </c>
      <c r="F119" s="1"/>
    </row>
    <row r="120">
      <c r="A120" s="117">
        <f t="shared" ref="A120:E120" si="82">A7</f>
        <v>3</v>
      </c>
      <c r="B120" s="33" t="str">
        <f t="shared" si="82"/>
        <v>Lam Bui</v>
      </c>
      <c r="C120" s="117">
        <f t="shared" si="82"/>
        <v>142</v>
      </c>
      <c r="D120" s="117">
        <f t="shared" si="82"/>
        <v>14</v>
      </c>
      <c r="E120" s="117">
        <f t="shared" si="82"/>
        <v>13.77777778</v>
      </c>
      <c r="F120" s="1"/>
    </row>
    <row r="121">
      <c r="A121" s="117">
        <f t="shared" ref="A121:E121" si="83">A8</f>
        <v>4</v>
      </c>
      <c r="B121" s="33" t="str">
        <f t="shared" si="83"/>
        <v>Tom Le</v>
      </c>
      <c r="C121" s="117">
        <f t="shared" si="83"/>
        <v>141</v>
      </c>
      <c r="D121" s="117">
        <f t="shared" si="83"/>
        <v>16</v>
      </c>
      <c r="E121" s="117">
        <f t="shared" si="83"/>
        <v>14.25</v>
      </c>
      <c r="F121" s="1"/>
    </row>
    <row r="122">
      <c r="A122" s="117">
        <f t="shared" ref="A122:E122" si="84">A9</f>
        <v>5</v>
      </c>
      <c r="B122" s="33" t="str">
        <f t="shared" si="84"/>
        <v>Erik Hoeckmann</v>
      </c>
      <c r="C122" s="117">
        <f t="shared" si="84"/>
        <v>139</v>
      </c>
      <c r="D122" s="117">
        <f t="shared" si="84"/>
        <v>14</v>
      </c>
      <c r="E122" s="117">
        <f t="shared" si="84"/>
        <v>14</v>
      </c>
      <c r="F122" s="1"/>
    </row>
    <row r="123">
      <c r="A123" s="117">
        <f t="shared" ref="A123:E123" si="85">A10</f>
        <v>6</v>
      </c>
      <c r="B123" s="33" t="str">
        <f t="shared" si="85"/>
        <v>Jonathan Phan</v>
      </c>
      <c r="C123" s="117">
        <f t="shared" si="85"/>
        <v>139</v>
      </c>
      <c r="D123" s="117">
        <f t="shared" si="85"/>
        <v>14</v>
      </c>
      <c r="E123" s="117">
        <f t="shared" si="85"/>
        <v>13.44444444</v>
      </c>
      <c r="F123" s="1"/>
    </row>
    <row r="124">
      <c r="A124" s="117">
        <f t="shared" ref="A124:E124" si="86">A11</f>
        <v>7</v>
      </c>
      <c r="B124" s="33" t="str">
        <f t="shared" si="86"/>
        <v>Ethan Gu</v>
      </c>
      <c r="C124" s="117">
        <f t="shared" si="86"/>
        <v>138</v>
      </c>
      <c r="D124" s="117">
        <f t="shared" si="86"/>
        <v>18</v>
      </c>
      <c r="E124" s="117">
        <f t="shared" si="86"/>
        <v>12.9</v>
      </c>
      <c r="F124" s="1"/>
    </row>
    <row r="125">
      <c r="A125" s="117">
        <f t="shared" ref="A125:E125" si="87">A12</f>
        <v>8</v>
      </c>
      <c r="B125" s="33" t="str">
        <f t="shared" si="87"/>
        <v>Eric Pan</v>
      </c>
      <c r="C125" s="117">
        <f t="shared" si="87"/>
        <v>138</v>
      </c>
      <c r="D125" s="117">
        <f t="shared" si="87"/>
        <v>14</v>
      </c>
      <c r="E125" s="117">
        <f t="shared" si="87"/>
        <v>14.57142857</v>
      </c>
      <c r="F125" s="1"/>
    </row>
    <row r="126">
      <c r="A126" s="117">
        <f t="shared" ref="A126:E126" si="88">A13</f>
        <v>9</v>
      </c>
      <c r="B126" s="33" t="str">
        <f t="shared" si="88"/>
        <v>David Shin</v>
      </c>
      <c r="C126" s="117">
        <f t="shared" si="88"/>
        <v>133</v>
      </c>
      <c r="D126" s="117">
        <f t="shared" si="88"/>
        <v>12</v>
      </c>
      <c r="E126" s="117">
        <f t="shared" si="88"/>
        <v>12.4</v>
      </c>
      <c r="F126" s="1"/>
    </row>
    <row r="127">
      <c r="A127" s="117">
        <f t="shared" ref="A127:E127" si="89">A14</f>
        <v>10</v>
      </c>
      <c r="B127" s="33" t="str">
        <f t="shared" si="89"/>
        <v>Pavan Akkimsetty</v>
      </c>
      <c r="C127" s="117">
        <f t="shared" si="89"/>
        <v>132</v>
      </c>
      <c r="D127" s="117">
        <f t="shared" si="89"/>
        <v>12</v>
      </c>
      <c r="E127" s="117">
        <f t="shared" si="89"/>
        <v>13.71428571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Data!F91</f>
        <v>Adrian Tay</v>
      </c>
      <c r="C134" s="117">
        <f>Data!G91</f>
        <v>12</v>
      </c>
      <c r="D134" s="1"/>
      <c r="E134" s="1"/>
      <c r="F134" s="1"/>
    </row>
    <row r="135">
      <c r="A135" s="1"/>
      <c r="B135" s="33" t="str">
        <f>Data!F92</f>
        <v>Darren Wong</v>
      </c>
      <c r="C135" s="117">
        <f>Data!G92</f>
        <v>4</v>
      </c>
      <c r="D135" s="1"/>
      <c r="E135" s="1"/>
      <c r="F135" s="1"/>
    </row>
    <row r="136">
      <c r="A136" s="1"/>
      <c r="B136" s="33" t="str">
        <f>Data!F93</f>
        <v>Eric Pan</v>
      </c>
      <c r="C136" s="117">
        <f>Data!G93</f>
        <v>1</v>
      </c>
      <c r="D136" s="1"/>
      <c r="E136" s="1"/>
      <c r="F136" s="1"/>
    </row>
    <row r="137">
      <c r="A137" s="1"/>
      <c r="B137" s="33" t="str">
        <f>Data!F94</f>
        <v>Frank Moon</v>
      </c>
      <c r="C137" s="117">
        <f>Data!G94</f>
        <v>1</v>
      </c>
      <c r="D137" s="1"/>
      <c r="E137" s="1"/>
      <c r="F137" s="1"/>
    </row>
    <row r="138">
      <c r="A138" s="1"/>
      <c r="B138" s="33" t="str">
        <f>Data!F95</f>
        <v>Lam Bui</v>
      </c>
      <c r="C138" s="117">
        <f>Data!G95</f>
        <v>1</v>
      </c>
      <c r="D138" s="1"/>
      <c r="E138" s="1"/>
      <c r="F138" s="1"/>
    </row>
    <row r="139">
      <c r="A139" s="1"/>
      <c r="B139" s="33" t="str">
        <f>Data!F96</f>
        <v>Pulkit Mathur</v>
      </c>
      <c r="C139" s="117">
        <f>Data!G96</f>
        <v>4</v>
      </c>
      <c r="D139" s="1"/>
      <c r="E139" s="1"/>
      <c r="F139" s="1"/>
    </row>
    <row r="140">
      <c r="A140" s="1"/>
      <c r="B140" s="33" t="str">
        <f>Data!F97</f>
        <v>Robert Chang</v>
      </c>
      <c r="C140" s="117">
        <f>Data!G97</f>
        <v>1</v>
      </c>
      <c r="D140" s="1"/>
      <c r="E140" s="1"/>
      <c r="F140" s="1"/>
    </row>
    <row r="141">
      <c r="A141" s="1"/>
      <c r="B141" s="33" t="str">
        <f>Data!F98</f>
        <v/>
      </c>
      <c r="C141" s="117" t="str">
        <f>Data!G98</f>
        <v/>
      </c>
      <c r="D141" s="1"/>
      <c r="E141" s="1"/>
      <c r="F141" s="1"/>
    </row>
    <row r="142">
      <c r="A142" s="1"/>
      <c r="B142" s="33" t="str">
        <f>Data!F99</f>
        <v/>
      </c>
      <c r="C142" s="117" t="str">
        <f>Data!G99</f>
        <v/>
      </c>
      <c r="D142" s="1"/>
      <c r="E142" s="1"/>
      <c r="F142" s="1"/>
    </row>
    <row r="143">
      <c r="A143" s="1"/>
      <c r="B143" s="33" t="str">
        <f>Data!F100</f>
        <v/>
      </c>
      <c r="C143" s="117" t="str">
        <f>Data!G100</f>
        <v/>
      </c>
      <c r="D143" s="1"/>
      <c r="E143" s="1"/>
      <c r="F143" s="1"/>
    </row>
    <row r="144">
      <c r="A144" s="1"/>
      <c r="B144" s="33" t="str">
        <f>Data!F101</f>
        <v/>
      </c>
      <c r="C144" s="117" t="str">
        <f>Data!G101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ASC"")"),"Allen Zhang")</f>
        <v>Allen Zhang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IFERROR(__xludf.DUMMYFUNCTION("""COMPUTED_VALUE"""),"Chinna Ponnaganti")</f>
        <v>Chinna Ponnaganti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IFERROR(__xludf.DUMMYFUNCTION("""COMPUTED_VALUE"""),"Frank Moon")</f>
        <v>Frank Moon</v>
      </c>
      <c r="C155" s="1"/>
      <c r="D155" s="1"/>
      <c r="E155" s="1"/>
      <c r="F155" s="1"/>
    </row>
    <row r="156">
      <c r="A156" s="117">
        <f t="shared" si="90"/>
        <v>4</v>
      </c>
      <c r="B156" s="33" t="str">
        <f>IFERROR(__xludf.DUMMYFUNCTION("""COMPUTED_VALUE"""),"Nicole Ni")</f>
        <v>Nicole Ni</v>
      </c>
      <c r="C156" s="1"/>
      <c r="D156" s="1"/>
      <c r="E156" s="1"/>
      <c r="F156" s="1"/>
    </row>
    <row r="157">
      <c r="A157" s="117">
        <f t="shared" si="90"/>
        <v>0</v>
      </c>
      <c r="B157" s="33"/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09/06/25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IFERROR(__xludf.DUMMYFUNCTION("""COMPUTED_VALUE"""),"Pulkit Mathur")</f>
        <v>Pulkit Mathur</v>
      </c>
      <c r="C184" s="122">
        <f>IFERROR(__xludf.DUMMYFUNCTION("""COMPUTED_VALUE"""),6.0)</f>
        <v>6</v>
      </c>
      <c r="D184" s="122">
        <f>IFERROR(__xludf.DUMMYFUNCTION("""COMPUTED_VALUE"""),6.0)</f>
        <v>6</v>
      </c>
      <c r="E184" s="122">
        <f>IFERROR(__xludf.DUMMYFUNCTION("""COMPUTED_VALUE"""),6.0)</f>
        <v>6</v>
      </c>
      <c r="F184" s="122">
        <f>IFERROR(__xludf.DUMMYFUNCTION("""COMPUTED_VALUE"""),18.0)</f>
        <v>18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IFERROR(__xludf.DUMMYFUNCTION("""COMPUTED_VALUE"""),"Lam Bui")</f>
        <v>Lam Bui</v>
      </c>
      <c r="C185" s="122">
        <f>IFERROR(__xludf.DUMMYFUNCTION("""COMPUTED_VALUE"""),6.0)</f>
        <v>6</v>
      </c>
      <c r="D185" s="122">
        <f>IFERROR(__xludf.DUMMYFUNCTION("""COMPUTED_VALUE"""),3.0)</f>
        <v>3</v>
      </c>
      <c r="E185" s="122">
        <f>IFERROR(__xludf.DUMMYFUNCTION("""COMPUTED_VALUE"""),3.0)</f>
        <v>3</v>
      </c>
      <c r="F185" s="122">
        <f>IFERROR(__xludf.DUMMYFUNCTION("""COMPUTED_VALUE"""),12.0)</f>
        <v>12</v>
      </c>
      <c r="G185" s="122">
        <f>IFERROR(__xludf.DUMMYFUNCTION("""COMPUTED_VALUE"""),0.0)</f>
        <v>0</v>
      </c>
    </row>
    <row r="186">
      <c r="A186" s="117">
        <f>IFERROR(__xludf.DUMMYFUNCTION("""COMPUTED_VALUE"""),1.0)</f>
        <v>1</v>
      </c>
      <c r="B186" s="33" t="str">
        <f>IFERROR(__xludf.DUMMYFUNCTION("""COMPUTED_VALUE"""),"Darren Wong")</f>
        <v>Darren Wong</v>
      </c>
      <c r="C186" s="122">
        <f>IFERROR(__xludf.DUMMYFUNCTION("""COMPUTED_VALUE"""),7.0)</f>
        <v>7</v>
      </c>
      <c r="D186" s="122">
        <f>IFERROR(__xludf.DUMMYFUNCTION("""COMPUTED_VALUE"""),3.0)</f>
        <v>3</v>
      </c>
      <c r="E186" s="122">
        <f>IFERROR(__xludf.DUMMYFUNCTION("""COMPUTED_VALUE"""),6.0)</f>
        <v>6</v>
      </c>
      <c r="F186" s="122">
        <f>IFERROR(__xludf.DUMMYFUNCTION("""COMPUTED_VALUE"""),16.0)</f>
        <v>16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IFERROR(__xludf.DUMMYFUNCTION("""COMPUTED_VALUE"""),"Tom Le")</f>
        <v>Tom Le</v>
      </c>
      <c r="C187" s="122">
        <f>IFERROR(__xludf.DUMMYFUNCTION("""COMPUTED_VALUE"""),7.0)</f>
        <v>7</v>
      </c>
      <c r="D187" s="122">
        <f>IFERROR(__xludf.DUMMYFUNCTION("""COMPUTED_VALUE"""),6.0)</f>
        <v>6</v>
      </c>
      <c r="E187" s="122">
        <f>IFERROR(__xludf.DUMMYFUNCTION("""COMPUTED_VALUE"""),3.0)</f>
        <v>3</v>
      </c>
      <c r="F187" s="122">
        <f>IFERROR(__xludf.DUMMYFUNCTION("""COMPUTED_VALUE"""),16.0)</f>
        <v>16</v>
      </c>
      <c r="G187" s="122">
        <f>IFERROR(__xludf.DUMMYFUNCTION("""COMPUTED_VALUE"""),2.0)</f>
        <v>2</v>
      </c>
    </row>
    <row r="188">
      <c r="A188" s="123">
        <f>IFERROR(__xludf.DUMMYFUNCTION("""COMPUTED_VALUE"""),2.0)</f>
        <v>2</v>
      </c>
      <c r="B188" s="124" t="str">
        <f>IFERROR(__xludf.DUMMYFUNCTION("""COMPUTED_VALUE"""),"Erik Hoeckmann")</f>
        <v>Erik Hoeckmann</v>
      </c>
      <c r="C188" s="125">
        <f>IFERROR(__xludf.DUMMYFUNCTION("""COMPUTED_VALUE"""),6.0)</f>
        <v>6</v>
      </c>
      <c r="D188" s="125">
        <f>IFERROR(__xludf.DUMMYFUNCTION("""COMPUTED_VALUE"""),2.0)</f>
        <v>2</v>
      </c>
      <c r="E188" s="125">
        <f>IFERROR(__xludf.DUMMYFUNCTION("""COMPUTED_VALUE"""),6.0)</f>
        <v>6</v>
      </c>
      <c r="F188" s="125">
        <f>IFERROR(__xludf.DUMMYFUNCTION("""COMPUTED_VALUE"""),14.0)</f>
        <v>14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IFERROR(__xludf.DUMMYFUNCTION("""COMPUTED_VALUE"""),"Jonathan Phan")</f>
        <v>Jonathan Phan</v>
      </c>
      <c r="C189" s="125">
        <f>IFERROR(__xludf.DUMMYFUNCTION("""COMPUTED_VALUE"""),3.0)</f>
        <v>3</v>
      </c>
      <c r="D189" s="125">
        <f>IFERROR(__xludf.DUMMYFUNCTION("""COMPUTED_VALUE"""),6.0)</f>
        <v>6</v>
      </c>
      <c r="E189" s="125">
        <f>IFERROR(__xludf.DUMMYFUNCTION("""COMPUTED_VALUE"""),6.0)</f>
        <v>6</v>
      </c>
      <c r="F189" s="125">
        <f>IFERROR(__xludf.DUMMYFUNCTION("""COMPUTED_VALUE"""),15.0)</f>
        <v>15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IFERROR(__xludf.DUMMYFUNCTION("""COMPUTED_VALUE"""),"Scott Li")</f>
        <v>Scott Li</v>
      </c>
      <c r="C190" s="125">
        <f>IFERROR(__xludf.DUMMYFUNCTION("""COMPUTED_VALUE"""),3.0)</f>
        <v>3</v>
      </c>
      <c r="D190" s="125">
        <f>IFERROR(__xludf.DUMMYFUNCTION("""COMPUTED_VALUE"""),2.0)</f>
        <v>2</v>
      </c>
      <c r="E190" s="125">
        <f>IFERROR(__xludf.DUMMYFUNCTION("""COMPUTED_VALUE"""),4.0)</f>
        <v>4</v>
      </c>
      <c r="F190" s="125">
        <f>IFERROR(__xludf.DUMMYFUNCTION("""COMPUTED_VALUE"""),9.0)</f>
        <v>9</v>
      </c>
      <c r="G190" s="125">
        <f>IFERROR(__xludf.DUMMYFUNCTION("""COMPUTED_VALUE"""),0.0)</f>
        <v>0</v>
      </c>
    </row>
    <row r="191">
      <c r="A191" s="123">
        <f>IFERROR(__xludf.DUMMYFUNCTION("""COMPUTED_VALUE"""),2.0)</f>
        <v>2</v>
      </c>
      <c r="B191" s="124" t="str">
        <f>IFERROR(__xludf.DUMMYFUNCTION("""COMPUTED_VALUE"""),"Eric Pan")</f>
        <v>Eric Pan</v>
      </c>
      <c r="C191" s="125">
        <f>IFERROR(__xludf.DUMMYFUNCTION("""COMPUTED_VALUE"""),6.0)</f>
        <v>6</v>
      </c>
      <c r="D191" s="125">
        <f>IFERROR(__xludf.DUMMYFUNCTION("""COMPUTED_VALUE"""),6.0)</f>
        <v>6</v>
      </c>
      <c r="E191" s="125">
        <f>IFERROR(__xludf.DUMMYFUNCTION("""COMPUTED_VALUE"""),4.0)</f>
        <v>4</v>
      </c>
      <c r="F191" s="125">
        <f>IFERROR(__xludf.DUMMYFUNCTION("""COMPUTED_VALUE"""),16.0)</f>
        <v>16</v>
      </c>
      <c r="G191" s="125">
        <f>IFERROR(__xludf.DUMMYFUNCTION("""COMPUTED_VALUE"""),2.0)</f>
        <v>2</v>
      </c>
    </row>
    <row r="192">
      <c r="A192" s="117">
        <f>IFERROR(__xludf.DUMMYFUNCTION("""COMPUTED_VALUE"""),3.0)</f>
        <v>3</v>
      </c>
      <c r="B192" s="33" t="str">
        <f>IFERROR(__xludf.DUMMYFUNCTION("""COMPUTED_VALUE"""),"Ethan Gu")</f>
        <v>Ethan Gu</v>
      </c>
      <c r="C192" s="122">
        <f>IFERROR(__xludf.DUMMYFUNCTION("""COMPUTED_VALUE"""),6.0)</f>
        <v>6</v>
      </c>
      <c r="D192" s="122">
        <f>IFERROR(__xludf.DUMMYFUNCTION("""COMPUTED_VALUE"""),6.0)</f>
        <v>6</v>
      </c>
      <c r="E192" s="122">
        <f>IFERROR(__xludf.DUMMYFUNCTION("""COMPUTED_VALUE"""),6.0)</f>
        <v>6</v>
      </c>
      <c r="F192" s="122">
        <f>IFERROR(__xludf.DUMMYFUNCTION("""COMPUTED_VALUE"""),18.0)</f>
        <v>18</v>
      </c>
      <c r="G192" s="122">
        <f>IFERROR(__xludf.DUMMYFUNCTION("""COMPUTED_VALUE"""),3.0)</f>
        <v>3</v>
      </c>
    </row>
    <row r="193">
      <c r="A193" s="117">
        <f>IFERROR(__xludf.DUMMYFUNCTION("""COMPUTED_VALUE"""),3.0)</f>
        <v>3</v>
      </c>
      <c r="B193" s="33" t="str">
        <f>IFERROR(__xludf.DUMMYFUNCTION("""COMPUTED_VALUE"""),"Basudev Thoppai Vidyasankar")</f>
        <v>Basudev Thoppai Vidyasankar</v>
      </c>
      <c r="C193" s="122">
        <f>IFERROR(__xludf.DUMMYFUNCTION("""COMPUTED_VALUE"""),1.0)</f>
        <v>1</v>
      </c>
      <c r="D193" s="122">
        <f>IFERROR(__xludf.DUMMYFUNCTION("""COMPUTED_VALUE"""),6.0)</f>
        <v>6</v>
      </c>
      <c r="E193" s="122">
        <f>IFERROR(__xludf.DUMMYFUNCTION("""COMPUTED_VALUE"""),4.0)</f>
        <v>4</v>
      </c>
      <c r="F193" s="122">
        <f>IFERROR(__xludf.DUMMYFUNCTION("""COMPUTED_VALUE"""),11.0)</f>
        <v>11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IFERROR(__xludf.DUMMYFUNCTION("""COMPUTED_VALUE"""),"Ted Shen")</f>
        <v>Ted Shen</v>
      </c>
      <c r="C194" s="122">
        <f>IFERROR(__xludf.DUMMYFUNCTION("""COMPUTED_VALUE"""),1.0)</f>
        <v>1</v>
      </c>
      <c r="D194" s="122">
        <f>IFERROR(__xludf.DUMMYFUNCTION("""COMPUTED_VALUE"""),2.0)</f>
        <v>2</v>
      </c>
      <c r="E194" s="122">
        <f>IFERROR(__xludf.DUMMYFUNCTION("""COMPUTED_VALUE"""),6.0)</f>
        <v>6</v>
      </c>
      <c r="F194" s="122">
        <f>IFERROR(__xludf.DUMMYFUNCTION("""COMPUTED_VALUE"""),9.0)</f>
        <v>9</v>
      </c>
      <c r="G194" s="122">
        <f>IFERROR(__xludf.DUMMYFUNCTION("""COMPUTED_VALUE"""),1.0)</f>
        <v>1</v>
      </c>
    </row>
    <row r="195">
      <c r="A195" s="117">
        <f>IFERROR(__xludf.DUMMYFUNCTION("""COMPUTED_VALUE"""),3.0)</f>
        <v>3</v>
      </c>
      <c r="B195" s="33" t="str">
        <f>IFERROR(__xludf.DUMMYFUNCTION("""COMPUTED_VALUE"""),"Frank Moon")</f>
        <v>Frank Moon</v>
      </c>
      <c r="C195" s="122">
        <f>IFERROR(__xludf.DUMMYFUNCTION("""COMPUTED_VALUE"""),6.0)</f>
        <v>6</v>
      </c>
      <c r="D195" s="122">
        <f>IFERROR(__xludf.DUMMYFUNCTION("""COMPUTED_VALUE"""),2.0)</f>
        <v>2</v>
      </c>
      <c r="E195" s="122">
        <f>IFERROR(__xludf.DUMMYFUNCTION("""COMPUTED_VALUE"""),4.0)</f>
        <v>4</v>
      </c>
      <c r="F195" s="122">
        <f>IFERROR(__xludf.DUMMYFUNCTION("""COMPUTED_VALUE"""),12.0)</f>
        <v>12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IFERROR(__xludf.DUMMYFUNCTION("""COMPUTED_VALUE"""),"Sandeep Kamalon")</f>
        <v>Sandeep Kamalon</v>
      </c>
      <c r="C196" s="125">
        <f>IFERROR(__xludf.DUMMYFUNCTION("""COMPUTED_VALUE"""),3.0)</f>
        <v>3</v>
      </c>
      <c r="D196" s="125">
        <f>IFERROR(__xludf.DUMMYFUNCTION("""COMPUTED_VALUE"""),6.0)</f>
        <v>6</v>
      </c>
      <c r="E196" s="125">
        <f>IFERROR(__xludf.DUMMYFUNCTION("""COMPUTED_VALUE"""),6.0)</f>
        <v>6</v>
      </c>
      <c r="F196" s="125">
        <f>IFERROR(__xludf.DUMMYFUNCTION("""COMPUTED_VALUE"""),15.0)</f>
        <v>15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IFERROR(__xludf.DUMMYFUNCTION("""COMPUTED_VALUE"""),"Rajasekar Ramasamy")</f>
        <v>Rajasekar Ramasamy</v>
      </c>
      <c r="C197" s="125">
        <f>IFERROR(__xludf.DUMMYFUNCTION("""COMPUTED_VALUE"""),6.0)</f>
        <v>6</v>
      </c>
      <c r="D197" s="125">
        <f>IFERROR(__xludf.DUMMYFUNCTION("""COMPUTED_VALUE"""),3.0)</f>
        <v>3</v>
      </c>
      <c r="E197" s="125">
        <f>IFERROR(__xludf.DUMMYFUNCTION("""COMPUTED_VALUE"""),6.0)</f>
        <v>6</v>
      </c>
      <c r="F197" s="125">
        <f>IFERROR(__xludf.DUMMYFUNCTION("""COMPUTED_VALUE"""),15.0)</f>
        <v>15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IFERROR(__xludf.DUMMYFUNCTION("""COMPUTED_VALUE"""),"Elayaraja Thangaraj")</f>
        <v>Elayaraja Thangaraj</v>
      </c>
      <c r="C198" s="125">
        <f>IFERROR(__xludf.DUMMYFUNCTION("""COMPUTED_VALUE"""),3.0)</f>
        <v>3</v>
      </c>
      <c r="D198" s="125">
        <f>IFERROR(__xludf.DUMMYFUNCTION("""COMPUTED_VALUE"""),3.0)</f>
        <v>3</v>
      </c>
      <c r="E198" s="125">
        <f>IFERROR(__xludf.DUMMYFUNCTION("""COMPUTED_VALUE"""),4.0)</f>
        <v>4</v>
      </c>
      <c r="F198" s="125">
        <f>IFERROR(__xludf.DUMMYFUNCTION("""COMPUTED_VALUE"""),10.0)</f>
        <v>10</v>
      </c>
      <c r="G198" s="125">
        <f>IFERROR(__xludf.DUMMYFUNCTION("""COMPUTED_VALUE"""),0.0)</f>
        <v>0</v>
      </c>
    </row>
    <row r="199">
      <c r="A199" s="123">
        <f>IFERROR(__xludf.DUMMYFUNCTION("""COMPUTED_VALUE"""),4.0)</f>
        <v>4</v>
      </c>
      <c r="B199" s="124" t="str">
        <f>IFERROR(__xludf.DUMMYFUNCTION("""COMPUTED_VALUE"""),"Sean Chang")</f>
        <v>Sean Chang</v>
      </c>
      <c r="C199" s="125">
        <f>IFERROR(__xludf.DUMMYFUNCTION("""COMPUTED_VALUE"""),6.0)</f>
        <v>6</v>
      </c>
      <c r="D199" s="125">
        <f>IFERROR(__xludf.DUMMYFUNCTION("""COMPUTED_VALUE"""),6.0)</f>
        <v>6</v>
      </c>
      <c r="E199" s="125">
        <f>IFERROR(__xludf.DUMMYFUNCTION("""COMPUTED_VALUE"""),4.0)</f>
        <v>4</v>
      </c>
      <c r="F199" s="125">
        <f>IFERROR(__xludf.DUMMYFUNCTION("""COMPUTED_VALUE"""),16.0)</f>
        <v>16</v>
      </c>
      <c r="G199" s="125">
        <f>IFERROR(__xludf.DUMMYFUNCTION("""COMPUTED_VALUE"""),2.0)</f>
        <v>2</v>
      </c>
    </row>
    <row r="200">
      <c r="A200" s="117">
        <f>IFERROR(__xludf.DUMMYFUNCTION("""COMPUTED_VALUE"""),5.0)</f>
        <v>5</v>
      </c>
      <c r="B200" s="33" t="str">
        <f>IFERROR(__xludf.DUMMYFUNCTION("""COMPUTED_VALUE"""),"Chinna Ponnaganti")</f>
        <v>Chinna Ponnaganti</v>
      </c>
      <c r="C200" s="122">
        <f>IFERROR(__xludf.DUMMYFUNCTION("""COMPUTED_VALUE"""),6.0)</f>
        <v>6</v>
      </c>
      <c r="D200" s="122">
        <f>IFERROR(__xludf.DUMMYFUNCTION("""COMPUTED_VALUE"""),2.0)</f>
        <v>2</v>
      </c>
      <c r="E200" s="122">
        <f>IFERROR(__xludf.DUMMYFUNCTION("""COMPUTED_VALUE"""),0.0)</f>
        <v>0</v>
      </c>
      <c r="F200" s="122">
        <f>IFERROR(__xludf.DUMMYFUNCTION("""COMPUTED_VALUE"""),8.0)</f>
        <v>8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IFERROR(__xludf.DUMMYFUNCTION("""COMPUTED_VALUE"""),"Alex Hou")</f>
        <v>Alex Hou</v>
      </c>
      <c r="C201" s="122">
        <f>IFERROR(__xludf.DUMMYFUNCTION("""COMPUTED_VALUE"""),0.0)</f>
        <v>0</v>
      </c>
      <c r="D201" s="122">
        <f>IFERROR(__xludf.DUMMYFUNCTION("""COMPUTED_VALUE"""),6.0)</f>
        <v>6</v>
      </c>
      <c r="E201" s="122">
        <f>IFERROR(__xludf.DUMMYFUNCTION("""COMPUTED_VALUE"""),0.0)</f>
        <v>0</v>
      </c>
      <c r="F201" s="122">
        <f>IFERROR(__xludf.DUMMYFUNCTION("""COMPUTED_VALUE"""),6.0)</f>
        <v>6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IFERROR(__xludf.DUMMYFUNCTION("""COMPUTED_VALUE"""),"Hongyuan Wen")</f>
        <v>Hongyuan Wen</v>
      </c>
      <c r="C202" s="122">
        <f>IFERROR(__xludf.DUMMYFUNCTION("""COMPUTED_VALUE"""),0.0)</f>
        <v>0</v>
      </c>
      <c r="D202" s="122">
        <f>IFERROR(__xludf.DUMMYFUNCTION("""COMPUTED_VALUE"""),2.0)</f>
        <v>2</v>
      </c>
      <c r="E202" s="122">
        <f>IFERROR(__xludf.DUMMYFUNCTION("""COMPUTED_VALUE"""),6.0)</f>
        <v>6</v>
      </c>
      <c r="F202" s="122">
        <f>IFERROR(__xludf.DUMMYFUNCTION("""COMPUTED_VALUE"""),8.0)</f>
        <v>8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IFERROR(__xludf.DUMMYFUNCTION("""COMPUTED_VALUE"""),"Adrian Tay")</f>
        <v>Adrian Tay</v>
      </c>
      <c r="C203" s="122">
        <f>IFERROR(__xludf.DUMMYFUNCTION("""COMPUTED_VALUE"""),6.0)</f>
        <v>6</v>
      </c>
      <c r="D203" s="122">
        <f>IFERROR(__xludf.DUMMYFUNCTION("""COMPUTED_VALUE"""),6.0)</f>
        <v>6</v>
      </c>
      <c r="E203" s="122">
        <f>IFERROR(__xludf.DUMMYFUNCTION("""COMPUTED_VALUE"""),6.0)</f>
        <v>6</v>
      </c>
      <c r="F203" s="122">
        <f>IFERROR(__xludf.DUMMYFUNCTION("""COMPUTED_VALUE"""),18.0)</f>
        <v>18</v>
      </c>
      <c r="G203" s="122">
        <f>IFERROR(__xludf.DUMMYFUNCTION("""COMPUTED_VALUE"""),3.0)</f>
        <v>3</v>
      </c>
    </row>
    <row r="204">
      <c r="A204" s="123">
        <f>IFERROR(__xludf.DUMMYFUNCTION("""COMPUTED_VALUE"""),6.0)</f>
        <v>6</v>
      </c>
      <c r="B204" s="124" t="str">
        <f>IFERROR(__xludf.DUMMYFUNCTION("""COMPUTED_VALUE"""),"Pavan Akkimsetty")</f>
        <v>Pavan Akkimsetty</v>
      </c>
      <c r="C204" s="125">
        <f>IFERROR(__xludf.DUMMYFUNCTION("""COMPUTED_VALUE"""),7.0)</f>
        <v>7</v>
      </c>
      <c r="D204" s="125">
        <f>IFERROR(__xludf.DUMMYFUNCTION("""COMPUTED_VALUE"""),7.0)</f>
        <v>7</v>
      </c>
      <c r="E204" s="125">
        <f>IFERROR(__xludf.DUMMYFUNCTION("""COMPUTED_VALUE"""),6.0)</f>
        <v>6</v>
      </c>
      <c r="F204" s="125">
        <f>IFERROR(__xludf.DUMMYFUNCTION("""COMPUTED_VALUE"""),20.0)</f>
        <v>20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IFERROR(__xludf.DUMMYFUNCTION("""COMPUTED_VALUE"""),"Joe Luzzi")</f>
        <v>Joe Luzzi</v>
      </c>
      <c r="C205" s="125">
        <f>IFERROR(__xludf.DUMMYFUNCTION("""COMPUTED_VALUE"""),6.0)</f>
        <v>6</v>
      </c>
      <c r="D205" s="125">
        <f>IFERROR(__xludf.DUMMYFUNCTION("""COMPUTED_VALUE"""),6.0)</f>
        <v>6</v>
      </c>
      <c r="E205" s="125">
        <f>IFERROR(__xludf.DUMMYFUNCTION("""COMPUTED_VALUE"""),6.0)</f>
        <v>6</v>
      </c>
      <c r="F205" s="125">
        <f>IFERROR(__xludf.DUMMYFUNCTION("""COMPUTED_VALUE"""),18.0)</f>
        <v>18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IFERROR(__xludf.DUMMYFUNCTION("""COMPUTED_VALUE"""),"Jimmy Awolesi")</f>
        <v>Jimmy Awolesi</v>
      </c>
      <c r="C206" s="125">
        <f>IFERROR(__xludf.DUMMYFUNCTION("""COMPUTED_VALUE"""),7.0)</f>
        <v>7</v>
      </c>
      <c r="D206" s="125">
        <f>IFERROR(__xludf.DUMMYFUNCTION("""COMPUTED_VALUE"""),6.0)</f>
        <v>6</v>
      </c>
      <c r="E206" s="125">
        <f>IFERROR(__xludf.DUMMYFUNCTION("""COMPUTED_VALUE"""),1.0)</f>
        <v>1</v>
      </c>
      <c r="F206" s="125">
        <f>IFERROR(__xludf.DUMMYFUNCTION("""COMPUTED_VALUE"""),14.0)</f>
        <v>14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IFERROR(__xludf.DUMMYFUNCTION("""COMPUTED_VALUE"""),"Ramesh Bandaru")</f>
        <v>Ramesh Bandaru</v>
      </c>
      <c r="C207" s="125">
        <f>IFERROR(__xludf.DUMMYFUNCTION("""COMPUTED_VALUE"""),6.0)</f>
        <v>6</v>
      </c>
      <c r="D207" s="125">
        <f>IFERROR(__xludf.DUMMYFUNCTION("""COMPUTED_VALUE"""),7.0)</f>
        <v>7</v>
      </c>
      <c r="E207" s="125">
        <f>IFERROR(__xludf.DUMMYFUNCTION("""COMPUTED_VALUE"""),1.0)</f>
        <v>1</v>
      </c>
      <c r="F207" s="125">
        <f>IFERROR(__xludf.DUMMYFUNCTION("""COMPUTED_VALUE"""),14.0)</f>
        <v>14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IFERROR(__xludf.DUMMYFUNCTION("""COMPUTED_VALUE"""),"Allen Zhang")</f>
        <v>Allen Zhang</v>
      </c>
      <c r="C208" s="122">
        <f>IFERROR(__xludf.DUMMYFUNCTION("""COMPUTED_VALUE"""),0.0)</f>
        <v>0</v>
      </c>
      <c r="D208" s="122">
        <f>IFERROR(__xludf.DUMMYFUNCTION("""COMPUTED_VALUE"""),6.0)</f>
        <v>6</v>
      </c>
      <c r="E208" s="122">
        <f>IFERROR(__xludf.DUMMYFUNCTION("""COMPUTED_VALUE"""),7.0)</f>
        <v>7</v>
      </c>
      <c r="F208" s="122">
        <f>IFERROR(__xludf.DUMMYFUNCTION("""COMPUTED_VALUE"""),13.0)</f>
        <v>13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IFERROR(__xludf.DUMMYFUNCTION("""COMPUTED_VALUE"""),"Coco Yan")</f>
        <v>Coco Yan</v>
      </c>
      <c r="C209" s="122">
        <f>IFERROR(__xludf.DUMMYFUNCTION("""COMPUTED_VALUE"""),6.0)</f>
        <v>6</v>
      </c>
      <c r="D209" s="122">
        <f>IFERROR(__xludf.DUMMYFUNCTION("""COMPUTED_VALUE"""),6.0)</f>
        <v>6</v>
      </c>
      <c r="E209" s="122">
        <f>IFERROR(__xludf.DUMMYFUNCTION("""COMPUTED_VALUE"""),5.0)</f>
        <v>5</v>
      </c>
      <c r="F209" s="122">
        <f>IFERROR(__xludf.DUMMYFUNCTION("""COMPUTED_VALUE"""),17.0)</f>
        <v>17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IFERROR(__xludf.DUMMYFUNCTION("""COMPUTED_VALUE"""),"Tina Hanson")</f>
        <v>Tina Hanson</v>
      </c>
      <c r="C210" s="122">
        <f>IFERROR(__xludf.DUMMYFUNCTION("""COMPUTED_VALUE"""),6.0)</f>
        <v>6</v>
      </c>
      <c r="D210" s="122">
        <f>IFERROR(__xludf.DUMMYFUNCTION("""COMPUTED_VALUE"""),7.0)</f>
        <v>7</v>
      </c>
      <c r="E210" s="122">
        <f>IFERROR(__xludf.DUMMYFUNCTION("""COMPUTED_VALUE"""),7.0)</f>
        <v>7</v>
      </c>
      <c r="F210" s="122">
        <f>IFERROR(__xludf.DUMMYFUNCTION("""COMPUTED_VALUE"""),20.0)</f>
        <v>20</v>
      </c>
      <c r="G210" s="122">
        <f>IFERROR(__xludf.DUMMYFUNCTION("""COMPUTED_VALUE"""),3.0)</f>
        <v>3</v>
      </c>
    </row>
    <row r="211">
      <c r="A211" s="117">
        <f>IFERROR(__xludf.DUMMYFUNCTION("""COMPUTED_VALUE"""),7.0)</f>
        <v>7</v>
      </c>
      <c r="B211" s="33" t="str">
        <f>IFERROR(__xludf.DUMMYFUNCTION("""COMPUTED_VALUE"""),"Nicole Ni")</f>
        <v>Nicole Ni</v>
      </c>
      <c r="C211" s="122">
        <f>IFERROR(__xludf.DUMMYFUNCTION("""COMPUTED_VALUE"""),0.0)</f>
        <v>0</v>
      </c>
      <c r="D211" s="122">
        <f>IFERROR(__xludf.DUMMYFUNCTION("""COMPUTED_VALUE"""),7.0)</f>
        <v>7</v>
      </c>
      <c r="E211" s="122">
        <f>IFERROR(__xludf.DUMMYFUNCTION("""COMPUTED_VALUE"""),5.0)</f>
        <v>5</v>
      </c>
      <c r="F211" s="122">
        <f>IFERROR(__xludf.DUMMYFUNCTION("""COMPUTED_VALUE"""),12.0)</f>
        <v>12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IFERROR(__xludf.DUMMYFUNCTION("""COMPUTED_VALUE"""),"Kumar Palakeel")</f>
        <v>Kumar Palakeel</v>
      </c>
      <c r="C212" s="125">
        <f>IFERROR(__xludf.DUMMYFUNCTION("""COMPUTED_VALUE"""),1.0)</f>
        <v>1</v>
      </c>
      <c r="D212" s="125">
        <f>IFERROR(__xludf.DUMMYFUNCTION("""COMPUTED_VALUE"""),0.0)</f>
        <v>0</v>
      </c>
      <c r="E212" s="125">
        <f>IFERROR(__xludf.DUMMYFUNCTION("""COMPUTED_VALUE"""),6.0)</f>
        <v>6</v>
      </c>
      <c r="F212" s="125">
        <f>IFERROR(__xludf.DUMMYFUNCTION("""COMPUTED_VALUE"""),7.0)</f>
        <v>7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IFERROR(__xludf.DUMMYFUNCTION("""COMPUTED_VALUE"""),"Naveen Raj")</f>
        <v>Naveen Raj</v>
      </c>
      <c r="C213" s="125">
        <f>IFERROR(__xludf.DUMMYFUNCTION("""COMPUTED_VALUE"""),1.0)</f>
        <v>1</v>
      </c>
      <c r="D213" s="125">
        <f>IFERROR(__xludf.DUMMYFUNCTION("""COMPUTED_VALUE"""),6.0)</f>
        <v>6</v>
      </c>
      <c r="E213" s="125">
        <f>IFERROR(__xludf.DUMMYFUNCTION("""COMPUTED_VALUE"""),3.0)</f>
        <v>3</v>
      </c>
      <c r="F213" s="125">
        <f>IFERROR(__xludf.DUMMYFUNCTION("""COMPUTED_VALUE"""),10.0)</f>
        <v>10</v>
      </c>
      <c r="G213" s="125">
        <f>IFERROR(__xludf.DUMMYFUNCTION("""COMPUTED_VALUE"""),1.0)</f>
        <v>1</v>
      </c>
    </row>
    <row r="214">
      <c r="A214" s="123">
        <f>IFERROR(__xludf.DUMMYFUNCTION("""COMPUTED_VALUE"""),8.0)</f>
        <v>8</v>
      </c>
      <c r="B214" s="124" t="str">
        <f>IFERROR(__xludf.DUMMYFUNCTION("""COMPUTED_VALUE"""),"Cid Macaraeg")</f>
        <v>Cid Macaraeg</v>
      </c>
      <c r="C214" s="125">
        <f>IFERROR(__xludf.DUMMYFUNCTION("""COMPUTED_VALUE"""),6.0)</f>
        <v>6</v>
      </c>
      <c r="D214" s="125">
        <f>IFERROR(__xludf.DUMMYFUNCTION("""COMPUTED_VALUE"""),6.0)</f>
        <v>6</v>
      </c>
      <c r="E214" s="125">
        <f>IFERROR(__xludf.DUMMYFUNCTION("""COMPUTED_VALUE"""),6.0)</f>
        <v>6</v>
      </c>
      <c r="F214" s="125">
        <f>IFERROR(__xludf.DUMMYFUNCTION("""COMPUTED_VALUE"""),18.0)</f>
        <v>18</v>
      </c>
      <c r="G214" s="125">
        <f>IFERROR(__xludf.DUMMYFUNCTION("""COMPUTED_VALUE"""),3.0)</f>
        <v>3</v>
      </c>
    </row>
    <row r="215">
      <c r="A215" s="123">
        <f>IFERROR(__xludf.DUMMYFUNCTION("""COMPUTED_VALUE"""),8.0)</f>
        <v>8</v>
      </c>
      <c r="B215" s="124" t="str">
        <f>IFERROR(__xludf.DUMMYFUNCTION("""COMPUTED_VALUE"""),"Sandy Weyant")</f>
        <v>Sandy Weyant</v>
      </c>
      <c r="C215" s="125">
        <f>IFERROR(__xludf.DUMMYFUNCTION("""COMPUTED_VALUE"""),6.0)</f>
        <v>6</v>
      </c>
      <c r="D215" s="125">
        <f>IFERROR(__xludf.DUMMYFUNCTION("""COMPUTED_VALUE"""),0.0)</f>
        <v>0</v>
      </c>
      <c r="E215" s="125">
        <f>IFERROR(__xludf.DUMMYFUNCTION("""COMPUTED_VALUE"""),3.0)</f>
        <v>3</v>
      </c>
      <c r="F215" s="125">
        <f>IFERROR(__xludf.DUMMYFUNCTION("""COMPUTED_VALUE"""),9.0)</f>
        <v>9</v>
      </c>
      <c r="G215" s="125">
        <f>IFERROR(__xludf.DUMMYFUNCTION("""COMPUTED_VALUE"""),1.0)</f>
        <v>1</v>
      </c>
    </row>
    <row r="216">
      <c r="A216" s="117">
        <f>IFERROR(__xludf.DUMMYFUNCTION("""COMPUTED_VALUE"""),8.0)</f>
        <v>8</v>
      </c>
      <c r="B216" s="33" t="str">
        <f>IFERROR(__xludf.DUMMYFUNCTION("""COMPUTED_VALUE"""),"Trish Newlin")</f>
        <v>Trish Newlin</v>
      </c>
      <c r="C216" s="122">
        <f>IFERROR(__xludf.DUMMYFUNCTION("""COMPUTED_VALUE"""),6.0)</f>
        <v>6</v>
      </c>
      <c r="D216" s="122">
        <f>IFERROR(__xludf.DUMMYFUNCTION("""COMPUTED_VALUE"""),4.0)</f>
        <v>4</v>
      </c>
      <c r="E216" s="122">
        <f>IFERROR(__xludf.DUMMYFUNCTION("""COMPUTED_VALUE"""),1.0)</f>
        <v>1</v>
      </c>
      <c r="F216" s="122">
        <f>IFERROR(__xludf.DUMMYFUNCTION("""COMPUTED_VALUE"""),11.0)</f>
        <v>11</v>
      </c>
      <c r="G216" s="122">
        <f>IFERROR(__xludf.DUMMYFUNCTION("""COMPUTED_VALUE"""),1.0)</f>
        <v>1</v>
      </c>
    </row>
    <row r="217">
      <c r="A217" s="117">
        <f>IFERROR(__xludf.DUMMYFUNCTION("""COMPUTED_VALUE"""),8.0)</f>
        <v>8</v>
      </c>
      <c r="B217" s="33" t="str">
        <f>IFERROR(__xludf.DUMMYFUNCTION("""COMPUTED_VALUE"""),"Joyce Zhu")</f>
        <v>Joyce Zhu</v>
      </c>
      <c r="C217" s="122">
        <f>IFERROR(__xludf.DUMMYFUNCTION("""COMPUTED_VALUE"""),3.0)</f>
        <v>3</v>
      </c>
      <c r="D217" s="122">
        <f>IFERROR(__xludf.DUMMYFUNCTION("""COMPUTED_VALUE"""),6.0)</f>
        <v>6</v>
      </c>
      <c r="E217" s="122">
        <f>IFERROR(__xludf.DUMMYFUNCTION("""COMPUTED_VALUE"""),1.0)</f>
        <v>1</v>
      </c>
      <c r="F217" s="122">
        <f>IFERROR(__xludf.DUMMYFUNCTION("""COMPUTED_VALUE"""),10.0)</f>
        <v>10</v>
      </c>
      <c r="G217" s="122">
        <f>IFERROR(__xludf.DUMMYFUNCTION("""COMPUTED_VALUE"""),1.0)</f>
        <v>1</v>
      </c>
    </row>
    <row r="218">
      <c r="A218" s="117">
        <f>IFERROR(__xludf.DUMMYFUNCTION("""COMPUTED_VALUE"""),8.0)</f>
        <v>8</v>
      </c>
      <c r="B218" s="33" t="str">
        <f>IFERROR(__xludf.DUMMYFUNCTION("""COMPUTED_VALUE"""),"Balaji Alahari")</f>
        <v>Balaji Alahari</v>
      </c>
      <c r="C218" s="122">
        <f>IFERROR(__xludf.DUMMYFUNCTION("""COMPUTED_VALUE"""),3.0)</f>
        <v>3</v>
      </c>
      <c r="D218" s="122">
        <f>IFERROR(__xludf.DUMMYFUNCTION("""COMPUTED_VALUE"""),4.0)</f>
        <v>4</v>
      </c>
      <c r="E218" s="122">
        <f>IFERROR(__xludf.DUMMYFUNCTION("""COMPUTED_VALUE"""),6.0)</f>
        <v>6</v>
      </c>
      <c r="F218" s="122">
        <f>IFERROR(__xludf.DUMMYFUNCTION("""COMPUTED_VALUE"""),13.0)</f>
        <v>13</v>
      </c>
      <c r="G218" s="122">
        <f>IFERROR(__xludf.DUMMYFUNCTION("""COMPUTED_VALUE"""),1.0)</f>
        <v>1</v>
      </c>
    </row>
    <row r="219">
      <c r="A219" s="117">
        <f>IFERROR(__xludf.DUMMYFUNCTION("""COMPUTED_VALUE"""),8.0)</f>
        <v>8</v>
      </c>
      <c r="B219" s="33" t="str">
        <f>IFERROR(__xludf.DUMMYFUNCTION("""COMPUTED_VALUE"""),"Susanta Mishra")</f>
        <v>Susanta Mishra</v>
      </c>
      <c r="C219" s="122">
        <f>IFERROR(__xludf.DUMMYFUNCTION("""COMPUTED_VALUE"""),6.0)</f>
        <v>6</v>
      </c>
      <c r="D219" s="122">
        <f>IFERROR(__xludf.DUMMYFUNCTION("""COMPUTED_VALUE"""),6.0)</f>
        <v>6</v>
      </c>
      <c r="E219" s="122">
        <f>IFERROR(__xludf.DUMMYFUNCTION("""COMPUTED_VALUE"""),6.0)</f>
        <v>6</v>
      </c>
      <c r="F219" s="122">
        <f>IFERROR(__xludf.DUMMYFUNCTION("""COMPUTED_VALUE"""),18.0)</f>
        <v>18</v>
      </c>
      <c r="G219" s="122">
        <f>IFERROR(__xludf.DUMMYFUNCTION("""COMPUTED_VALUE"""),3.0)</f>
        <v>3</v>
      </c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45906.0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10.0</v>
      </c>
      <c r="E2" s="1"/>
      <c r="F2" s="1"/>
      <c r="R2" s="17"/>
      <c r="AC2" s="21" t="str">
        <f>text(C1-7,"mm/dd/yy")</f>
        <v>08/30/25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Y4" s="31" t="s">
        <v>43</v>
      </c>
      <c r="Z4" s="29" t="s">
        <v>44</v>
      </c>
    </row>
    <row r="5">
      <c r="A5" s="32">
        <v>1.0</v>
      </c>
      <c r="B5" s="33" t="s">
        <v>84</v>
      </c>
      <c r="C5" s="34">
        <v>130.0</v>
      </c>
      <c r="D5" s="34">
        <v>15.0</v>
      </c>
      <c r="E5" s="35">
        <f t="shared" ref="E5:E69" si="2">if(S5&gt;0,(C5-(V5*9)-(T5*13))/S5,0)</f>
        <v>14</v>
      </c>
      <c r="F5" s="95">
        <v>1.0</v>
      </c>
      <c r="G5" s="96">
        <v>1.0</v>
      </c>
      <c r="H5" s="97">
        <v>0.0</v>
      </c>
      <c r="I5" s="96">
        <v>6.0</v>
      </c>
      <c r="J5" s="96">
        <v>6.0</v>
      </c>
      <c r="K5" s="96">
        <v>6.0</v>
      </c>
      <c r="L5" s="98">
        <v>18.0</v>
      </c>
      <c r="M5" s="96">
        <v>2.0</v>
      </c>
      <c r="N5" s="34">
        <f t="shared" ref="N5:O5" si="1">C5+L5</f>
        <v>148</v>
      </c>
      <c r="O5" s="34">
        <f t="shared" si="1"/>
        <v>17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8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2</v>
      </c>
      <c r="W5" s="52">
        <f t="shared" ref="W5:W69" si="7">vlookup(B5,indirect("'" &amp; AC$2 &amp; "'!B5:x69"),23,false)-X5</f>
        <v>1</v>
      </c>
      <c r="X5" s="32">
        <v>1.0</v>
      </c>
      <c r="Y5" s="32" t="str">
        <f t="shared" ref="Y5:Y69" si="8">if(S5=D$2,"Y","N")</f>
        <v>N</v>
      </c>
      <c r="Z5" s="16" t="str">
        <f t="shared" ref="Z5:Z69" si="9">if($D$2=sum(S5:V5),"","Error")</f>
        <v/>
      </c>
    </row>
    <row r="6">
      <c r="A6" s="32">
        <f t="shared" ref="A6:A69" si="10">A5+1</f>
        <v>2</v>
      </c>
      <c r="B6" s="33" t="s">
        <v>73</v>
      </c>
      <c r="C6" s="34">
        <v>130.0</v>
      </c>
      <c r="D6" s="34">
        <v>14.0</v>
      </c>
      <c r="E6" s="35">
        <f t="shared" si="2"/>
        <v>14</v>
      </c>
      <c r="F6" s="95">
        <v>1.0</v>
      </c>
      <c r="G6" s="96">
        <v>1.0</v>
      </c>
      <c r="H6" s="97">
        <v>0.0</v>
      </c>
      <c r="I6" s="96">
        <v>6.0</v>
      </c>
      <c r="J6" s="96">
        <v>3.0</v>
      </c>
      <c r="K6" s="96">
        <v>3.0</v>
      </c>
      <c r="L6" s="98">
        <v>12.0</v>
      </c>
      <c r="M6" s="96">
        <v>0.0</v>
      </c>
      <c r="N6" s="34">
        <f t="shared" ref="N6:O6" si="3">C6+L6</f>
        <v>142</v>
      </c>
      <c r="O6" s="34">
        <f t="shared" si="3"/>
        <v>14</v>
      </c>
      <c r="P6" s="49" t="s">
        <v>58</v>
      </c>
      <c r="Q6" s="49" t="s">
        <v>58</v>
      </c>
      <c r="R6" s="49"/>
      <c r="S6" s="50">
        <f t="shared" si="4"/>
        <v>8</v>
      </c>
      <c r="T6" s="52">
        <f t="shared" si="5"/>
        <v>0</v>
      </c>
      <c r="U6" s="52"/>
      <c r="V6" s="50">
        <f t="shared" si="6"/>
        <v>2</v>
      </c>
      <c r="W6" s="52">
        <f t="shared" si="7"/>
        <v>2</v>
      </c>
      <c r="X6" s="32">
        <f t="shared" ref="X6:X69" si="12">X5+1</f>
        <v>2</v>
      </c>
      <c r="Y6" s="32" t="str">
        <f t="shared" si="8"/>
        <v>N</v>
      </c>
      <c r="Z6" s="16" t="str">
        <f t="shared" si="9"/>
        <v/>
      </c>
    </row>
    <row r="7">
      <c r="A7" s="32">
        <f t="shared" si="10"/>
        <v>3</v>
      </c>
      <c r="B7" s="33" t="s">
        <v>67</v>
      </c>
      <c r="C7" s="34">
        <v>126.0</v>
      </c>
      <c r="D7" s="34">
        <v>15.0</v>
      </c>
      <c r="E7" s="35">
        <f t="shared" si="2"/>
        <v>14.14285714</v>
      </c>
      <c r="F7" s="95">
        <v>1.0</v>
      </c>
      <c r="G7" s="96">
        <v>1.0</v>
      </c>
      <c r="H7" s="97">
        <v>0.0</v>
      </c>
      <c r="I7" s="96">
        <v>7.0</v>
      </c>
      <c r="J7" s="96">
        <v>3.0</v>
      </c>
      <c r="K7" s="96">
        <v>6.0</v>
      </c>
      <c r="L7" s="98">
        <v>16.0</v>
      </c>
      <c r="M7" s="96">
        <v>2.0</v>
      </c>
      <c r="N7" s="34">
        <f t="shared" ref="N7:O7" si="11">C7+L7</f>
        <v>142</v>
      </c>
      <c r="O7" s="34">
        <f t="shared" si="11"/>
        <v>17</v>
      </c>
      <c r="P7" s="49" t="s">
        <v>58</v>
      </c>
      <c r="Q7" s="49" t="s">
        <v>58</v>
      </c>
      <c r="R7" s="49"/>
      <c r="S7" s="50">
        <f t="shared" si="4"/>
        <v>7</v>
      </c>
      <c r="T7" s="52">
        <f t="shared" si="5"/>
        <v>0</v>
      </c>
      <c r="U7" s="52"/>
      <c r="V7" s="50">
        <f t="shared" si="6"/>
        <v>3</v>
      </c>
      <c r="W7" s="52">
        <f t="shared" si="7"/>
        <v>-2</v>
      </c>
      <c r="X7" s="32">
        <f t="shared" si="12"/>
        <v>3</v>
      </c>
      <c r="Y7" s="32" t="str">
        <f t="shared" si="8"/>
        <v>N</v>
      </c>
      <c r="Z7" s="16" t="str">
        <f t="shared" si="9"/>
        <v/>
      </c>
    </row>
    <row r="8">
      <c r="A8" s="32">
        <f t="shared" si="10"/>
        <v>4</v>
      </c>
      <c r="B8" s="33" t="s">
        <v>107</v>
      </c>
      <c r="C8" s="34">
        <v>125.0</v>
      </c>
      <c r="D8" s="34">
        <v>14.0</v>
      </c>
      <c r="E8" s="35">
        <f t="shared" si="2"/>
        <v>13.375</v>
      </c>
      <c r="F8" s="95">
        <v>2.0</v>
      </c>
      <c r="G8" s="96">
        <v>1.0</v>
      </c>
      <c r="H8" s="97">
        <v>0.0</v>
      </c>
      <c r="I8" s="96">
        <v>7.0</v>
      </c>
      <c r="J8" s="96">
        <v>6.0</v>
      </c>
      <c r="K8" s="96">
        <v>3.0</v>
      </c>
      <c r="L8" s="98">
        <v>16.0</v>
      </c>
      <c r="M8" s="96">
        <v>2.0</v>
      </c>
      <c r="N8" s="34">
        <f t="shared" ref="N8:O8" si="13">C8+L8</f>
        <v>141</v>
      </c>
      <c r="O8" s="34">
        <f t="shared" si="13"/>
        <v>16</v>
      </c>
      <c r="P8" s="49" t="s">
        <v>58</v>
      </c>
      <c r="Q8" s="49" t="s">
        <v>58</v>
      </c>
      <c r="R8" s="49"/>
      <c r="S8" s="50">
        <f t="shared" si="4"/>
        <v>8</v>
      </c>
      <c r="T8" s="52">
        <f t="shared" si="5"/>
        <v>0</v>
      </c>
      <c r="U8" s="52"/>
      <c r="V8" s="50">
        <f t="shared" si="6"/>
        <v>2</v>
      </c>
      <c r="W8" s="52">
        <f t="shared" si="7"/>
        <v>7</v>
      </c>
      <c r="X8" s="32">
        <f t="shared" si="12"/>
        <v>4</v>
      </c>
      <c r="Y8" s="32" t="str">
        <f t="shared" si="8"/>
        <v>N</v>
      </c>
      <c r="Z8" s="16" t="str">
        <f t="shared" si="9"/>
        <v/>
      </c>
    </row>
    <row r="9">
      <c r="A9" s="32">
        <f t="shared" si="10"/>
        <v>5</v>
      </c>
      <c r="B9" s="33" t="s">
        <v>109</v>
      </c>
      <c r="C9" s="34">
        <v>125.0</v>
      </c>
      <c r="D9" s="34">
        <v>12.0</v>
      </c>
      <c r="E9" s="35">
        <f t="shared" si="2"/>
        <v>13.375</v>
      </c>
      <c r="F9" s="95">
        <v>1.0</v>
      </c>
      <c r="G9" s="96">
        <v>2.0</v>
      </c>
      <c r="H9" s="97">
        <v>0.0</v>
      </c>
      <c r="I9" s="96">
        <v>6.0</v>
      </c>
      <c r="J9" s="96">
        <v>2.0</v>
      </c>
      <c r="K9" s="96">
        <v>6.0</v>
      </c>
      <c r="L9" s="98">
        <v>14.0</v>
      </c>
      <c r="M9" s="96">
        <v>2.0</v>
      </c>
      <c r="N9" s="34">
        <f t="shared" ref="N9:O9" si="14">C9+L9</f>
        <v>139</v>
      </c>
      <c r="O9" s="34">
        <f t="shared" si="14"/>
        <v>14</v>
      </c>
      <c r="P9" s="49" t="s">
        <v>58</v>
      </c>
      <c r="Q9" s="49" t="s">
        <v>58</v>
      </c>
      <c r="R9" s="49"/>
      <c r="S9" s="50">
        <f t="shared" si="4"/>
        <v>8</v>
      </c>
      <c r="T9" s="52">
        <f t="shared" si="5"/>
        <v>0</v>
      </c>
      <c r="U9" s="52"/>
      <c r="V9" s="50">
        <f t="shared" si="6"/>
        <v>2</v>
      </c>
      <c r="W9" s="52">
        <f t="shared" si="7"/>
        <v>9</v>
      </c>
      <c r="X9" s="32">
        <f t="shared" si="12"/>
        <v>5</v>
      </c>
      <c r="Y9" s="32" t="str">
        <f t="shared" si="8"/>
        <v>N</v>
      </c>
      <c r="Z9" s="16" t="str">
        <f t="shared" si="9"/>
        <v/>
      </c>
    </row>
    <row r="10">
      <c r="A10" s="32">
        <f t="shared" si="10"/>
        <v>6</v>
      </c>
      <c r="B10" s="33" t="s">
        <v>128</v>
      </c>
      <c r="C10" s="34">
        <v>124.0</v>
      </c>
      <c r="D10" s="34">
        <v>12.0</v>
      </c>
      <c r="E10" s="35">
        <f t="shared" si="2"/>
        <v>13.25</v>
      </c>
      <c r="F10" s="95">
        <v>1.0</v>
      </c>
      <c r="G10" s="96">
        <v>2.0</v>
      </c>
      <c r="H10" s="97">
        <v>0.0</v>
      </c>
      <c r="I10" s="96">
        <v>3.0</v>
      </c>
      <c r="J10" s="96">
        <v>6.0</v>
      </c>
      <c r="K10" s="96">
        <v>6.0</v>
      </c>
      <c r="L10" s="98">
        <v>15.0</v>
      </c>
      <c r="M10" s="96">
        <v>2.0</v>
      </c>
      <c r="N10" s="34">
        <f t="shared" ref="N10:O10" si="15">C10+L10</f>
        <v>139</v>
      </c>
      <c r="O10" s="34">
        <f t="shared" si="15"/>
        <v>14</v>
      </c>
      <c r="P10" s="49" t="s">
        <v>58</v>
      </c>
      <c r="Q10" s="49" t="s">
        <v>58</v>
      </c>
      <c r="R10" s="49"/>
      <c r="S10" s="50">
        <f t="shared" si="4"/>
        <v>8</v>
      </c>
      <c r="T10" s="52">
        <f t="shared" si="5"/>
        <v>0</v>
      </c>
      <c r="U10" s="52"/>
      <c r="V10" s="50">
        <f t="shared" si="6"/>
        <v>2</v>
      </c>
      <c r="W10" s="52">
        <f t="shared" si="7"/>
        <v>6</v>
      </c>
      <c r="X10" s="32">
        <f t="shared" si="12"/>
        <v>6</v>
      </c>
      <c r="Y10" s="32" t="str">
        <f t="shared" si="8"/>
        <v>N</v>
      </c>
      <c r="Z10" s="16" t="str">
        <f t="shared" si="9"/>
        <v/>
      </c>
    </row>
    <row r="11">
      <c r="A11" s="32">
        <f t="shared" si="10"/>
        <v>7</v>
      </c>
      <c r="B11" s="33" t="s">
        <v>94</v>
      </c>
      <c r="C11" s="34">
        <v>124.0</v>
      </c>
      <c r="D11" s="34">
        <v>12.0</v>
      </c>
      <c r="E11" s="35">
        <f t="shared" si="2"/>
        <v>12.77777778</v>
      </c>
      <c r="F11" s="95">
        <v>3.0</v>
      </c>
      <c r="G11" s="96">
        <v>0.0</v>
      </c>
      <c r="H11" s="97">
        <v>9.0</v>
      </c>
      <c r="I11" s="96">
        <v>0.0</v>
      </c>
      <c r="J11" s="96">
        <v>0.0</v>
      </c>
      <c r="K11" s="96">
        <v>0.0</v>
      </c>
      <c r="L11" s="98">
        <v>9.0</v>
      </c>
      <c r="M11" s="96">
        <v>0.0</v>
      </c>
      <c r="N11" s="34">
        <f t="shared" ref="N11:O11" si="16">C11+L11</f>
        <v>133</v>
      </c>
      <c r="O11" s="34">
        <f t="shared" si="16"/>
        <v>12</v>
      </c>
      <c r="P11" s="49" t="s">
        <v>58</v>
      </c>
      <c r="Q11" s="49" t="s">
        <v>58</v>
      </c>
      <c r="R11" s="49"/>
      <c r="S11" s="50">
        <f t="shared" si="4"/>
        <v>9</v>
      </c>
      <c r="T11" s="52">
        <f t="shared" si="5"/>
        <v>0</v>
      </c>
      <c r="U11" s="52"/>
      <c r="V11" s="50">
        <f t="shared" si="6"/>
        <v>1</v>
      </c>
      <c r="W11" s="52">
        <f t="shared" si="7"/>
        <v>0</v>
      </c>
      <c r="X11" s="32">
        <f t="shared" si="12"/>
        <v>7</v>
      </c>
      <c r="Y11" s="32" t="str">
        <f t="shared" si="8"/>
        <v>N</v>
      </c>
      <c r="Z11" s="16" t="str">
        <f t="shared" si="9"/>
        <v/>
      </c>
    </row>
    <row r="12">
      <c r="A12" s="32">
        <f t="shared" si="10"/>
        <v>8</v>
      </c>
      <c r="B12" s="33" t="s">
        <v>87</v>
      </c>
      <c r="C12" s="34">
        <v>122.0</v>
      </c>
      <c r="D12" s="34">
        <v>15.0</v>
      </c>
      <c r="E12" s="35">
        <f t="shared" si="2"/>
        <v>12.55555556</v>
      </c>
      <c r="F12" s="95">
        <v>1.0</v>
      </c>
      <c r="G12" s="96">
        <v>2.0</v>
      </c>
      <c r="H12" s="97">
        <v>0.0</v>
      </c>
      <c r="I12" s="96">
        <v>3.0</v>
      </c>
      <c r="J12" s="96">
        <v>2.0</v>
      </c>
      <c r="K12" s="96">
        <v>4.0</v>
      </c>
      <c r="L12" s="98">
        <v>9.0</v>
      </c>
      <c r="M12" s="96">
        <v>0.0</v>
      </c>
      <c r="N12" s="34">
        <f t="shared" ref="N12:O12" si="17">C12+L12</f>
        <v>131</v>
      </c>
      <c r="O12" s="34">
        <f t="shared" si="17"/>
        <v>15</v>
      </c>
      <c r="P12" s="49" t="s">
        <v>58</v>
      </c>
      <c r="Q12" s="49" t="s">
        <v>58</v>
      </c>
      <c r="R12" s="49"/>
      <c r="S12" s="50">
        <f t="shared" si="4"/>
        <v>9</v>
      </c>
      <c r="T12" s="52">
        <f t="shared" si="5"/>
        <v>0</v>
      </c>
      <c r="U12" s="52"/>
      <c r="V12" s="50">
        <f t="shared" si="6"/>
        <v>1</v>
      </c>
      <c r="W12" s="52">
        <f t="shared" si="7"/>
        <v>2</v>
      </c>
      <c r="X12" s="32">
        <f t="shared" si="12"/>
        <v>8</v>
      </c>
      <c r="Y12" s="32" t="str">
        <f t="shared" si="8"/>
        <v>N</v>
      </c>
      <c r="Z12" s="16" t="str">
        <f t="shared" si="9"/>
        <v/>
      </c>
    </row>
    <row r="13">
      <c r="A13" s="32">
        <f t="shared" si="10"/>
        <v>9</v>
      </c>
      <c r="B13" s="33" t="s">
        <v>83</v>
      </c>
      <c r="C13" s="34">
        <v>122.0</v>
      </c>
      <c r="D13" s="34">
        <v>12.0</v>
      </c>
      <c r="E13" s="35">
        <f t="shared" si="2"/>
        <v>13.57142857</v>
      </c>
      <c r="F13" s="95">
        <v>1.0</v>
      </c>
      <c r="G13" s="96">
        <v>2.0</v>
      </c>
      <c r="H13" s="97">
        <v>0.0</v>
      </c>
      <c r="I13" s="96">
        <v>6.0</v>
      </c>
      <c r="J13" s="96">
        <v>6.0</v>
      </c>
      <c r="K13" s="96">
        <v>4.0</v>
      </c>
      <c r="L13" s="98">
        <v>16.0</v>
      </c>
      <c r="M13" s="96">
        <v>2.0</v>
      </c>
      <c r="N13" s="34">
        <f t="shared" ref="N13:O13" si="18">C13+L13</f>
        <v>138</v>
      </c>
      <c r="O13" s="34">
        <f t="shared" si="18"/>
        <v>14</v>
      </c>
      <c r="P13" s="49" t="s">
        <v>58</v>
      </c>
      <c r="Q13" s="49" t="s">
        <v>58</v>
      </c>
      <c r="R13" s="49"/>
      <c r="S13" s="50">
        <f t="shared" si="4"/>
        <v>7</v>
      </c>
      <c r="T13" s="52">
        <f t="shared" si="5"/>
        <v>0</v>
      </c>
      <c r="U13" s="52"/>
      <c r="V13" s="50">
        <f t="shared" si="6"/>
        <v>3</v>
      </c>
      <c r="W13" s="52">
        <f t="shared" si="7"/>
        <v>-6</v>
      </c>
      <c r="X13" s="32">
        <f t="shared" si="12"/>
        <v>9</v>
      </c>
      <c r="Y13" s="32" t="str">
        <f t="shared" si="8"/>
        <v>N</v>
      </c>
      <c r="Z13" s="16" t="str">
        <f t="shared" si="9"/>
        <v/>
      </c>
    </row>
    <row r="14">
      <c r="A14" s="32">
        <f t="shared" si="10"/>
        <v>10</v>
      </c>
      <c r="B14" s="33" t="s">
        <v>98</v>
      </c>
      <c r="C14" s="34">
        <v>120.0</v>
      </c>
      <c r="D14" s="34">
        <v>15.0</v>
      </c>
      <c r="E14" s="35">
        <f t="shared" si="2"/>
        <v>12.33333333</v>
      </c>
      <c r="F14" s="95">
        <v>1.0</v>
      </c>
      <c r="G14" s="96">
        <v>3.0</v>
      </c>
      <c r="H14" s="97">
        <v>0.0</v>
      </c>
      <c r="I14" s="96">
        <v>6.0</v>
      </c>
      <c r="J14" s="96">
        <v>6.0</v>
      </c>
      <c r="K14" s="96">
        <v>6.0</v>
      </c>
      <c r="L14" s="98">
        <v>18.0</v>
      </c>
      <c r="M14" s="96">
        <v>3.0</v>
      </c>
      <c r="N14" s="34">
        <f t="shared" ref="N14:O14" si="19">C14+L14</f>
        <v>138</v>
      </c>
      <c r="O14" s="34">
        <f t="shared" si="19"/>
        <v>18</v>
      </c>
      <c r="P14" s="49" t="s">
        <v>58</v>
      </c>
      <c r="Q14" s="49" t="s">
        <v>58</v>
      </c>
      <c r="R14" s="49"/>
      <c r="S14" s="50">
        <f t="shared" si="4"/>
        <v>9</v>
      </c>
      <c r="T14" s="52">
        <f t="shared" si="5"/>
        <v>0</v>
      </c>
      <c r="U14" s="52"/>
      <c r="V14" s="50">
        <f t="shared" si="6"/>
        <v>1</v>
      </c>
      <c r="W14" s="52">
        <f t="shared" si="7"/>
        <v>-5</v>
      </c>
      <c r="X14" s="32">
        <f t="shared" si="12"/>
        <v>10</v>
      </c>
      <c r="Y14" s="32" t="str">
        <f t="shared" si="8"/>
        <v>N</v>
      </c>
      <c r="Z14" s="16" t="str">
        <f t="shared" si="9"/>
        <v/>
      </c>
    </row>
    <row r="15">
      <c r="A15" s="32">
        <f t="shared" si="10"/>
        <v>11</v>
      </c>
      <c r="B15" s="33" t="s">
        <v>89</v>
      </c>
      <c r="C15" s="34">
        <v>120.0</v>
      </c>
      <c r="D15" s="34">
        <v>12.0</v>
      </c>
      <c r="E15" s="35">
        <f t="shared" si="2"/>
        <v>12.75</v>
      </c>
      <c r="F15" s="95">
        <v>1.0</v>
      </c>
      <c r="G15" s="96">
        <v>3.0</v>
      </c>
      <c r="H15" s="97">
        <v>0.0</v>
      </c>
      <c r="I15" s="96">
        <v>1.0</v>
      </c>
      <c r="J15" s="96">
        <v>6.0</v>
      </c>
      <c r="K15" s="96">
        <v>4.0</v>
      </c>
      <c r="L15" s="98">
        <v>11.0</v>
      </c>
      <c r="M15" s="96">
        <v>1.0</v>
      </c>
      <c r="N15" s="34">
        <f t="shared" ref="N15:O15" si="20">C15+L15</f>
        <v>131</v>
      </c>
      <c r="O15" s="34">
        <f t="shared" si="20"/>
        <v>13</v>
      </c>
      <c r="P15" s="49" t="s">
        <v>58</v>
      </c>
      <c r="Q15" s="49" t="s">
        <v>58</v>
      </c>
      <c r="R15" s="49"/>
      <c r="S15" s="50">
        <f t="shared" si="4"/>
        <v>8</v>
      </c>
      <c r="T15" s="52">
        <f t="shared" si="5"/>
        <v>0</v>
      </c>
      <c r="U15" s="52"/>
      <c r="V15" s="50">
        <f t="shared" si="6"/>
        <v>2</v>
      </c>
      <c r="W15" s="52">
        <f t="shared" si="7"/>
        <v>4</v>
      </c>
      <c r="X15" s="32">
        <f t="shared" si="12"/>
        <v>11</v>
      </c>
      <c r="Y15" s="32" t="str">
        <f t="shared" si="8"/>
        <v>N</v>
      </c>
      <c r="Z15" s="16" t="str">
        <f t="shared" si="9"/>
        <v/>
      </c>
    </row>
    <row r="16">
      <c r="A16" s="32">
        <f t="shared" si="10"/>
        <v>12</v>
      </c>
      <c r="B16" s="33" t="s">
        <v>97</v>
      </c>
      <c r="C16" s="34">
        <v>119.0</v>
      </c>
      <c r="D16" s="34">
        <v>13.0</v>
      </c>
      <c r="E16" s="35">
        <f t="shared" si="2"/>
        <v>13.14285714</v>
      </c>
      <c r="F16" s="95">
        <v>1.0</v>
      </c>
      <c r="G16" s="96">
        <v>3.0</v>
      </c>
      <c r="H16" s="97">
        <v>0.0</v>
      </c>
      <c r="I16" s="96">
        <v>1.0</v>
      </c>
      <c r="J16" s="96">
        <v>2.0</v>
      </c>
      <c r="K16" s="96">
        <v>6.0</v>
      </c>
      <c r="L16" s="98">
        <v>9.0</v>
      </c>
      <c r="M16" s="96">
        <v>1.0</v>
      </c>
      <c r="N16" s="34">
        <f t="shared" ref="N16:O16" si="21">C16+L16</f>
        <v>128</v>
      </c>
      <c r="O16" s="34">
        <f t="shared" si="21"/>
        <v>14</v>
      </c>
      <c r="P16" s="49" t="s">
        <v>58</v>
      </c>
      <c r="Q16" s="49" t="s">
        <v>58</v>
      </c>
      <c r="R16" s="49"/>
      <c r="S16" s="50">
        <f t="shared" si="4"/>
        <v>7</v>
      </c>
      <c r="T16" s="52">
        <f t="shared" si="5"/>
        <v>0</v>
      </c>
      <c r="U16" s="52"/>
      <c r="V16" s="50">
        <f t="shared" si="6"/>
        <v>3</v>
      </c>
      <c r="W16" s="52">
        <f t="shared" si="7"/>
        <v>-6</v>
      </c>
      <c r="X16" s="32">
        <f t="shared" si="12"/>
        <v>12</v>
      </c>
      <c r="Y16" s="32" t="str">
        <f t="shared" si="8"/>
        <v>N</v>
      </c>
      <c r="Z16" s="16" t="str">
        <f t="shared" si="9"/>
        <v/>
      </c>
    </row>
    <row r="17">
      <c r="A17" s="32">
        <f t="shared" si="10"/>
        <v>13</v>
      </c>
      <c r="B17" s="33" t="s">
        <v>110</v>
      </c>
      <c r="C17" s="34">
        <v>119.0</v>
      </c>
      <c r="D17" s="34">
        <v>13.0</v>
      </c>
      <c r="E17" s="35">
        <f t="shared" si="2"/>
        <v>11.9</v>
      </c>
      <c r="F17" s="95">
        <v>1.0</v>
      </c>
      <c r="G17" s="96">
        <v>3.0</v>
      </c>
      <c r="H17" s="97">
        <v>0.0</v>
      </c>
      <c r="I17" s="96">
        <v>6.0</v>
      </c>
      <c r="J17" s="96">
        <v>2.0</v>
      </c>
      <c r="K17" s="96">
        <v>4.0</v>
      </c>
      <c r="L17" s="98">
        <v>12.0</v>
      </c>
      <c r="M17" s="96">
        <v>1.0</v>
      </c>
      <c r="N17" s="34">
        <f t="shared" ref="N17:O17" si="22">C17+L17</f>
        <v>131</v>
      </c>
      <c r="O17" s="34">
        <f t="shared" si="22"/>
        <v>14</v>
      </c>
      <c r="P17" s="49" t="s">
        <v>58</v>
      </c>
      <c r="Q17" s="49" t="s">
        <v>58</v>
      </c>
      <c r="R17" s="49"/>
      <c r="S17" s="50">
        <f t="shared" si="4"/>
        <v>10</v>
      </c>
      <c r="T17" s="52">
        <f t="shared" si="5"/>
        <v>0</v>
      </c>
      <c r="U17" s="52"/>
      <c r="V17" s="50">
        <f t="shared" si="6"/>
        <v>0</v>
      </c>
      <c r="W17" s="52">
        <f t="shared" si="7"/>
        <v>-5</v>
      </c>
      <c r="X17" s="32">
        <f t="shared" si="12"/>
        <v>13</v>
      </c>
      <c r="Y17" s="32" t="str">
        <f t="shared" si="8"/>
        <v>Y</v>
      </c>
      <c r="Z17" s="16" t="str">
        <f t="shared" si="9"/>
        <v/>
      </c>
    </row>
    <row r="18">
      <c r="A18" s="32">
        <f t="shared" si="10"/>
        <v>14</v>
      </c>
      <c r="B18" s="33" t="s">
        <v>65</v>
      </c>
      <c r="C18" s="34">
        <v>117.0</v>
      </c>
      <c r="D18" s="34">
        <v>13.0</v>
      </c>
      <c r="E18" s="35">
        <f t="shared" si="2"/>
        <v>14.4</v>
      </c>
      <c r="F18" s="95">
        <v>3.0</v>
      </c>
      <c r="G18" s="96">
        <v>0.0</v>
      </c>
      <c r="H18" s="97">
        <v>9.0</v>
      </c>
      <c r="I18" s="96">
        <v>0.0</v>
      </c>
      <c r="J18" s="96">
        <v>0.0</v>
      </c>
      <c r="K18" s="96">
        <v>0.0</v>
      </c>
      <c r="L18" s="98">
        <v>9.0</v>
      </c>
      <c r="M18" s="96">
        <v>0.0</v>
      </c>
      <c r="N18" s="34">
        <f t="shared" ref="N18:O18" si="23">C18+L18</f>
        <v>126</v>
      </c>
      <c r="O18" s="34">
        <f t="shared" si="23"/>
        <v>13</v>
      </c>
      <c r="P18" s="49" t="s">
        <v>58</v>
      </c>
      <c r="Q18" s="49" t="s">
        <v>58</v>
      </c>
      <c r="R18" s="49"/>
      <c r="S18" s="50">
        <f t="shared" si="4"/>
        <v>5</v>
      </c>
      <c r="T18" s="52">
        <f t="shared" si="5"/>
        <v>0</v>
      </c>
      <c r="U18" s="52"/>
      <c r="V18" s="50">
        <f t="shared" si="6"/>
        <v>5</v>
      </c>
      <c r="W18" s="52">
        <f t="shared" si="7"/>
        <v>-5</v>
      </c>
      <c r="X18" s="32">
        <f t="shared" si="12"/>
        <v>14</v>
      </c>
      <c r="Y18" s="32" t="str">
        <f t="shared" si="8"/>
        <v>N</v>
      </c>
      <c r="Z18" s="16" t="str">
        <f t="shared" si="9"/>
        <v/>
      </c>
    </row>
    <row r="19">
      <c r="A19" s="32">
        <f t="shared" si="10"/>
        <v>15</v>
      </c>
      <c r="B19" s="33" t="s">
        <v>125</v>
      </c>
      <c r="C19" s="34">
        <v>117.0</v>
      </c>
      <c r="D19" s="34">
        <v>10.0</v>
      </c>
      <c r="E19" s="35">
        <f t="shared" si="2"/>
        <v>12.85714286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4">C19+L19</f>
        <v>126</v>
      </c>
      <c r="O19" s="34">
        <f t="shared" si="24"/>
        <v>10</v>
      </c>
      <c r="P19" s="49" t="s">
        <v>58</v>
      </c>
      <c r="Q19" s="49" t="s">
        <v>58</v>
      </c>
      <c r="R19" s="49"/>
      <c r="S19" s="50">
        <f t="shared" si="4"/>
        <v>7</v>
      </c>
      <c r="T19" s="52">
        <f t="shared" si="5"/>
        <v>0</v>
      </c>
      <c r="U19" s="52"/>
      <c r="V19" s="50">
        <f t="shared" si="6"/>
        <v>3</v>
      </c>
      <c r="W19" s="52">
        <f t="shared" si="7"/>
        <v>-2</v>
      </c>
      <c r="X19" s="32">
        <f t="shared" si="12"/>
        <v>15</v>
      </c>
      <c r="Y19" s="32" t="str">
        <f t="shared" si="8"/>
        <v>N</v>
      </c>
      <c r="Z19" s="16" t="str">
        <f t="shared" si="9"/>
        <v/>
      </c>
    </row>
    <row r="20">
      <c r="A20" s="32">
        <f t="shared" si="10"/>
        <v>16</v>
      </c>
      <c r="B20" s="33" t="s">
        <v>90</v>
      </c>
      <c r="C20" s="34">
        <v>116.0</v>
      </c>
      <c r="D20" s="34">
        <v>13.0</v>
      </c>
      <c r="E20" s="35">
        <f t="shared" si="2"/>
        <v>11.44444444</v>
      </c>
      <c r="F20" s="95">
        <v>1.0</v>
      </c>
      <c r="G20" s="96">
        <v>4.0</v>
      </c>
      <c r="H20" s="97">
        <v>0.0</v>
      </c>
      <c r="I20" s="96">
        <v>3.0</v>
      </c>
      <c r="J20" s="96">
        <v>6.0</v>
      </c>
      <c r="K20" s="96">
        <v>6.0</v>
      </c>
      <c r="L20" s="98">
        <v>15.0</v>
      </c>
      <c r="M20" s="96">
        <v>2.0</v>
      </c>
      <c r="N20" s="34">
        <f t="shared" ref="N20:O20" si="25">C20+L20</f>
        <v>131</v>
      </c>
      <c r="O20" s="34">
        <f t="shared" si="25"/>
        <v>15</v>
      </c>
      <c r="P20" s="49" t="s">
        <v>58</v>
      </c>
      <c r="Q20" s="49" t="s">
        <v>58</v>
      </c>
      <c r="R20" s="49"/>
      <c r="S20" s="50">
        <f t="shared" si="4"/>
        <v>9</v>
      </c>
      <c r="T20" s="52">
        <f t="shared" si="5"/>
        <v>1</v>
      </c>
      <c r="U20" s="52"/>
      <c r="V20" s="50">
        <f t="shared" si="6"/>
        <v>0</v>
      </c>
      <c r="W20" s="52">
        <f t="shared" si="7"/>
        <v>4</v>
      </c>
      <c r="X20" s="32">
        <f t="shared" si="12"/>
        <v>16</v>
      </c>
      <c r="Y20" s="32" t="str">
        <f t="shared" si="8"/>
        <v>N</v>
      </c>
      <c r="Z20" s="16" t="str">
        <f t="shared" si="9"/>
        <v/>
      </c>
    </row>
    <row r="21">
      <c r="A21" s="32">
        <f t="shared" si="10"/>
        <v>17</v>
      </c>
      <c r="B21" s="33" t="s">
        <v>91</v>
      </c>
      <c r="C21" s="34">
        <v>116.0</v>
      </c>
      <c r="D21" s="34">
        <v>12.0</v>
      </c>
      <c r="E21" s="35">
        <f t="shared" si="2"/>
        <v>11.44444444</v>
      </c>
      <c r="F21" s="95">
        <v>1.0</v>
      </c>
      <c r="G21" s="96">
        <v>4.0</v>
      </c>
      <c r="H21" s="97">
        <v>0.0</v>
      </c>
      <c r="I21" s="96">
        <v>6.0</v>
      </c>
      <c r="J21" s="96">
        <v>3.0</v>
      </c>
      <c r="K21" s="96">
        <v>6.0</v>
      </c>
      <c r="L21" s="98">
        <v>15.0</v>
      </c>
      <c r="M21" s="96">
        <v>2.0</v>
      </c>
      <c r="N21" s="34">
        <f t="shared" ref="N21:O21" si="26">C21+L21</f>
        <v>131</v>
      </c>
      <c r="O21" s="34">
        <f t="shared" si="26"/>
        <v>14</v>
      </c>
      <c r="P21" s="49" t="s">
        <v>58</v>
      </c>
      <c r="Q21" s="49" t="s">
        <v>58</v>
      </c>
      <c r="R21" s="49"/>
      <c r="S21" s="50">
        <f t="shared" si="4"/>
        <v>9</v>
      </c>
      <c r="T21" s="52">
        <f t="shared" si="5"/>
        <v>1</v>
      </c>
      <c r="U21" s="52"/>
      <c r="V21" s="50">
        <f t="shared" si="6"/>
        <v>0</v>
      </c>
      <c r="W21" s="52">
        <f t="shared" si="7"/>
        <v>0</v>
      </c>
      <c r="X21" s="32">
        <f t="shared" si="12"/>
        <v>17</v>
      </c>
      <c r="Y21" s="32" t="str">
        <f t="shared" si="8"/>
        <v>N</v>
      </c>
      <c r="Z21" s="16" t="str">
        <f t="shared" si="9"/>
        <v/>
      </c>
    </row>
    <row r="22">
      <c r="A22" s="32">
        <f t="shared" si="10"/>
        <v>18</v>
      </c>
      <c r="B22" s="33" t="s">
        <v>99</v>
      </c>
      <c r="C22" s="34">
        <v>115.0</v>
      </c>
      <c r="D22" s="34">
        <v>11.0</v>
      </c>
      <c r="E22" s="35">
        <f t="shared" si="2"/>
        <v>12.125</v>
      </c>
      <c r="F22" s="95">
        <v>1.0</v>
      </c>
      <c r="G22" s="96">
        <v>4.0</v>
      </c>
      <c r="H22" s="97">
        <v>0.0</v>
      </c>
      <c r="I22" s="96">
        <v>3.0</v>
      </c>
      <c r="J22" s="96">
        <v>3.0</v>
      </c>
      <c r="K22" s="96">
        <v>4.0</v>
      </c>
      <c r="L22" s="98">
        <v>10.0</v>
      </c>
      <c r="M22" s="96">
        <v>0.0</v>
      </c>
      <c r="N22" s="34">
        <f t="shared" ref="N22:O22" si="27">C22+L22</f>
        <v>125</v>
      </c>
      <c r="O22" s="34">
        <f t="shared" si="27"/>
        <v>11</v>
      </c>
      <c r="P22" s="49" t="s">
        <v>58</v>
      </c>
      <c r="Q22" s="49" t="s">
        <v>58</v>
      </c>
      <c r="R22" s="49"/>
      <c r="S22" s="50">
        <f t="shared" si="4"/>
        <v>8</v>
      </c>
      <c r="T22" s="52">
        <f t="shared" si="5"/>
        <v>0</v>
      </c>
      <c r="U22" s="52"/>
      <c r="V22" s="50">
        <f t="shared" si="6"/>
        <v>2</v>
      </c>
      <c r="W22" s="52">
        <f t="shared" si="7"/>
        <v>6</v>
      </c>
      <c r="X22" s="32">
        <f t="shared" si="12"/>
        <v>18</v>
      </c>
      <c r="Y22" s="32" t="str">
        <f t="shared" si="8"/>
        <v>N</v>
      </c>
      <c r="Z22" s="16" t="str">
        <f t="shared" si="9"/>
        <v/>
      </c>
    </row>
    <row r="23">
      <c r="A23" s="32">
        <f t="shared" si="10"/>
        <v>19</v>
      </c>
      <c r="B23" s="33" t="s">
        <v>106</v>
      </c>
      <c r="C23" s="34">
        <v>115.0</v>
      </c>
      <c r="D23" s="34">
        <v>11.0</v>
      </c>
      <c r="E23" s="35">
        <f t="shared" si="2"/>
        <v>12</v>
      </c>
      <c r="F23" s="95">
        <v>1.0</v>
      </c>
      <c r="G23" s="96">
        <v>4.0</v>
      </c>
      <c r="H23" s="97">
        <v>0.0</v>
      </c>
      <c r="I23" s="96">
        <v>6.0</v>
      </c>
      <c r="J23" s="96">
        <v>6.0</v>
      </c>
      <c r="K23" s="96">
        <v>4.0</v>
      </c>
      <c r="L23" s="98">
        <v>16.0</v>
      </c>
      <c r="M23" s="96">
        <v>2.0</v>
      </c>
      <c r="N23" s="34">
        <f t="shared" ref="N23:O23" si="28">C23+L23</f>
        <v>131</v>
      </c>
      <c r="O23" s="34">
        <f t="shared" si="28"/>
        <v>13</v>
      </c>
      <c r="P23" s="49" t="s">
        <v>58</v>
      </c>
      <c r="Q23" s="49" t="s">
        <v>58</v>
      </c>
      <c r="R23" s="49"/>
      <c r="S23" s="50">
        <f t="shared" si="4"/>
        <v>7</v>
      </c>
      <c r="T23" s="52">
        <f t="shared" si="5"/>
        <v>1</v>
      </c>
      <c r="U23" s="52"/>
      <c r="V23" s="50">
        <f t="shared" si="6"/>
        <v>2</v>
      </c>
      <c r="W23" s="52">
        <f t="shared" si="7"/>
        <v>13</v>
      </c>
      <c r="X23" s="32">
        <f t="shared" si="12"/>
        <v>19</v>
      </c>
      <c r="Y23" s="32" t="str">
        <f t="shared" si="8"/>
        <v>N</v>
      </c>
      <c r="Z23" s="16" t="str">
        <f t="shared" si="9"/>
        <v/>
      </c>
    </row>
    <row r="24">
      <c r="A24" s="32">
        <f t="shared" si="10"/>
        <v>20</v>
      </c>
      <c r="B24" s="33" t="s">
        <v>111</v>
      </c>
      <c r="C24" s="34">
        <v>115.0</v>
      </c>
      <c r="D24" s="34">
        <v>9.0</v>
      </c>
      <c r="E24" s="35">
        <f t="shared" si="2"/>
        <v>12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9">C24+L24</f>
        <v>124</v>
      </c>
      <c r="O24" s="34">
        <f t="shared" si="29"/>
        <v>9</v>
      </c>
      <c r="P24" s="49" t="s">
        <v>58</v>
      </c>
      <c r="Q24" s="49" t="s">
        <v>58</v>
      </c>
      <c r="R24" s="49"/>
      <c r="S24" s="50">
        <f t="shared" si="4"/>
        <v>7</v>
      </c>
      <c r="T24" s="52">
        <f t="shared" si="5"/>
        <v>1</v>
      </c>
      <c r="U24" s="52"/>
      <c r="V24" s="50">
        <f t="shared" si="6"/>
        <v>2</v>
      </c>
      <c r="W24" s="52">
        <f t="shared" si="7"/>
        <v>2</v>
      </c>
      <c r="X24" s="32">
        <f t="shared" si="12"/>
        <v>20</v>
      </c>
      <c r="Y24" s="32" t="str">
        <f t="shared" si="8"/>
        <v>N</v>
      </c>
      <c r="Z24" s="16" t="str">
        <f t="shared" si="9"/>
        <v/>
      </c>
    </row>
    <row r="25">
      <c r="A25" s="32">
        <f t="shared" si="10"/>
        <v>21</v>
      </c>
      <c r="B25" s="33" t="s">
        <v>50</v>
      </c>
      <c r="C25" s="34">
        <v>114.0</v>
      </c>
      <c r="D25" s="34">
        <v>11.0</v>
      </c>
      <c r="E25" s="35">
        <f t="shared" si="2"/>
        <v>11.4</v>
      </c>
      <c r="F25" s="95">
        <v>1.0</v>
      </c>
      <c r="G25" s="96">
        <v>5.0</v>
      </c>
      <c r="H25" s="97">
        <v>0.0</v>
      </c>
      <c r="I25" s="96">
        <v>6.0</v>
      </c>
      <c r="J25" s="96">
        <v>2.0</v>
      </c>
      <c r="K25" s="96">
        <v>0.0</v>
      </c>
      <c r="L25" s="98">
        <v>8.0</v>
      </c>
      <c r="M25" s="96">
        <v>1.0</v>
      </c>
      <c r="N25" s="34">
        <f t="shared" ref="N25:O25" si="30">C25+L25</f>
        <v>122</v>
      </c>
      <c r="O25" s="34">
        <f t="shared" si="30"/>
        <v>12</v>
      </c>
      <c r="P25" s="49" t="s">
        <v>58</v>
      </c>
      <c r="Q25" s="49" t="s">
        <v>58</v>
      </c>
      <c r="R25" s="49"/>
      <c r="S25" s="50">
        <f t="shared" si="4"/>
        <v>10</v>
      </c>
      <c r="T25" s="52">
        <f t="shared" si="5"/>
        <v>0</v>
      </c>
      <c r="U25" s="52"/>
      <c r="V25" s="50">
        <f t="shared" si="6"/>
        <v>0</v>
      </c>
      <c r="W25" s="52">
        <f t="shared" si="7"/>
        <v>0</v>
      </c>
      <c r="X25" s="32">
        <f t="shared" si="12"/>
        <v>21</v>
      </c>
      <c r="Y25" s="32" t="str">
        <f t="shared" si="8"/>
        <v>Y</v>
      </c>
      <c r="Z25" s="16" t="str">
        <f t="shared" si="9"/>
        <v/>
      </c>
    </row>
    <row r="26">
      <c r="A26" s="32">
        <f t="shared" si="10"/>
        <v>22</v>
      </c>
      <c r="B26" s="33" t="s">
        <v>60</v>
      </c>
      <c r="C26" s="34">
        <v>113.0</v>
      </c>
      <c r="D26" s="34">
        <v>12.0</v>
      </c>
      <c r="E26" s="35">
        <f t="shared" si="2"/>
        <v>11.3</v>
      </c>
      <c r="F26" s="95">
        <v>1.0</v>
      </c>
      <c r="G26" s="96">
        <v>5.0</v>
      </c>
      <c r="H26" s="97">
        <v>0.0</v>
      </c>
      <c r="I26" s="96">
        <v>0.0</v>
      </c>
      <c r="J26" s="96">
        <v>6.0</v>
      </c>
      <c r="K26" s="96">
        <v>0.0</v>
      </c>
      <c r="L26" s="98">
        <v>6.0</v>
      </c>
      <c r="M26" s="96">
        <v>1.0</v>
      </c>
      <c r="N26" s="34">
        <f t="shared" ref="N26:O26" si="31">C26+L26</f>
        <v>119</v>
      </c>
      <c r="O26" s="34">
        <f t="shared" si="31"/>
        <v>13</v>
      </c>
      <c r="P26" s="49" t="s">
        <v>58</v>
      </c>
      <c r="Q26" s="49" t="s">
        <v>58</v>
      </c>
      <c r="R26" s="49"/>
      <c r="S26" s="50">
        <f t="shared" si="4"/>
        <v>10</v>
      </c>
      <c r="T26" s="52">
        <f t="shared" si="5"/>
        <v>0</v>
      </c>
      <c r="U26" s="52"/>
      <c r="V26" s="50">
        <f t="shared" si="6"/>
        <v>0</v>
      </c>
      <c r="W26" s="52">
        <f t="shared" si="7"/>
        <v>1</v>
      </c>
      <c r="X26" s="32">
        <f t="shared" si="12"/>
        <v>22</v>
      </c>
      <c r="Y26" s="32" t="str">
        <f t="shared" si="8"/>
        <v>Y</v>
      </c>
      <c r="Z26" s="16" t="str">
        <f t="shared" si="9"/>
        <v/>
      </c>
    </row>
    <row r="27">
      <c r="A27" s="32">
        <f t="shared" si="10"/>
        <v>23</v>
      </c>
      <c r="B27" s="33" t="s">
        <v>134</v>
      </c>
      <c r="C27" s="34">
        <v>113.0</v>
      </c>
      <c r="D27" s="34">
        <v>10.0</v>
      </c>
      <c r="E27" s="35">
        <f t="shared" si="2"/>
        <v>14.75</v>
      </c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2">C27+L27</f>
        <v>122</v>
      </c>
      <c r="O27" s="34">
        <f t="shared" si="32"/>
        <v>10</v>
      </c>
      <c r="P27" s="49" t="s">
        <v>58</v>
      </c>
      <c r="Q27" s="49" t="s">
        <v>58</v>
      </c>
      <c r="R27" s="49"/>
      <c r="S27" s="50">
        <f t="shared" si="4"/>
        <v>4</v>
      </c>
      <c r="T27" s="52">
        <f t="shared" si="5"/>
        <v>0</v>
      </c>
      <c r="U27" s="52"/>
      <c r="V27" s="50">
        <f t="shared" si="6"/>
        <v>6</v>
      </c>
      <c r="W27" s="52">
        <f t="shared" si="7"/>
        <v>-7</v>
      </c>
      <c r="X27" s="32">
        <f t="shared" si="12"/>
        <v>23</v>
      </c>
      <c r="Y27" s="32" t="str">
        <f t="shared" si="8"/>
        <v>N</v>
      </c>
      <c r="Z27" s="16" t="str">
        <f t="shared" si="9"/>
        <v/>
      </c>
    </row>
    <row r="28">
      <c r="A28" s="32">
        <f t="shared" si="10"/>
        <v>24</v>
      </c>
      <c r="B28" s="33" t="s">
        <v>114</v>
      </c>
      <c r="C28" s="34">
        <v>113.0</v>
      </c>
      <c r="D28" s="34">
        <v>6.0</v>
      </c>
      <c r="E28" s="35">
        <f t="shared" si="2"/>
        <v>11.375</v>
      </c>
      <c r="F28" s="95">
        <v>1.0</v>
      </c>
      <c r="G28" s="96">
        <v>5.0</v>
      </c>
      <c r="H28" s="97">
        <v>0.0</v>
      </c>
      <c r="I28" s="96">
        <v>0.0</v>
      </c>
      <c r="J28" s="96">
        <v>2.0</v>
      </c>
      <c r="K28" s="96">
        <v>6.0</v>
      </c>
      <c r="L28" s="98">
        <v>8.0</v>
      </c>
      <c r="M28" s="96">
        <v>1.0</v>
      </c>
      <c r="N28" s="34">
        <f t="shared" ref="N28:O28" si="33">C28+L28</f>
        <v>121</v>
      </c>
      <c r="O28" s="34">
        <f t="shared" si="33"/>
        <v>7</v>
      </c>
      <c r="P28" s="49" t="s">
        <v>58</v>
      </c>
      <c r="Q28" s="49" t="s">
        <v>58</v>
      </c>
      <c r="R28" s="49"/>
      <c r="S28" s="50">
        <f t="shared" si="4"/>
        <v>8</v>
      </c>
      <c r="T28" s="52">
        <f t="shared" si="5"/>
        <v>1</v>
      </c>
      <c r="U28" s="52"/>
      <c r="V28" s="50">
        <f t="shared" si="6"/>
        <v>1</v>
      </c>
      <c r="W28" s="52">
        <f t="shared" si="7"/>
        <v>1</v>
      </c>
      <c r="X28" s="32">
        <f t="shared" si="12"/>
        <v>24</v>
      </c>
      <c r="Y28" s="32" t="str">
        <f t="shared" si="8"/>
        <v>N</v>
      </c>
      <c r="Z28" s="16" t="str">
        <f t="shared" si="9"/>
        <v/>
      </c>
    </row>
    <row r="29">
      <c r="A29" s="32">
        <f t="shared" si="10"/>
        <v>25</v>
      </c>
      <c r="B29" s="33" t="s">
        <v>45</v>
      </c>
      <c r="C29" s="34">
        <v>112.0</v>
      </c>
      <c r="D29" s="34">
        <v>10.0</v>
      </c>
      <c r="E29" s="35">
        <f t="shared" si="2"/>
        <v>13.4</v>
      </c>
      <c r="F29" s="95">
        <v>1.0</v>
      </c>
      <c r="G29" s="96">
        <v>5.0</v>
      </c>
      <c r="H29" s="97">
        <v>0.0</v>
      </c>
      <c r="I29" s="96">
        <v>6.0</v>
      </c>
      <c r="J29" s="96">
        <v>6.0</v>
      </c>
      <c r="K29" s="96">
        <v>6.0</v>
      </c>
      <c r="L29" s="98">
        <v>18.0</v>
      </c>
      <c r="M29" s="96">
        <v>3.0</v>
      </c>
      <c r="N29" s="34">
        <f t="shared" ref="N29:O29" si="34">C29+L29</f>
        <v>130</v>
      </c>
      <c r="O29" s="34">
        <f t="shared" si="34"/>
        <v>13</v>
      </c>
      <c r="P29" s="49" t="s">
        <v>58</v>
      </c>
      <c r="Q29" s="49" t="s">
        <v>58</v>
      </c>
      <c r="R29" s="49"/>
      <c r="S29" s="50">
        <f t="shared" si="4"/>
        <v>5</v>
      </c>
      <c r="T29" s="52">
        <f t="shared" si="5"/>
        <v>0</v>
      </c>
      <c r="U29" s="52"/>
      <c r="V29" s="50">
        <f t="shared" si="6"/>
        <v>5</v>
      </c>
      <c r="W29" s="52">
        <f t="shared" si="7"/>
        <v>-7</v>
      </c>
      <c r="X29" s="32">
        <f t="shared" si="12"/>
        <v>25</v>
      </c>
      <c r="Y29" s="32" t="str">
        <f t="shared" si="8"/>
        <v>N</v>
      </c>
      <c r="Z29" s="16" t="str">
        <f t="shared" si="9"/>
        <v/>
      </c>
    </row>
    <row r="30">
      <c r="A30" s="32">
        <f t="shared" si="10"/>
        <v>26</v>
      </c>
      <c r="B30" s="33" t="s">
        <v>132</v>
      </c>
      <c r="C30" s="34">
        <v>112.0</v>
      </c>
      <c r="D30" s="34">
        <v>10.0</v>
      </c>
      <c r="E30" s="35">
        <f t="shared" si="2"/>
        <v>12.66666667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5">C30+L30</f>
        <v>121</v>
      </c>
      <c r="O30" s="34">
        <f t="shared" si="35"/>
        <v>10</v>
      </c>
      <c r="P30" s="49" t="s">
        <v>58</v>
      </c>
      <c r="Q30" s="49" t="s">
        <v>58</v>
      </c>
      <c r="R30" s="49"/>
      <c r="S30" s="50">
        <f t="shared" si="4"/>
        <v>6</v>
      </c>
      <c r="T30" s="52">
        <f t="shared" si="5"/>
        <v>0</v>
      </c>
      <c r="U30" s="52"/>
      <c r="V30" s="50">
        <f t="shared" si="6"/>
        <v>4</v>
      </c>
      <c r="W30" s="52">
        <f t="shared" si="7"/>
        <v>-7</v>
      </c>
      <c r="X30" s="32">
        <f t="shared" si="12"/>
        <v>26</v>
      </c>
      <c r="Y30" s="32" t="str">
        <f t="shared" si="8"/>
        <v>N</v>
      </c>
      <c r="Z30" s="16" t="str">
        <f t="shared" si="9"/>
        <v/>
      </c>
    </row>
    <row r="31">
      <c r="A31" s="32">
        <f t="shared" si="10"/>
        <v>27</v>
      </c>
      <c r="B31" s="33" t="s">
        <v>113</v>
      </c>
      <c r="C31" s="34">
        <v>112.0</v>
      </c>
      <c r="D31" s="34">
        <v>9.0</v>
      </c>
      <c r="E31" s="35">
        <f t="shared" si="2"/>
        <v>12.66666667</v>
      </c>
      <c r="F31" s="95">
        <v>1.0</v>
      </c>
      <c r="G31" s="96">
        <v>6.0</v>
      </c>
      <c r="H31" s="97">
        <v>0.0</v>
      </c>
      <c r="I31" s="96">
        <v>7.0</v>
      </c>
      <c r="J31" s="96">
        <v>7.0</v>
      </c>
      <c r="K31" s="96">
        <v>6.0</v>
      </c>
      <c r="L31" s="98">
        <v>20.0</v>
      </c>
      <c r="M31" s="96">
        <v>3.0</v>
      </c>
      <c r="N31" s="34">
        <f t="shared" ref="N31:O31" si="36">C31+L31</f>
        <v>132</v>
      </c>
      <c r="O31" s="34">
        <f t="shared" si="36"/>
        <v>12</v>
      </c>
      <c r="P31" s="49" t="s">
        <v>58</v>
      </c>
      <c r="Q31" s="49" t="s">
        <v>58</v>
      </c>
      <c r="R31" s="49"/>
      <c r="S31" s="50">
        <f t="shared" si="4"/>
        <v>6</v>
      </c>
      <c r="T31" s="52">
        <f t="shared" si="5"/>
        <v>0</v>
      </c>
      <c r="U31" s="52"/>
      <c r="V31" s="50">
        <f t="shared" si="6"/>
        <v>4</v>
      </c>
      <c r="W31" s="52">
        <f t="shared" si="7"/>
        <v>8</v>
      </c>
      <c r="X31" s="32">
        <f t="shared" si="12"/>
        <v>27</v>
      </c>
      <c r="Y31" s="32" t="str">
        <f t="shared" si="8"/>
        <v>N</v>
      </c>
      <c r="Z31" s="16" t="str">
        <f t="shared" si="9"/>
        <v/>
      </c>
    </row>
    <row r="32">
      <c r="A32" s="32">
        <f t="shared" si="10"/>
        <v>28</v>
      </c>
      <c r="B32" s="33" t="s">
        <v>103</v>
      </c>
      <c r="C32" s="34">
        <v>112.0</v>
      </c>
      <c r="D32" s="34">
        <v>8.0</v>
      </c>
      <c r="E32" s="35">
        <f t="shared" si="2"/>
        <v>11.25</v>
      </c>
      <c r="F32" s="95">
        <v>1.0</v>
      </c>
      <c r="G32" s="96">
        <v>6.0</v>
      </c>
      <c r="H32" s="97">
        <v>0.0</v>
      </c>
      <c r="I32" s="96">
        <v>6.0</v>
      </c>
      <c r="J32" s="96">
        <v>6.0</v>
      </c>
      <c r="K32" s="96">
        <v>6.0</v>
      </c>
      <c r="L32" s="98">
        <v>18.0</v>
      </c>
      <c r="M32" s="96">
        <v>1.0</v>
      </c>
      <c r="N32" s="34">
        <f t="shared" ref="N32:O32" si="37">C32+L32</f>
        <v>130</v>
      </c>
      <c r="O32" s="34">
        <f t="shared" si="37"/>
        <v>9</v>
      </c>
      <c r="P32" s="49" t="s">
        <v>58</v>
      </c>
      <c r="Q32" s="49" t="s">
        <v>58</v>
      </c>
      <c r="R32" s="49"/>
      <c r="S32" s="50">
        <f t="shared" si="4"/>
        <v>8</v>
      </c>
      <c r="T32" s="52">
        <f t="shared" si="5"/>
        <v>1</v>
      </c>
      <c r="U32" s="52"/>
      <c r="V32" s="50">
        <f t="shared" si="6"/>
        <v>1</v>
      </c>
      <c r="W32" s="52">
        <f t="shared" si="7"/>
        <v>0</v>
      </c>
      <c r="X32" s="32">
        <f t="shared" si="12"/>
        <v>28</v>
      </c>
      <c r="Y32" s="32" t="str">
        <f t="shared" si="8"/>
        <v>N</v>
      </c>
      <c r="Z32" s="16" t="str">
        <f t="shared" si="9"/>
        <v/>
      </c>
    </row>
    <row r="33">
      <c r="A33" s="32">
        <f t="shared" si="10"/>
        <v>29</v>
      </c>
      <c r="B33" s="33" t="s">
        <v>49</v>
      </c>
      <c r="C33" s="34">
        <v>110.0</v>
      </c>
      <c r="D33" s="34">
        <v>12.0</v>
      </c>
      <c r="E33" s="35">
        <f t="shared" si="2"/>
        <v>11.22222222</v>
      </c>
      <c r="F33" s="95">
        <v>1.0</v>
      </c>
      <c r="G33" s="96">
        <v>6.0</v>
      </c>
      <c r="H33" s="97">
        <v>0.0</v>
      </c>
      <c r="I33" s="96">
        <v>7.0</v>
      </c>
      <c r="J33" s="96">
        <v>6.0</v>
      </c>
      <c r="K33" s="96">
        <v>1.0</v>
      </c>
      <c r="L33" s="98">
        <v>14.0</v>
      </c>
      <c r="M33" s="96">
        <v>1.0</v>
      </c>
      <c r="N33" s="34">
        <f t="shared" ref="N33:O33" si="38">C33+L33</f>
        <v>124</v>
      </c>
      <c r="O33" s="34">
        <f t="shared" si="38"/>
        <v>13</v>
      </c>
      <c r="P33" s="49" t="s">
        <v>58</v>
      </c>
      <c r="Q33" s="49" t="s">
        <v>58</v>
      </c>
      <c r="R33" s="49"/>
      <c r="S33" s="50">
        <f t="shared" si="4"/>
        <v>9</v>
      </c>
      <c r="T33" s="52">
        <f t="shared" si="5"/>
        <v>0</v>
      </c>
      <c r="U33" s="52"/>
      <c r="V33" s="50">
        <f t="shared" si="6"/>
        <v>1</v>
      </c>
      <c r="W33" s="52">
        <f t="shared" si="7"/>
        <v>5</v>
      </c>
      <c r="X33" s="32">
        <f t="shared" si="12"/>
        <v>29</v>
      </c>
      <c r="Y33" s="32" t="str">
        <f t="shared" si="8"/>
        <v>N</v>
      </c>
      <c r="Z33" s="16" t="str">
        <f t="shared" si="9"/>
        <v/>
      </c>
    </row>
    <row r="34">
      <c r="A34" s="32">
        <f t="shared" si="10"/>
        <v>30</v>
      </c>
      <c r="B34" s="33" t="s">
        <v>138</v>
      </c>
      <c r="C34" s="34">
        <v>108.0</v>
      </c>
      <c r="D34" s="34">
        <v>9.0</v>
      </c>
      <c r="E34" s="35">
        <f t="shared" si="2"/>
        <v>11.57142857</v>
      </c>
      <c r="F34" s="95">
        <v>1.0</v>
      </c>
      <c r="G34" s="96">
        <v>6.0</v>
      </c>
      <c r="H34" s="97">
        <v>0.0</v>
      </c>
      <c r="I34" s="96">
        <v>6.0</v>
      </c>
      <c r="J34" s="96">
        <v>7.0</v>
      </c>
      <c r="K34" s="96">
        <v>1.0</v>
      </c>
      <c r="L34" s="98">
        <v>14.0</v>
      </c>
      <c r="M34" s="96">
        <v>1.0</v>
      </c>
      <c r="N34" s="34">
        <f t="shared" ref="N34:O34" si="39">C34+L34</f>
        <v>122</v>
      </c>
      <c r="O34" s="34">
        <f t="shared" si="39"/>
        <v>10</v>
      </c>
      <c r="P34" s="49" t="s">
        <v>58</v>
      </c>
      <c r="Q34" s="49" t="s">
        <v>58</v>
      </c>
      <c r="R34" s="49"/>
      <c r="S34" s="50">
        <f t="shared" si="4"/>
        <v>7</v>
      </c>
      <c r="T34" s="52">
        <f t="shared" si="5"/>
        <v>0</v>
      </c>
      <c r="U34" s="52"/>
      <c r="V34" s="50">
        <f t="shared" si="6"/>
        <v>3</v>
      </c>
      <c r="W34" s="52">
        <f t="shared" si="7"/>
        <v>-4</v>
      </c>
      <c r="X34" s="32">
        <f t="shared" si="12"/>
        <v>30</v>
      </c>
      <c r="Y34" s="32" t="str">
        <f t="shared" si="8"/>
        <v>N</v>
      </c>
      <c r="Z34" s="16" t="str">
        <f t="shared" si="9"/>
        <v/>
      </c>
    </row>
    <row r="35">
      <c r="A35" s="32">
        <f t="shared" si="10"/>
        <v>31</v>
      </c>
      <c r="B35" s="33" t="s">
        <v>66</v>
      </c>
      <c r="C35" s="34">
        <v>108.0</v>
      </c>
      <c r="D35" s="34">
        <v>9.0</v>
      </c>
      <c r="E35" s="35">
        <f t="shared" si="2"/>
        <v>10.8</v>
      </c>
      <c r="F35" s="95">
        <v>1.0</v>
      </c>
      <c r="G35" s="96">
        <v>7.0</v>
      </c>
      <c r="H35" s="97">
        <v>0.0</v>
      </c>
      <c r="I35" s="96">
        <v>0.0</v>
      </c>
      <c r="J35" s="96">
        <v>6.0</v>
      </c>
      <c r="K35" s="96">
        <v>7.0</v>
      </c>
      <c r="L35" s="98">
        <v>13.0</v>
      </c>
      <c r="M35" s="96">
        <v>1.0</v>
      </c>
      <c r="N35" s="34">
        <f t="shared" ref="N35:O35" si="40">C35+L35</f>
        <v>121</v>
      </c>
      <c r="O35" s="34">
        <f t="shared" si="40"/>
        <v>10</v>
      </c>
      <c r="P35" s="49" t="s">
        <v>58</v>
      </c>
      <c r="Q35" s="49" t="s">
        <v>58</v>
      </c>
      <c r="R35" s="49"/>
      <c r="S35" s="50">
        <f t="shared" si="4"/>
        <v>10</v>
      </c>
      <c r="T35" s="52">
        <f t="shared" si="5"/>
        <v>0</v>
      </c>
      <c r="U35" s="52"/>
      <c r="V35" s="50">
        <f t="shared" si="6"/>
        <v>0</v>
      </c>
      <c r="W35" s="52">
        <f t="shared" si="7"/>
        <v>0</v>
      </c>
      <c r="X35" s="32">
        <f t="shared" si="12"/>
        <v>31</v>
      </c>
      <c r="Y35" s="32" t="str">
        <f t="shared" si="8"/>
        <v>Y</v>
      </c>
      <c r="Z35" s="16" t="str">
        <f t="shared" si="9"/>
        <v/>
      </c>
    </row>
    <row r="36">
      <c r="A36" s="32">
        <f t="shared" si="10"/>
        <v>32</v>
      </c>
      <c r="B36" s="33" t="s">
        <v>137</v>
      </c>
      <c r="C36" s="34">
        <v>108.0</v>
      </c>
      <c r="D36" s="34">
        <v>8.0</v>
      </c>
      <c r="E36" s="35">
        <f t="shared" si="2"/>
        <v>11.57142857</v>
      </c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41">C36+L36</f>
        <v>117</v>
      </c>
      <c r="O36" s="34">
        <f t="shared" si="41"/>
        <v>8</v>
      </c>
      <c r="P36" s="49" t="s">
        <v>58</v>
      </c>
      <c r="Q36" s="49" t="s">
        <v>58</v>
      </c>
      <c r="R36" s="49"/>
      <c r="S36" s="50">
        <f t="shared" si="4"/>
        <v>7</v>
      </c>
      <c r="T36" s="52">
        <f t="shared" si="5"/>
        <v>0</v>
      </c>
      <c r="U36" s="52"/>
      <c r="V36" s="50">
        <f t="shared" si="6"/>
        <v>3</v>
      </c>
      <c r="W36" s="52">
        <f t="shared" si="7"/>
        <v>4</v>
      </c>
      <c r="X36" s="32">
        <f t="shared" si="12"/>
        <v>32</v>
      </c>
      <c r="Y36" s="32" t="str">
        <f t="shared" si="8"/>
        <v>N</v>
      </c>
      <c r="Z36" s="16" t="str">
        <f t="shared" si="9"/>
        <v/>
      </c>
    </row>
    <row r="37">
      <c r="A37" s="32">
        <f t="shared" si="10"/>
        <v>33</v>
      </c>
      <c r="B37" s="33" t="s">
        <v>96</v>
      </c>
      <c r="C37" s="34">
        <v>108.0</v>
      </c>
      <c r="D37" s="34">
        <v>8.0</v>
      </c>
      <c r="E37" s="35">
        <f t="shared" si="2"/>
        <v>11.25</v>
      </c>
      <c r="F37" s="95">
        <v>1.0</v>
      </c>
      <c r="G37" s="96">
        <v>7.0</v>
      </c>
      <c r="H37" s="97">
        <v>0.0</v>
      </c>
      <c r="I37" s="96">
        <v>6.0</v>
      </c>
      <c r="J37" s="96">
        <v>6.0</v>
      </c>
      <c r="K37" s="96">
        <v>5.0</v>
      </c>
      <c r="L37" s="98">
        <v>17.0</v>
      </c>
      <c r="M37" s="96">
        <v>1.0</v>
      </c>
      <c r="N37" s="34">
        <f t="shared" ref="N37:O37" si="42">C37+L37</f>
        <v>125</v>
      </c>
      <c r="O37" s="34">
        <f t="shared" si="42"/>
        <v>9</v>
      </c>
      <c r="P37" s="49" t="s">
        <v>58</v>
      </c>
      <c r="Q37" s="49" t="s">
        <v>58</v>
      </c>
      <c r="R37" s="49"/>
      <c r="S37" s="50">
        <f t="shared" si="4"/>
        <v>8</v>
      </c>
      <c r="T37" s="52">
        <f t="shared" si="5"/>
        <v>0</v>
      </c>
      <c r="U37" s="52"/>
      <c r="V37" s="50">
        <f t="shared" si="6"/>
        <v>2</v>
      </c>
      <c r="W37" s="52">
        <f t="shared" si="7"/>
        <v>4</v>
      </c>
      <c r="X37" s="32">
        <f t="shared" si="12"/>
        <v>33</v>
      </c>
      <c r="Y37" s="32" t="str">
        <f t="shared" si="8"/>
        <v>N</v>
      </c>
      <c r="Z37" s="16" t="str">
        <f t="shared" si="9"/>
        <v/>
      </c>
    </row>
    <row r="38">
      <c r="A38" s="32">
        <f t="shared" si="10"/>
        <v>34</v>
      </c>
      <c r="B38" s="33" t="s">
        <v>108</v>
      </c>
      <c r="C38" s="34">
        <v>108.0</v>
      </c>
      <c r="D38" s="34">
        <v>7.0</v>
      </c>
      <c r="E38" s="35">
        <f t="shared" si="2"/>
        <v>11.25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3">C38+L38</f>
        <v>117</v>
      </c>
      <c r="O38" s="34">
        <f t="shared" si="43"/>
        <v>7</v>
      </c>
      <c r="P38" s="49" t="s">
        <v>58</v>
      </c>
      <c r="Q38" s="49" t="s">
        <v>58</v>
      </c>
      <c r="R38" s="49"/>
      <c r="S38" s="50">
        <f t="shared" si="4"/>
        <v>8</v>
      </c>
      <c r="T38" s="52">
        <f t="shared" si="5"/>
        <v>0</v>
      </c>
      <c r="U38" s="52"/>
      <c r="V38" s="50">
        <f t="shared" si="6"/>
        <v>2</v>
      </c>
      <c r="W38" s="52">
        <f t="shared" si="7"/>
        <v>-1</v>
      </c>
      <c r="X38" s="32">
        <f t="shared" si="12"/>
        <v>34</v>
      </c>
      <c r="Y38" s="32" t="str">
        <f t="shared" si="8"/>
        <v>N</v>
      </c>
      <c r="Z38" s="16" t="str">
        <f t="shared" si="9"/>
        <v/>
      </c>
    </row>
    <row r="39">
      <c r="A39" s="32">
        <f t="shared" si="10"/>
        <v>35</v>
      </c>
      <c r="B39" s="33" t="s">
        <v>133</v>
      </c>
      <c r="C39" s="34">
        <v>107.0</v>
      </c>
      <c r="D39" s="34">
        <v>9.0</v>
      </c>
      <c r="E39" s="35">
        <f t="shared" si="2"/>
        <v>11.83333333</v>
      </c>
      <c r="F39" s="95">
        <v>1.0</v>
      </c>
      <c r="G39" s="96">
        <v>7.0</v>
      </c>
      <c r="H39" s="97">
        <v>0.0</v>
      </c>
      <c r="I39" s="96">
        <v>6.0</v>
      </c>
      <c r="J39" s="96">
        <v>7.0</v>
      </c>
      <c r="K39" s="96">
        <v>7.0</v>
      </c>
      <c r="L39" s="98">
        <v>20.0</v>
      </c>
      <c r="M39" s="96">
        <v>3.0</v>
      </c>
      <c r="N39" s="34">
        <f t="shared" ref="N39:O39" si="44">C39+L39</f>
        <v>127</v>
      </c>
      <c r="O39" s="34">
        <f t="shared" si="44"/>
        <v>12</v>
      </c>
      <c r="P39" s="49" t="s">
        <v>58</v>
      </c>
      <c r="Q39" s="49" t="s">
        <v>58</v>
      </c>
      <c r="R39" s="49"/>
      <c r="S39" s="50">
        <f t="shared" si="4"/>
        <v>6</v>
      </c>
      <c r="T39" s="52">
        <f t="shared" si="5"/>
        <v>0</v>
      </c>
      <c r="U39" s="52"/>
      <c r="V39" s="50">
        <f t="shared" si="6"/>
        <v>4</v>
      </c>
      <c r="W39" s="52">
        <f t="shared" si="7"/>
        <v>5</v>
      </c>
      <c r="X39" s="32">
        <f t="shared" si="12"/>
        <v>35</v>
      </c>
      <c r="Y39" s="32" t="str">
        <f t="shared" si="8"/>
        <v>N</v>
      </c>
      <c r="Z39" s="16" t="str">
        <f t="shared" si="9"/>
        <v/>
      </c>
    </row>
    <row r="40">
      <c r="A40" s="32">
        <f t="shared" si="10"/>
        <v>36</v>
      </c>
      <c r="B40" s="33" t="s">
        <v>47</v>
      </c>
      <c r="C40" s="34">
        <v>106.0</v>
      </c>
      <c r="D40" s="34">
        <v>8.0</v>
      </c>
      <c r="E40" s="35">
        <f t="shared" si="2"/>
        <v>14.33333333</v>
      </c>
      <c r="F40" s="95">
        <v>3.0</v>
      </c>
      <c r="G40" s="96">
        <v>0.0</v>
      </c>
      <c r="H40" s="97">
        <v>9.0</v>
      </c>
      <c r="I40" s="96">
        <v>0.0</v>
      </c>
      <c r="J40" s="96">
        <v>0.0</v>
      </c>
      <c r="K40" s="96">
        <v>0.0</v>
      </c>
      <c r="L40" s="98">
        <v>9.0</v>
      </c>
      <c r="M40" s="96">
        <v>0.0</v>
      </c>
      <c r="N40" s="34">
        <f t="shared" ref="N40:O40" si="45">C40+L40</f>
        <v>115</v>
      </c>
      <c r="O40" s="34">
        <f t="shared" si="45"/>
        <v>8</v>
      </c>
      <c r="P40" s="49" t="s">
        <v>58</v>
      </c>
      <c r="Q40" s="49" t="s">
        <v>58</v>
      </c>
      <c r="R40" s="49"/>
      <c r="S40" s="50">
        <f t="shared" si="4"/>
        <v>3</v>
      </c>
      <c r="T40" s="52">
        <f t="shared" si="5"/>
        <v>0</v>
      </c>
      <c r="U40" s="52"/>
      <c r="V40" s="50">
        <f t="shared" si="6"/>
        <v>7</v>
      </c>
      <c r="W40" s="52">
        <f t="shared" si="7"/>
        <v>-6</v>
      </c>
      <c r="X40" s="32">
        <f t="shared" si="12"/>
        <v>36</v>
      </c>
      <c r="Y40" s="32" t="str">
        <f t="shared" si="8"/>
        <v>N</v>
      </c>
      <c r="Z40" s="16" t="str">
        <f t="shared" si="9"/>
        <v/>
      </c>
    </row>
    <row r="41">
      <c r="A41" s="32">
        <f t="shared" si="10"/>
        <v>37</v>
      </c>
      <c r="B41" s="33" t="s">
        <v>100</v>
      </c>
      <c r="C41" s="34">
        <v>106.0</v>
      </c>
      <c r="D41" s="34">
        <v>8.0</v>
      </c>
      <c r="E41" s="35">
        <f t="shared" si="2"/>
        <v>13</v>
      </c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6">C41+L41</f>
        <v>115</v>
      </c>
      <c r="O41" s="34">
        <f t="shared" si="46"/>
        <v>8</v>
      </c>
      <c r="P41" s="49" t="s">
        <v>58</v>
      </c>
      <c r="Q41" s="49" t="s">
        <v>58</v>
      </c>
      <c r="R41" s="49"/>
      <c r="S41" s="50">
        <f t="shared" si="4"/>
        <v>4</v>
      </c>
      <c r="T41" s="52">
        <f t="shared" si="5"/>
        <v>0</v>
      </c>
      <c r="U41" s="52"/>
      <c r="V41" s="50">
        <f t="shared" si="6"/>
        <v>6</v>
      </c>
      <c r="W41" s="52">
        <f t="shared" si="7"/>
        <v>-8</v>
      </c>
      <c r="X41" s="32">
        <f t="shared" si="12"/>
        <v>37</v>
      </c>
      <c r="Y41" s="32" t="str">
        <f t="shared" si="8"/>
        <v>N</v>
      </c>
      <c r="Z41" s="16" t="str">
        <f t="shared" si="9"/>
        <v/>
      </c>
    </row>
    <row r="42">
      <c r="A42" s="32">
        <f t="shared" si="10"/>
        <v>38</v>
      </c>
      <c r="B42" s="33" t="s">
        <v>136</v>
      </c>
      <c r="C42" s="34">
        <v>103.0</v>
      </c>
      <c r="D42" s="34">
        <v>8.0</v>
      </c>
      <c r="E42" s="35">
        <f t="shared" si="2"/>
        <v>10.3</v>
      </c>
      <c r="F42" s="95">
        <v>1.0</v>
      </c>
      <c r="G42" s="96">
        <v>7.0</v>
      </c>
      <c r="H42" s="97">
        <v>0.0</v>
      </c>
      <c r="I42" s="96">
        <v>0.0</v>
      </c>
      <c r="J42" s="96">
        <v>7.0</v>
      </c>
      <c r="K42" s="96">
        <v>5.0</v>
      </c>
      <c r="L42" s="98">
        <v>12.0</v>
      </c>
      <c r="M42" s="96">
        <v>1.0</v>
      </c>
      <c r="N42" s="34">
        <f t="shared" ref="N42:O42" si="47">C42+L42</f>
        <v>115</v>
      </c>
      <c r="O42" s="34">
        <f t="shared" si="47"/>
        <v>9</v>
      </c>
      <c r="P42" s="49" t="s">
        <v>58</v>
      </c>
      <c r="Q42" s="49" t="s">
        <v>58</v>
      </c>
      <c r="R42" s="49"/>
      <c r="S42" s="50">
        <f t="shared" si="4"/>
        <v>10</v>
      </c>
      <c r="T42" s="52">
        <f t="shared" si="5"/>
        <v>0</v>
      </c>
      <c r="U42" s="52"/>
      <c r="V42" s="50">
        <f t="shared" si="6"/>
        <v>0</v>
      </c>
      <c r="W42" s="52">
        <f t="shared" si="7"/>
        <v>-11</v>
      </c>
      <c r="X42" s="32">
        <f t="shared" si="12"/>
        <v>38</v>
      </c>
      <c r="Y42" s="32" t="str">
        <f t="shared" si="8"/>
        <v>Y</v>
      </c>
      <c r="Z42" s="16" t="str">
        <f t="shared" si="9"/>
        <v/>
      </c>
    </row>
    <row r="43">
      <c r="A43" s="32">
        <f t="shared" si="10"/>
        <v>39</v>
      </c>
      <c r="B43" s="33" t="s">
        <v>72</v>
      </c>
      <c r="C43" s="34">
        <v>101.0</v>
      </c>
      <c r="D43" s="34">
        <v>7.0</v>
      </c>
      <c r="E43" s="35">
        <f t="shared" si="2"/>
        <v>10.16666667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8">C43+L43</f>
        <v>110</v>
      </c>
      <c r="O43" s="34">
        <f t="shared" si="48"/>
        <v>7</v>
      </c>
      <c r="P43" s="49" t="s">
        <v>58</v>
      </c>
      <c r="Q43" s="49" t="s">
        <v>58</v>
      </c>
      <c r="R43" s="49"/>
      <c r="S43" s="50">
        <f t="shared" si="4"/>
        <v>6</v>
      </c>
      <c r="T43" s="52">
        <f t="shared" si="5"/>
        <v>1</v>
      </c>
      <c r="U43" s="52"/>
      <c r="V43" s="50">
        <f t="shared" si="6"/>
        <v>3</v>
      </c>
      <c r="W43" s="52">
        <f t="shared" si="7"/>
        <v>-1</v>
      </c>
      <c r="X43" s="32">
        <f t="shared" si="12"/>
        <v>39</v>
      </c>
      <c r="Y43" s="32" t="str">
        <f t="shared" si="8"/>
        <v>N</v>
      </c>
      <c r="Z43" s="16" t="str">
        <f t="shared" si="9"/>
        <v/>
      </c>
    </row>
    <row r="44">
      <c r="A44" s="32">
        <f t="shared" si="10"/>
        <v>40</v>
      </c>
      <c r="B44" s="33" t="s">
        <v>122</v>
      </c>
      <c r="C44" s="34">
        <v>101.0</v>
      </c>
      <c r="D44" s="34">
        <v>6.0</v>
      </c>
      <c r="E44" s="35">
        <f t="shared" si="2"/>
        <v>11.75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9">C44+L44</f>
        <v>110</v>
      </c>
      <c r="O44" s="34">
        <f t="shared" si="49"/>
        <v>6</v>
      </c>
      <c r="P44" s="49" t="s">
        <v>58</v>
      </c>
      <c r="Q44" s="49" t="s">
        <v>58</v>
      </c>
      <c r="R44" s="49"/>
      <c r="S44" s="50">
        <f t="shared" si="4"/>
        <v>4</v>
      </c>
      <c r="T44" s="52">
        <f t="shared" si="5"/>
        <v>0</v>
      </c>
      <c r="U44" s="52"/>
      <c r="V44" s="50">
        <f t="shared" si="6"/>
        <v>6</v>
      </c>
      <c r="W44" s="52">
        <f t="shared" si="7"/>
        <v>7</v>
      </c>
      <c r="X44" s="32">
        <f t="shared" si="12"/>
        <v>40</v>
      </c>
      <c r="Y44" s="32" t="str">
        <f t="shared" si="8"/>
        <v>N</v>
      </c>
      <c r="Z44" s="16" t="str">
        <f t="shared" si="9"/>
        <v/>
      </c>
    </row>
    <row r="45">
      <c r="A45" s="32">
        <f t="shared" si="10"/>
        <v>41</v>
      </c>
      <c r="B45" s="33" t="s">
        <v>54</v>
      </c>
      <c r="C45" s="34">
        <v>99.0</v>
      </c>
      <c r="D45" s="34">
        <v>12.0</v>
      </c>
      <c r="E45" s="35">
        <f t="shared" si="2"/>
        <v>10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50">C45+L45</f>
        <v>108</v>
      </c>
      <c r="O45" s="34">
        <f t="shared" si="50"/>
        <v>12</v>
      </c>
      <c r="P45" s="49" t="s">
        <v>58</v>
      </c>
      <c r="Q45" s="49" t="s">
        <v>58</v>
      </c>
      <c r="R45" s="49"/>
      <c r="S45" s="50">
        <f t="shared" si="4"/>
        <v>9</v>
      </c>
      <c r="T45" s="52">
        <f t="shared" si="5"/>
        <v>0</v>
      </c>
      <c r="U45" s="52"/>
      <c r="V45" s="50">
        <f t="shared" si="6"/>
        <v>1</v>
      </c>
      <c r="W45" s="52">
        <f t="shared" si="7"/>
        <v>2</v>
      </c>
      <c r="X45" s="32">
        <f t="shared" si="12"/>
        <v>41</v>
      </c>
      <c r="Y45" s="32" t="str">
        <f t="shared" si="8"/>
        <v>N</v>
      </c>
      <c r="Z45" s="16" t="str">
        <f t="shared" si="9"/>
        <v/>
      </c>
    </row>
    <row r="46">
      <c r="A46" s="32">
        <f t="shared" si="10"/>
        <v>42</v>
      </c>
      <c r="B46" s="33" t="s">
        <v>129</v>
      </c>
      <c r="C46" s="34">
        <v>99.0</v>
      </c>
      <c r="D46" s="34">
        <v>8.0</v>
      </c>
      <c r="E46" s="35">
        <f t="shared" si="2"/>
        <v>10.125</v>
      </c>
      <c r="F46" s="95">
        <v>1.0</v>
      </c>
      <c r="G46" s="96">
        <v>8.0</v>
      </c>
      <c r="H46" s="97">
        <v>0.0</v>
      </c>
      <c r="I46" s="96">
        <v>1.0</v>
      </c>
      <c r="J46" s="96">
        <v>0.0</v>
      </c>
      <c r="K46" s="96">
        <v>6.0</v>
      </c>
      <c r="L46" s="98">
        <v>7.0</v>
      </c>
      <c r="M46" s="96">
        <v>1.0</v>
      </c>
      <c r="N46" s="34">
        <f t="shared" ref="N46:O46" si="51">C46+L46</f>
        <v>106</v>
      </c>
      <c r="O46" s="34">
        <f t="shared" si="51"/>
        <v>9</v>
      </c>
      <c r="P46" s="49" t="s">
        <v>58</v>
      </c>
      <c r="Q46" s="49" t="s">
        <v>58</v>
      </c>
      <c r="R46" s="49"/>
      <c r="S46" s="50">
        <f t="shared" si="4"/>
        <v>8</v>
      </c>
      <c r="T46" s="52">
        <f t="shared" si="5"/>
        <v>0</v>
      </c>
      <c r="U46" s="52"/>
      <c r="V46" s="50">
        <f t="shared" si="6"/>
        <v>2</v>
      </c>
      <c r="W46" s="52">
        <f t="shared" si="7"/>
        <v>-1</v>
      </c>
      <c r="X46" s="32">
        <f t="shared" si="12"/>
        <v>42</v>
      </c>
      <c r="Y46" s="32" t="str">
        <f t="shared" si="8"/>
        <v>N</v>
      </c>
      <c r="Z46" s="16" t="str">
        <f t="shared" si="9"/>
        <v/>
      </c>
    </row>
    <row r="47">
      <c r="A47" s="32">
        <f t="shared" si="10"/>
        <v>43</v>
      </c>
      <c r="B47" s="33" t="s">
        <v>143</v>
      </c>
      <c r="C47" s="34">
        <v>99.0</v>
      </c>
      <c r="D47" s="34">
        <v>5.0</v>
      </c>
      <c r="E47" s="35">
        <f t="shared" si="2"/>
        <v>12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2">C47+L47</f>
        <v>108</v>
      </c>
      <c r="O47" s="34">
        <f t="shared" si="52"/>
        <v>5</v>
      </c>
      <c r="P47" s="49" t="s">
        <v>58</v>
      </c>
      <c r="Q47" s="49" t="s">
        <v>58</v>
      </c>
      <c r="R47" s="49"/>
      <c r="S47" s="50">
        <f t="shared" si="4"/>
        <v>3</v>
      </c>
      <c r="T47" s="52">
        <f t="shared" si="5"/>
        <v>0</v>
      </c>
      <c r="U47" s="52"/>
      <c r="V47" s="50">
        <f t="shared" si="6"/>
        <v>7</v>
      </c>
      <c r="W47" s="52">
        <f t="shared" si="7"/>
        <v>-4</v>
      </c>
      <c r="X47" s="32">
        <f t="shared" si="12"/>
        <v>43</v>
      </c>
      <c r="Y47" s="32" t="str">
        <f t="shared" si="8"/>
        <v>N</v>
      </c>
      <c r="Z47" s="16" t="str">
        <f t="shared" si="9"/>
        <v/>
      </c>
    </row>
    <row r="48">
      <c r="A48" s="32">
        <f t="shared" si="10"/>
        <v>44</v>
      </c>
      <c r="B48" s="33" t="s">
        <v>105</v>
      </c>
      <c r="C48" s="34">
        <v>97.0</v>
      </c>
      <c r="D48" s="34">
        <v>6.0</v>
      </c>
      <c r="E48" s="35">
        <f t="shared" si="2"/>
        <v>11.33333333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3">C48+L48</f>
        <v>106</v>
      </c>
      <c r="O48" s="34">
        <f t="shared" si="53"/>
        <v>6</v>
      </c>
      <c r="P48" s="49" t="s">
        <v>58</v>
      </c>
      <c r="Q48" s="49" t="s">
        <v>58</v>
      </c>
      <c r="R48" s="49"/>
      <c r="S48" s="50">
        <f t="shared" si="4"/>
        <v>3</v>
      </c>
      <c r="T48" s="52">
        <f t="shared" si="5"/>
        <v>0</v>
      </c>
      <c r="U48" s="52"/>
      <c r="V48" s="50">
        <f t="shared" si="6"/>
        <v>7</v>
      </c>
      <c r="W48" s="52">
        <f t="shared" si="7"/>
        <v>-2</v>
      </c>
      <c r="X48" s="32">
        <f t="shared" si="12"/>
        <v>44</v>
      </c>
      <c r="Y48" s="32" t="str">
        <f t="shared" si="8"/>
        <v>N</v>
      </c>
      <c r="Z48" s="16" t="str">
        <f t="shared" si="9"/>
        <v/>
      </c>
    </row>
    <row r="49">
      <c r="A49" s="32">
        <f t="shared" si="10"/>
        <v>45</v>
      </c>
      <c r="B49" s="33" t="s">
        <v>145</v>
      </c>
      <c r="C49" s="34">
        <v>96.0</v>
      </c>
      <c r="D49" s="34">
        <v>9.0</v>
      </c>
      <c r="E49" s="35">
        <f t="shared" si="2"/>
        <v>9.75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4">C49+L49</f>
        <v>105</v>
      </c>
      <c r="O49" s="34">
        <f t="shared" si="54"/>
        <v>9</v>
      </c>
      <c r="P49" s="49" t="s">
        <v>58</v>
      </c>
      <c r="Q49" s="49" t="s">
        <v>58</v>
      </c>
      <c r="R49" s="49"/>
      <c r="S49" s="50">
        <f t="shared" si="4"/>
        <v>8</v>
      </c>
      <c r="T49" s="52">
        <f t="shared" si="5"/>
        <v>0</v>
      </c>
      <c r="U49" s="52"/>
      <c r="V49" s="50">
        <f t="shared" si="6"/>
        <v>2</v>
      </c>
      <c r="W49" s="52">
        <f t="shared" si="7"/>
        <v>4</v>
      </c>
      <c r="X49" s="32">
        <f t="shared" si="12"/>
        <v>45</v>
      </c>
      <c r="Y49" s="32" t="str">
        <f t="shared" si="8"/>
        <v>N</v>
      </c>
      <c r="Z49" s="16" t="str">
        <f t="shared" si="9"/>
        <v/>
      </c>
    </row>
    <row r="50">
      <c r="A50" s="32">
        <f t="shared" si="10"/>
        <v>46</v>
      </c>
      <c r="B50" s="33" t="s">
        <v>135</v>
      </c>
      <c r="C50" s="34">
        <v>96.0</v>
      </c>
      <c r="D50" s="34">
        <v>7.0</v>
      </c>
      <c r="E50" s="35">
        <f t="shared" si="2"/>
        <v>10.2</v>
      </c>
      <c r="F50" s="95">
        <v>1.0</v>
      </c>
      <c r="G50" s="96">
        <v>8.0</v>
      </c>
      <c r="H50" s="97">
        <v>0.0</v>
      </c>
      <c r="I50" s="96">
        <v>1.0</v>
      </c>
      <c r="J50" s="96">
        <v>6.0</v>
      </c>
      <c r="K50" s="96">
        <v>3.0</v>
      </c>
      <c r="L50" s="98">
        <v>10.0</v>
      </c>
      <c r="M50" s="96">
        <v>1.0</v>
      </c>
      <c r="N50" s="34">
        <f t="shared" ref="N50:O50" si="55">C50+L50</f>
        <v>106</v>
      </c>
      <c r="O50" s="34">
        <f t="shared" si="55"/>
        <v>8</v>
      </c>
      <c r="P50" s="49" t="s">
        <v>58</v>
      </c>
      <c r="Q50" s="49" t="s">
        <v>58</v>
      </c>
      <c r="R50" s="49"/>
      <c r="S50" s="50">
        <f t="shared" si="4"/>
        <v>5</v>
      </c>
      <c r="T50" s="52">
        <f t="shared" si="5"/>
        <v>0</v>
      </c>
      <c r="U50" s="52"/>
      <c r="V50" s="50">
        <f t="shared" si="6"/>
        <v>5</v>
      </c>
      <c r="W50" s="52">
        <f t="shared" si="7"/>
        <v>-2</v>
      </c>
      <c r="X50" s="32">
        <f t="shared" si="12"/>
        <v>46</v>
      </c>
      <c r="Y50" s="32" t="str">
        <f t="shared" si="8"/>
        <v>N</v>
      </c>
      <c r="Z50" s="16" t="str">
        <f t="shared" si="9"/>
        <v/>
      </c>
    </row>
    <row r="51">
      <c r="A51" s="32">
        <f t="shared" si="10"/>
        <v>47</v>
      </c>
      <c r="B51" s="33" t="s">
        <v>93</v>
      </c>
      <c r="C51" s="34">
        <v>96.0</v>
      </c>
      <c r="D51" s="34">
        <v>4.0</v>
      </c>
      <c r="E51" s="35">
        <f t="shared" si="2"/>
        <v>11</v>
      </c>
      <c r="F51" s="95">
        <v>1.0</v>
      </c>
      <c r="G51" s="96">
        <v>8.0</v>
      </c>
      <c r="H51" s="97">
        <v>0.0</v>
      </c>
      <c r="I51" s="96">
        <v>6.0</v>
      </c>
      <c r="J51" s="96">
        <v>6.0</v>
      </c>
      <c r="K51" s="96">
        <v>6.0</v>
      </c>
      <c r="L51" s="98">
        <v>18.0</v>
      </c>
      <c r="M51" s="96">
        <v>3.0</v>
      </c>
      <c r="N51" s="34">
        <f t="shared" ref="N51:O51" si="56">C51+L51</f>
        <v>114</v>
      </c>
      <c r="O51" s="34">
        <f t="shared" si="56"/>
        <v>7</v>
      </c>
      <c r="P51" s="49" t="s">
        <v>58</v>
      </c>
      <c r="Q51" s="49" t="s">
        <v>58</v>
      </c>
      <c r="R51" s="49"/>
      <c r="S51" s="50">
        <f t="shared" si="4"/>
        <v>3</v>
      </c>
      <c r="T51" s="52">
        <f t="shared" si="5"/>
        <v>0</v>
      </c>
      <c r="U51" s="52"/>
      <c r="V51" s="50">
        <f t="shared" si="6"/>
        <v>7</v>
      </c>
      <c r="W51" s="52">
        <f t="shared" si="7"/>
        <v>4</v>
      </c>
      <c r="X51" s="32">
        <f t="shared" si="12"/>
        <v>47</v>
      </c>
      <c r="Y51" s="32" t="str">
        <f t="shared" si="8"/>
        <v>N</v>
      </c>
      <c r="Z51" s="16" t="str">
        <f t="shared" si="9"/>
        <v/>
      </c>
    </row>
    <row r="52">
      <c r="A52" s="32">
        <f t="shared" si="10"/>
        <v>48</v>
      </c>
      <c r="B52" s="33" t="s">
        <v>139</v>
      </c>
      <c r="C52" s="34">
        <v>95.0</v>
      </c>
      <c r="D52" s="34">
        <v>6.0</v>
      </c>
      <c r="E52" s="35">
        <f t="shared" si="2"/>
        <v>9.833333333</v>
      </c>
      <c r="F52" s="95">
        <v>1.0</v>
      </c>
      <c r="G52" s="96">
        <v>8.0</v>
      </c>
      <c r="H52" s="97">
        <v>0.0</v>
      </c>
      <c r="I52" s="96">
        <v>6.0</v>
      </c>
      <c r="J52" s="96">
        <v>0.0</v>
      </c>
      <c r="K52" s="96">
        <v>3.0</v>
      </c>
      <c r="L52" s="98">
        <v>9.0</v>
      </c>
      <c r="M52" s="96">
        <v>1.0</v>
      </c>
      <c r="N52" s="34">
        <f t="shared" ref="N52:O52" si="57">C52+L52</f>
        <v>104</v>
      </c>
      <c r="O52" s="34">
        <f t="shared" si="57"/>
        <v>7</v>
      </c>
      <c r="P52" s="49" t="s">
        <v>58</v>
      </c>
      <c r="Q52" s="49" t="s">
        <v>58</v>
      </c>
      <c r="R52" s="49"/>
      <c r="S52" s="50">
        <f t="shared" si="4"/>
        <v>6</v>
      </c>
      <c r="T52" s="52">
        <f t="shared" si="5"/>
        <v>0</v>
      </c>
      <c r="U52" s="52"/>
      <c r="V52" s="50">
        <f t="shared" si="6"/>
        <v>4</v>
      </c>
      <c r="W52" s="52">
        <f t="shared" si="7"/>
        <v>-3</v>
      </c>
      <c r="X52" s="32">
        <f t="shared" si="12"/>
        <v>48</v>
      </c>
      <c r="Y52" s="32" t="str">
        <f t="shared" si="8"/>
        <v>N</v>
      </c>
      <c r="Z52" s="16" t="str">
        <f t="shared" si="9"/>
        <v/>
      </c>
    </row>
    <row r="53">
      <c r="A53" s="32">
        <f t="shared" si="10"/>
        <v>49</v>
      </c>
      <c r="B53" s="33" t="s">
        <v>144</v>
      </c>
      <c r="C53" s="34">
        <v>94.0</v>
      </c>
      <c r="D53" s="34">
        <v>5.0</v>
      </c>
      <c r="E53" s="35">
        <f t="shared" si="2"/>
        <v>9</v>
      </c>
      <c r="F53" s="95">
        <v>1.0</v>
      </c>
      <c r="G53" s="96">
        <v>8.0</v>
      </c>
      <c r="H53" s="97">
        <v>0.0</v>
      </c>
      <c r="I53" s="96">
        <v>6.0</v>
      </c>
      <c r="J53" s="96">
        <v>4.0</v>
      </c>
      <c r="K53" s="96">
        <v>1.0</v>
      </c>
      <c r="L53" s="98">
        <v>11.0</v>
      </c>
      <c r="M53" s="96">
        <v>1.0</v>
      </c>
      <c r="N53" s="34">
        <f t="shared" ref="N53:O53" si="58">C53+L53</f>
        <v>105</v>
      </c>
      <c r="O53" s="34">
        <f t="shared" si="58"/>
        <v>6</v>
      </c>
      <c r="P53" s="49" t="s">
        <v>58</v>
      </c>
      <c r="Q53" s="49" t="s">
        <v>58</v>
      </c>
      <c r="R53" s="49"/>
      <c r="S53" s="50">
        <f t="shared" si="4"/>
        <v>5</v>
      </c>
      <c r="T53" s="52">
        <f t="shared" si="5"/>
        <v>1</v>
      </c>
      <c r="U53" s="52"/>
      <c r="V53" s="50">
        <f t="shared" si="6"/>
        <v>4</v>
      </c>
      <c r="W53" s="52">
        <f t="shared" si="7"/>
        <v>-3</v>
      </c>
      <c r="X53" s="32">
        <f t="shared" si="12"/>
        <v>49</v>
      </c>
      <c r="Y53" s="32" t="str">
        <f t="shared" si="8"/>
        <v>N</v>
      </c>
      <c r="Z53" s="16" t="str">
        <f t="shared" si="9"/>
        <v/>
      </c>
    </row>
    <row r="54">
      <c r="A54" s="32">
        <f t="shared" si="10"/>
        <v>50</v>
      </c>
      <c r="B54" s="33" t="s">
        <v>142</v>
      </c>
      <c r="C54" s="34">
        <v>91.0</v>
      </c>
      <c r="D54" s="34">
        <v>7.0</v>
      </c>
      <c r="E54" s="35">
        <f t="shared" si="2"/>
        <v>9.142857143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9">C54+L54</f>
        <v>100</v>
      </c>
      <c r="O54" s="34">
        <f t="shared" si="59"/>
        <v>7</v>
      </c>
      <c r="P54" s="49" t="s">
        <v>58</v>
      </c>
      <c r="Q54" s="49" t="s">
        <v>58</v>
      </c>
      <c r="R54" s="49"/>
      <c r="S54" s="50">
        <f t="shared" si="4"/>
        <v>7</v>
      </c>
      <c r="T54" s="52">
        <f t="shared" si="5"/>
        <v>0</v>
      </c>
      <c r="U54" s="52"/>
      <c r="V54" s="50">
        <f t="shared" si="6"/>
        <v>3</v>
      </c>
      <c r="W54" s="52">
        <f t="shared" si="7"/>
        <v>0</v>
      </c>
      <c r="X54" s="32">
        <f t="shared" si="12"/>
        <v>50</v>
      </c>
      <c r="Y54" s="32" t="str">
        <f t="shared" si="8"/>
        <v>N</v>
      </c>
      <c r="Z54" s="16" t="str">
        <f t="shared" si="9"/>
        <v/>
      </c>
    </row>
    <row r="55">
      <c r="A55" s="32">
        <f t="shared" si="10"/>
        <v>51</v>
      </c>
      <c r="B55" s="33" t="s">
        <v>121</v>
      </c>
      <c r="C55" s="34">
        <v>90.0</v>
      </c>
      <c r="D55" s="34">
        <v>3.0</v>
      </c>
      <c r="E55" s="35">
        <f t="shared" si="2"/>
        <v>9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60">C55+L55</f>
        <v>99</v>
      </c>
      <c r="O55" s="34">
        <f t="shared" si="60"/>
        <v>3</v>
      </c>
      <c r="P55" s="49" t="s">
        <v>58</v>
      </c>
      <c r="Q55" s="49" t="s">
        <v>58</v>
      </c>
      <c r="R55" s="49"/>
      <c r="S55" s="50">
        <f t="shared" si="4"/>
        <v>1</v>
      </c>
      <c r="T55" s="52">
        <f t="shared" si="5"/>
        <v>0</v>
      </c>
      <c r="U55" s="52"/>
      <c r="V55" s="50">
        <f t="shared" si="6"/>
        <v>9</v>
      </c>
      <c r="W55" s="52">
        <f t="shared" si="7"/>
        <v>-3</v>
      </c>
      <c r="X55" s="32">
        <f t="shared" si="12"/>
        <v>51</v>
      </c>
      <c r="Y55" s="32" t="str">
        <f t="shared" si="8"/>
        <v>N</v>
      </c>
      <c r="Z55" s="16" t="str">
        <f t="shared" si="9"/>
        <v/>
      </c>
    </row>
    <row r="56">
      <c r="A56" s="32">
        <f t="shared" si="10"/>
        <v>52</v>
      </c>
      <c r="B56" s="33" t="s">
        <v>148</v>
      </c>
      <c r="C56" s="34">
        <v>85.0</v>
      </c>
      <c r="D56" s="34">
        <v>1.0</v>
      </c>
      <c r="E56" s="35">
        <f t="shared" si="2"/>
        <v>6.75</v>
      </c>
      <c r="F56" s="95">
        <v>5.0</v>
      </c>
      <c r="G56" s="96">
        <v>0.0</v>
      </c>
      <c r="H56" s="97">
        <v>13.0</v>
      </c>
      <c r="I56" s="96">
        <v>0.0</v>
      </c>
      <c r="J56" s="96">
        <v>0.0</v>
      </c>
      <c r="K56" s="96">
        <v>0.0</v>
      </c>
      <c r="L56" s="98">
        <v>13.0</v>
      </c>
      <c r="M56" s="96">
        <v>0.0</v>
      </c>
      <c r="N56" s="34">
        <f t="shared" ref="N56:O56" si="61">C56+L56</f>
        <v>98</v>
      </c>
      <c r="O56" s="34">
        <f t="shared" si="61"/>
        <v>1</v>
      </c>
      <c r="P56" s="49" t="s">
        <v>58</v>
      </c>
      <c r="Q56" s="49" t="s">
        <v>58</v>
      </c>
      <c r="R56" s="49"/>
      <c r="S56" s="50">
        <f t="shared" si="4"/>
        <v>4</v>
      </c>
      <c r="T56" s="52">
        <f t="shared" si="5"/>
        <v>1</v>
      </c>
      <c r="U56" s="52"/>
      <c r="V56" s="50">
        <f t="shared" si="6"/>
        <v>5</v>
      </c>
      <c r="W56" s="52">
        <f t="shared" si="7"/>
        <v>0</v>
      </c>
      <c r="X56" s="32">
        <f t="shared" si="12"/>
        <v>52</v>
      </c>
      <c r="Y56" s="32" t="str">
        <f t="shared" si="8"/>
        <v>N</v>
      </c>
      <c r="Z56" s="16" t="str">
        <f t="shared" si="9"/>
        <v/>
      </c>
    </row>
    <row r="57">
      <c r="A57" s="32">
        <f t="shared" si="10"/>
        <v>53</v>
      </c>
      <c r="B57" s="33" t="s">
        <v>95</v>
      </c>
      <c r="C57" s="34">
        <v>85.0</v>
      </c>
      <c r="D57" s="34">
        <v>1.0</v>
      </c>
      <c r="E57" s="35">
        <f t="shared" si="2"/>
        <v>0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2">C57+L57</f>
        <v>94</v>
      </c>
      <c r="O57" s="34">
        <f t="shared" si="62"/>
        <v>1</v>
      </c>
      <c r="P57" s="49" t="s">
        <v>58</v>
      </c>
      <c r="Q57" s="49" t="s">
        <v>58</v>
      </c>
      <c r="R57" s="49"/>
      <c r="S57" s="50">
        <f t="shared" si="4"/>
        <v>1</v>
      </c>
      <c r="T57" s="52">
        <f t="shared" si="5"/>
        <v>1</v>
      </c>
      <c r="U57" s="52"/>
      <c r="V57" s="50">
        <f t="shared" si="6"/>
        <v>8</v>
      </c>
      <c r="W57" s="52">
        <f t="shared" si="7"/>
        <v>0</v>
      </c>
      <c r="X57" s="32">
        <f t="shared" si="12"/>
        <v>53</v>
      </c>
      <c r="Y57" s="32" t="str">
        <f t="shared" si="8"/>
        <v>N</v>
      </c>
      <c r="Z57" s="16" t="str">
        <f t="shared" si="9"/>
        <v/>
      </c>
    </row>
    <row r="58">
      <c r="A58" s="32">
        <f t="shared" si="10"/>
        <v>54</v>
      </c>
      <c r="B58" s="33" t="s">
        <v>147</v>
      </c>
      <c r="C58" s="34">
        <v>83.0</v>
      </c>
      <c r="D58" s="34">
        <v>2.0</v>
      </c>
      <c r="E58" s="35">
        <f t="shared" si="2"/>
        <v>5.5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3">C58+L58</f>
        <v>92</v>
      </c>
      <c r="O58" s="34">
        <f t="shared" si="63"/>
        <v>2</v>
      </c>
      <c r="P58" s="49" t="s">
        <v>58</v>
      </c>
      <c r="Q58" s="49" t="s">
        <v>58</v>
      </c>
      <c r="R58" s="49"/>
      <c r="S58" s="50">
        <f t="shared" si="4"/>
        <v>2</v>
      </c>
      <c r="T58" s="52">
        <f t="shared" si="5"/>
        <v>0</v>
      </c>
      <c r="U58" s="52"/>
      <c r="V58" s="50">
        <f t="shared" si="6"/>
        <v>8</v>
      </c>
      <c r="W58" s="52">
        <f t="shared" si="7"/>
        <v>0</v>
      </c>
      <c r="X58" s="32">
        <f t="shared" si="12"/>
        <v>54</v>
      </c>
      <c r="Y58" s="32" t="str">
        <f t="shared" si="8"/>
        <v>N</v>
      </c>
      <c r="Z58" s="16" t="str">
        <f t="shared" si="9"/>
        <v/>
      </c>
    </row>
    <row r="59">
      <c r="A59" s="32">
        <f t="shared" si="10"/>
        <v>55</v>
      </c>
      <c r="B59" s="33" t="s">
        <v>101</v>
      </c>
      <c r="C59" s="34">
        <v>81.0</v>
      </c>
      <c r="D59" s="34">
        <v>2.0</v>
      </c>
      <c r="E59" s="35">
        <f t="shared" si="2"/>
        <v>7.2</v>
      </c>
      <c r="F59" s="95">
        <v>1.0</v>
      </c>
      <c r="G59" s="96">
        <v>8.0</v>
      </c>
      <c r="H59" s="97">
        <v>0.0</v>
      </c>
      <c r="I59" s="96">
        <v>3.0</v>
      </c>
      <c r="J59" s="96">
        <v>6.0</v>
      </c>
      <c r="K59" s="96">
        <v>1.0</v>
      </c>
      <c r="L59" s="98">
        <v>10.0</v>
      </c>
      <c r="M59" s="96">
        <v>1.0</v>
      </c>
      <c r="N59" s="34">
        <f t="shared" ref="N59:O59" si="64">C59+L59</f>
        <v>91</v>
      </c>
      <c r="O59" s="34">
        <f t="shared" si="64"/>
        <v>3</v>
      </c>
      <c r="P59" s="49" t="s">
        <v>58</v>
      </c>
      <c r="Q59" s="49" t="s">
        <v>58</v>
      </c>
      <c r="R59" s="49"/>
      <c r="S59" s="50">
        <f t="shared" si="4"/>
        <v>5</v>
      </c>
      <c r="T59" s="52">
        <f t="shared" si="5"/>
        <v>0</v>
      </c>
      <c r="U59" s="52"/>
      <c r="V59" s="50">
        <f t="shared" si="6"/>
        <v>5</v>
      </c>
      <c r="W59" s="52">
        <f t="shared" si="7"/>
        <v>0</v>
      </c>
      <c r="X59" s="32">
        <f t="shared" si="12"/>
        <v>55</v>
      </c>
      <c r="Y59" s="32" t="str">
        <f t="shared" si="8"/>
        <v>N</v>
      </c>
      <c r="Z59" s="16" t="str">
        <f t="shared" si="9"/>
        <v/>
      </c>
    </row>
    <row r="60">
      <c r="A60" s="32">
        <f t="shared" si="10"/>
        <v>56</v>
      </c>
      <c r="B60" s="33" t="s">
        <v>130</v>
      </c>
      <c r="C60" s="34">
        <v>81.0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5">C60+L60</f>
        <v>90</v>
      </c>
      <c r="O60" s="34">
        <f t="shared" si="65"/>
        <v>0</v>
      </c>
      <c r="P60" s="49" t="s">
        <v>58</v>
      </c>
      <c r="Q60" s="49" t="s">
        <v>58</v>
      </c>
      <c r="R60" s="49"/>
      <c r="S60" s="50">
        <f t="shared" si="4"/>
        <v>0</v>
      </c>
      <c r="T60" s="52">
        <f t="shared" si="5"/>
        <v>0</v>
      </c>
      <c r="U60" s="52"/>
      <c r="V60" s="50">
        <f t="shared" si="6"/>
        <v>10</v>
      </c>
      <c r="W60" s="52">
        <f t="shared" si="7"/>
        <v>0</v>
      </c>
      <c r="X60" s="32">
        <f t="shared" si="12"/>
        <v>56</v>
      </c>
      <c r="Y60" s="32" t="str">
        <f t="shared" si="8"/>
        <v>N</v>
      </c>
      <c r="Z60" s="16" t="str">
        <f t="shared" si="9"/>
        <v/>
      </c>
    </row>
    <row r="61">
      <c r="A61" s="32">
        <f t="shared" si="10"/>
        <v>57</v>
      </c>
      <c r="B61" s="33" t="s">
        <v>140</v>
      </c>
      <c r="C61" s="34">
        <v>81.0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6">C61+L61</f>
        <v>90</v>
      </c>
      <c r="O61" s="34">
        <f t="shared" si="66"/>
        <v>0</v>
      </c>
      <c r="P61" s="49" t="s">
        <v>58</v>
      </c>
      <c r="Q61" s="49" t="s">
        <v>58</v>
      </c>
      <c r="R61" s="49"/>
      <c r="S61" s="50">
        <f t="shared" si="4"/>
        <v>0</v>
      </c>
      <c r="T61" s="52">
        <f t="shared" si="5"/>
        <v>0</v>
      </c>
      <c r="U61" s="52"/>
      <c r="V61" s="50">
        <f t="shared" si="6"/>
        <v>10</v>
      </c>
      <c r="W61" s="52">
        <f t="shared" si="7"/>
        <v>0</v>
      </c>
      <c r="X61" s="32">
        <f t="shared" si="12"/>
        <v>57</v>
      </c>
      <c r="Y61" s="32" t="str">
        <f t="shared" si="8"/>
        <v>N</v>
      </c>
      <c r="Z61" s="16" t="str">
        <f t="shared" si="9"/>
        <v/>
      </c>
    </row>
    <row r="62">
      <c r="A62" s="32">
        <f t="shared" si="10"/>
        <v>58</v>
      </c>
      <c r="B62" s="33" t="s">
        <v>75</v>
      </c>
      <c r="C62" s="34">
        <v>81.0</v>
      </c>
      <c r="D62" s="34">
        <v>0.0</v>
      </c>
      <c r="E62" s="35">
        <f t="shared" si="2"/>
        <v>0</v>
      </c>
      <c r="F62" s="95">
        <v>1.0</v>
      </c>
      <c r="G62" s="96">
        <v>8.0</v>
      </c>
      <c r="H62" s="97">
        <v>0.0</v>
      </c>
      <c r="I62" s="96">
        <v>3.0</v>
      </c>
      <c r="J62" s="96">
        <v>4.0</v>
      </c>
      <c r="K62" s="96">
        <v>6.0</v>
      </c>
      <c r="L62" s="98">
        <v>13.0</v>
      </c>
      <c r="M62" s="96">
        <v>1.0</v>
      </c>
      <c r="N62" s="34">
        <f t="shared" ref="N62:O62" si="67">C62+L62</f>
        <v>94</v>
      </c>
      <c r="O62" s="34">
        <f t="shared" si="67"/>
        <v>1</v>
      </c>
      <c r="P62" s="49" t="s">
        <v>58</v>
      </c>
      <c r="Q62" s="49" t="s">
        <v>58</v>
      </c>
      <c r="R62" s="49"/>
      <c r="S62" s="50">
        <f t="shared" si="4"/>
        <v>1</v>
      </c>
      <c r="T62" s="52">
        <f t="shared" si="5"/>
        <v>0</v>
      </c>
      <c r="U62" s="52"/>
      <c r="V62" s="50">
        <f t="shared" si="6"/>
        <v>9</v>
      </c>
      <c r="W62" s="52">
        <f t="shared" si="7"/>
        <v>0</v>
      </c>
      <c r="X62" s="32">
        <f t="shared" si="12"/>
        <v>58</v>
      </c>
      <c r="Y62" s="32" t="str">
        <f t="shared" si="8"/>
        <v>N</v>
      </c>
      <c r="Z62" s="16" t="str">
        <f t="shared" si="9"/>
        <v/>
      </c>
    </row>
    <row r="63">
      <c r="A63" s="32">
        <f t="shared" si="10"/>
        <v>59</v>
      </c>
      <c r="B63" s="33" t="s">
        <v>69</v>
      </c>
      <c r="C63" s="34">
        <v>81.0</v>
      </c>
      <c r="D63" s="34">
        <v>0.0</v>
      </c>
      <c r="E63" s="35">
        <f t="shared" si="2"/>
        <v>0</v>
      </c>
      <c r="F63" s="95">
        <v>1.0</v>
      </c>
      <c r="G63" s="96">
        <v>8.0</v>
      </c>
      <c r="H63" s="97">
        <v>0.0</v>
      </c>
      <c r="I63" s="96">
        <v>6.0</v>
      </c>
      <c r="J63" s="96">
        <v>6.0</v>
      </c>
      <c r="K63" s="96">
        <v>6.0</v>
      </c>
      <c r="L63" s="98">
        <v>18.0</v>
      </c>
      <c r="M63" s="96">
        <v>3.0</v>
      </c>
      <c r="N63" s="34">
        <f t="shared" ref="N63:O63" si="68">C63+L63</f>
        <v>99</v>
      </c>
      <c r="O63" s="34">
        <f t="shared" si="68"/>
        <v>3</v>
      </c>
      <c r="P63" s="49" t="s">
        <v>58</v>
      </c>
      <c r="Q63" s="49" t="s">
        <v>58</v>
      </c>
      <c r="R63" s="49"/>
      <c r="S63" s="50">
        <f t="shared" si="4"/>
        <v>1</v>
      </c>
      <c r="T63" s="52">
        <f t="shared" si="5"/>
        <v>0</v>
      </c>
      <c r="U63" s="52"/>
      <c r="V63" s="50">
        <f t="shared" si="6"/>
        <v>9</v>
      </c>
      <c r="W63" s="52">
        <f t="shared" si="7"/>
        <v>0</v>
      </c>
      <c r="X63" s="32">
        <f t="shared" si="12"/>
        <v>59</v>
      </c>
      <c r="Y63" s="32" t="str">
        <f t="shared" si="8"/>
        <v>N</v>
      </c>
      <c r="Z63" s="16" t="str">
        <f t="shared" si="9"/>
        <v/>
      </c>
    </row>
    <row r="64">
      <c r="A64" s="32">
        <f t="shared" si="10"/>
        <v>60</v>
      </c>
      <c r="B64" s="33" t="s">
        <v>104</v>
      </c>
      <c r="C64" s="34">
        <v>81.0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9">C64+L64</f>
        <v>90</v>
      </c>
      <c r="O64" s="34">
        <f t="shared" si="69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10</v>
      </c>
      <c r="W64" s="52">
        <f t="shared" si="7"/>
        <v>0</v>
      </c>
      <c r="X64" s="32">
        <f t="shared" si="12"/>
        <v>60</v>
      </c>
      <c r="Y64" s="32" t="str">
        <f t="shared" si="8"/>
        <v>N</v>
      </c>
      <c r="Z64" s="16" t="str">
        <f t="shared" si="9"/>
        <v/>
      </c>
    </row>
    <row r="65">
      <c r="A65" s="32">
        <f t="shared" si="10"/>
        <v>61</v>
      </c>
      <c r="B65" s="33" t="s">
        <v>131</v>
      </c>
      <c r="C65" s="34">
        <v>81.0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70">C65+L65</f>
        <v>90</v>
      </c>
      <c r="O65" s="34">
        <f t="shared" si="70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10</v>
      </c>
      <c r="W65" s="52">
        <f t="shared" si="7"/>
        <v>0</v>
      </c>
      <c r="X65" s="32">
        <f t="shared" si="12"/>
        <v>61</v>
      </c>
      <c r="Y65" s="32" t="str">
        <f t="shared" si="8"/>
        <v>N</v>
      </c>
      <c r="Z65" s="16" t="str">
        <f t="shared" si="9"/>
        <v/>
      </c>
    </row>
    <row r="66">
      <c r="A66" s="32">
        <f t="shared" si="10"/>
        <v>62</v>
      </c>
      <c r="B66" s="33" t="s">
        <v>141</v>
      </c>
      <c r="C66" s="34">
        <v>79.0</v>
      </c>
      <c r="D66" s="34">
        <v>1.0</v>
      </c>
      <c r="E66" s="35">
        <f t="shared" si="2"/>
        <v>-2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1">C66+L66</f>
        <v>88</v>
      </c>
      <c r="O66" s="34">
        <f t="shared" si="71"/>
        <v>1</v>
      </c>
      <c r="P66" s="49" t="s">
        <v>58</v>
      </c>
      <c r="Q66" s="49" t="s">
        <v>58</v>
      </c>
      <c r="R66" s="49"/>
      <c r="S66" s="50">
        <f t="shared" si="4"/>
        <v>1</v>
      </c>
      <c r="T66" s="52">
        <f t="shared" si="5"/>
        <v>0</v>
      </c>
      <c r="U66" s="52"/>
      <c r="V66" s="50">
        <f t="shared" si="6"/>
        <v>9</v>
      </c>
      <c r="W66" s="52">
        <f t="shared" si="7"/>
        <v>0</v>
      </c>
      <c r="X66" s="32">
        <f t="shared" si="12"/>
        <v>62</v>
      </c>
      <c r="Y66" s="32" t="str">
        <f t="shared" si="8"/>
        <v>N</v>
      </c>
      <c r="Z66" s="16" t="str">
        <f t="shared" si="9"/>
        <v/>
      </c>
    </row>
    <row r="67">
      <c r="A67" s="32">
        <f t="shared" si="10"/>
        <v>63</v>
      </c>
      <c r="B67" s="33" t="s">
        <v>118</v>
      </c>
      <c r="C67" s="34">
        <v>79.0</v>
      </c>
      <c r="D67" s="34">
        <v>1.0</v>
      </c>
      <c r="E67" s="35">
        <f t="shared" si="2"/>
        <v>-2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2">C67+L67</f>
        <v>88</v>
      </c>
      <c r="O67" s="34">
        <f t="shared" si="72"/>
        <v>1</v>
      </c>
      <c r="P67" s="49" t="s">
        <v>58</v>
      </c>
      <c r="Q67" s="49" t="s">
        <v>58</v>
      </c>
      <c r="R67" s="49"/>
      <c r="S67" s="50">
        <f t="shared" si="4"/>
        <v>1</v>
      </c>
      <c r="T67" s="52">
        <f t="shared" si="5"/>
        <v>0</v>
      </c>
      <c r="U67" s="52"/>
      <c r="V67" s="50">
        <f t="shared" si="6"/>
        <v>9</v>
      </c>
      <c r="W67" s="52">
        <f t="shared" si="7"/>
        <v>0</v>
      </c>
      <c r="X67" s="32">
        <f t="shared" si="12"/>
        <v>63</v>
      </c>
      <c r="Y67" s="32" t="str">
        <f t="shared" si="8"/>
        <v>N</v>
      </c>
      <c r="Z67" s="16" t="str">
        <f t="shared" si="9"/>
        <v/>
      </c>
    </row>
    <row r="68">
      <c r="A68" s="32">
        <f t="shared" si="10"/>
        <v>64</v>
      </c>
      <c r="B68" s="33" t="s">
        <v>146</v>
      </c>
      <c r="C68" s="34">
        <v>78.0</v>
      </c>
      <c r="D68" s="34">
        <v>2.0</v>
      </c>
      <c r="E68" s="35">
        <f t="shared" si="2"/>
        <v>3</v>
      </c>
      <c r="F68" s="95">
        <v>4.0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3">C68+L68</f>
        <v>87</v>
      </c>
      <c r="O68" s="34">
        <f t="shared" si="73"/>
        <v>2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8</v>
      </c>
      <c r="W68" s="52">
        <f t="shared" si="7"/>
        <v>0</v>
      </c>
      <c r="X68" s="32">
        <f t="shared" si="12"/>
        <v>64</v>
      </c>
      <c r="Y68" s="32" t="str">
        <f t="shared" si="8"/>
        <v>N</v>
      </c>
      <c r="Z68" s="16" t="str">
        <f t="shared" si="9"/>
        <v/>
      </c>
    </row>
    <row r="69">
      <c r="A69" s="32">
        <f t="shared" si="10"/>
        <v>65</v>
      </c>
      <c r="B69" s="33" t="s">
        <v>86</v>
      </c>
      <c r="C69" s="34">
        <v>73.0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4">C69+L69</f>
        <v>82</v>
      </c>
      <c r="O69" s="34">
        <f t="shared" si="74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7</v>
      </c>
      <c r="W69" s="52">
        <f t="shared" si="7"/>
        <v>0</v>
      </c>
      <c r="X69" s="32">
        <f t="shared" si="12"/>
        <v>65</v>
      </c>
      <c r="Y69" s="32" t="str">
        <f t="shared" si="8"/>
        <v>N</v>
      </c>
      <c r="Z69" s="16" t="str">
        <f t="shared" si="9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08/30/25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desc"",0)"),"Erik Hoeckmann")</f>
        <v>Erik Hoeckmann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IFERROR(__xludf.DUMMYFUNCTION("""COMPUTED_VALUE"""),3.0)</f>
        <v>3</v>
      </c>
      <c r="F81" s="1"/>
    </row>
    <row r="82">
      <c r="A82" s="1"/>
      <c r="B82" s="33" t="str">
        <f>IFERROR(__xludf.DUMMYFUNCTION("""COMPUTED_VALUE"""),"Sean Chang")</f>
        <v>Sean Chang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IFERROR(__xludf.DUMMYFUNCTION("""COMPUTED_VALUE"""),6.0)</f>
        <v>6</v>
      </c>
      <c r="F82" s="1"/>
    </row>
    <row r="83">
      <c r="A83" s="1"/>
      <c r="B83" s="33" t="str">
        <f>IFERROR(__xludf.DUMMYFUNCTION("""COMPUTED_VALUE"""),"Pavan Akkimsetty")</f>
        <v>Pavan Akkimsetty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IFERROR(__xludf.DUMMYFUNCTION("""COMPUTED_VALUE"""),5.0)</f>
        <v>5</v>
      </c>
      <c r="F83" s="1"/>
    </row>
    <row r="84">
      <c r="A84" s="1"/>
      <c r="B84" s="33" t="str">
        <f>IFERROR(__xludf.DUMMYFUNCTION("""COMPUTED_VALUE"""),"Tina Hanson")</f>
        <v>Tina Hanson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IFERROR(__xludf.DUMMYFUNCTION("""COMPUTED_VALUE"""),7.0)</f>
        <v>7</v>
      </c>
      <c r="F84" s="1"/>
    </row>
    <row r="85">
      <c r="A85" s="1"/>
      <c r="B85" s="33" t="str">
        <f>IFERROR(__xludf.DUMMYFUNCTION("""COMPUTED_VALUE"""),"Jonathan Phan")</f>
        <v>Jonathan Phan</v>
      </c>
      <c r="C85" s="117">
        <f>IFERROR(__xludf.DUMMYFUNCTION("""COMPUTED_VALUE"""),18.0)</f>
        <v>18</v>
      </c>
      <c r="D85" s="117">
        <f>IFERROR(__xludf.DUMMYFUNCTION("""COMPUTED_VALUE"""),2.0)</f>
        <v>2</v>
      </c>
      <c r="E85" s="117">
        <f>IFERROR(__xludf.DUMMYFUNCTION("""COMPUTED_VALUE"""),2.0)</f>
        <v>2</v>
      </c>
      <c r="F85" s="1"/>
    </row>
    <row r="86">
      <c r="A86" s="1"/>
      <c r="B86" s="33" t="str">
        <f>IFERROR(__xludf.DUMMYFUNCTION("""COMPUTED_VALUE"""),"Cid Macaraeg")</f>
        <v>Cid Macaraeg</v>
      </c>
      <c r="C86" s="117">
        <f>IFERROR(__xludf.DUMMYFUNCTION("""COMPUTED_VALUE"""),18.0)</f>
        <v>18</v>
      </c>
      <c r="D86" s="117">
        <f>IFERROR(__xludf.DUMMYFUNCTION("""COMPUTED_VALUE"""),2.0)</f>
        <v>2</v>
      </c>
      <c r="E86" s="117">
        <f>IFERROR(__xludf.DUMMYFUNCTION("""COMPUTED_VALUE"""),8.0)</f>
        <v>8</v>
      </c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10"")"),"Sean Chang")</f>
        <v>Sean Chang</v>
      </c>
      <c r="C100" s="117">
        <f>IFERROR(__xludf.DUMMYFUNCTION("""COMPUTED_VALUE"""),13.0)</f>
        <v>13</v>
      </c>
      <c r="D100" s="117">
        <f t="shared" ref="D100:D109" si="75">VLOOKUP(B100,indirect($AC$2&amp;"!B$5:X$69"),23, false)</f>
        <v>32</v>
      </c>
      <c r="E100" s="117">
        <f t="shared" ref="E100:E109" si="76">VLOOKUP(B100,B$5:X$69,23, false)</f>
        <v>19</v>
      </c>
      <c r="F100" s="117">
        <f t="shared" ref="F100:F109" si="77">VLOOKUP(B100,indirect($AC$2&amp;"!B$5:U$70"),11, false)</f>
        <v>19</v>
      </c>
      <c r="G100" s="117">
        <f t="shared" ref="G100:G109" si="78">VLOOKUP(B100,indirect($AC$2&amp;"!B$5:U$70"),6, false)</f>
        <v>6</v>
      </c>
      <c r="L100" s="117" t="str">
        <f t="shared" ref="L100:L109" si="79">if(D100-E100=C100,"ok","Error")</f>
        <v>ok</v>
      </c>
    </row>
    <row r="101">
      <c r="A101" s="1"/>
      <c r="B101" s="33" t="str">
        <f>IFERROR(__xludf.DUMMYFUNCTION("""COMPUTED_VALUE"""),"Erik Hoeckmann")</f>
        <v>Erik Hoeckmann</v>
      </c>
      <c r="C101" s="117">
        <f>IFERROR(__xludf.DUMMYFUNCTION("""COMPUTED_VALUE"""),9.0)</f>
        <v>9</v>
      </c>
      <c r="D101" s="117">
        <f t="shared" si="75"/>
        <v>14</v>
      </c>
      <c r="E101" s="117">
        <f t="shared" si="76"/>
        <v>5</v>
      </c>
      <c r="F101" s="117">
        <f t="shared" si="77"/>
        <v>19</v>
      </c>
      <c r="G101" s="117">
        <f t="shared" si="78"/>
        <v>3</v>
      </c>
      <c r="L101" s="117" t="str">
        <f t="shared" si="79"/>
        <v>ok</v>
      </c>
    </row>
    <row r="102">
      <c r="A102" s="1"/>
      <c r="B102" s="33" t="str">
        <f>IFERROR(__xludf.DUMMYFUNCTION("""COMPUTED_VALUE"""),"Pavan Akkimsetty")</f>
        <v>Pavan Akkimsetty</v>
      </c>
      <c r="C102" s="117">
        <f>IFERROR(__xludf.DUMMYFUNCTION("""COMPUTED_VALUE"""),8.0)</f>
        <v>8</v>
      </c>
      <c r="D102" s="117">
        <f t="shared" si="75"/>
        <v>35</v>
      </c>
      <c r="E102" s="117">
        <f t="shared" si="76"/>
        <v>27</v>
      </c>
      <c r="F102" s="117">
        <f t="shared" si="77"/>
        <v>18</v>
      </c>
      <c r="G102" s="117">
        <f t="shared" si="78"/>
        <v>5</v>
      </c>
      <c r="L102" s="117" t="str">
        <f t="shared" si="79"/>
        <v>ok</v>
      </c>
    </row>
    <row r="103">
      <c r="A103" s="1"/>
      <c r="B103" s="33" t="str">
        <f>IFERROR(__xludf.DUMMYFUNCTION("""COMPUTED_VALUE"""),"Tom Le")</f>
        <v>Tom Le</v>
      </c>
      <c r="C103" s="117">
        <f>IFERROR(__xludf.DUMMYFUNCTION("""COMPUTED_VALUE"""),7.0)</f>
        <v>7</v>
      </c>
      <c r="D103" s="117">
        <f t="shared" si="75"/>
        <v>11</v>
      </c>
      <c r="E103" s="117">
        <f t="shared" si="76"/>
        <v>4</v>
      </c>
      <c r="F103" s="117">
        <f t="shared" si="77"/>
        <v>17</v>
      </c>
      <c r="G103" s="117">
        <f t="shared" si="78"/>
        <v>2</v>
      </c>
      <c r="L103" s="117" t="str">
        <f t="shared" si="79"/>
        <v>ok</v>
      </c>
    </row>
    <row r="104">
      <c r="A104" s="1"/>
      <c r="B104" s="33" t="str">
        <f>IFERROR(__xludf.DUMMYFUNCTION("""COMPUTED_VALUE"""),"Jim Miao")</f>
        <v>Jim Miao</v>
      </c>
      <c r="C104" s="117">
        <f>IFERROR(__xludf.DUMMYFUNCTION("""COMPUTED_VALUE"""),7.0)</f>
        <v>7</v>
      </c>
      <c r="D104" s="117">
        <f t="shared" si="75"/>
        <v>47</v>
      </c>
      <c r="E104" s="117">
        <f t="shared" si="76"/>
        <v>40</v>
      </c>
      <c r="F104" s="117">
        <f t="shared" si="77"/>
        <v>16</v>
      </c>
      <c r="G104" s="117">
        <f t="shared" si="78"/>
        <v>8</v>
      </c>
      <c r="L104" s="117" t="str">
        <f t="shared" si="79"/>
        <v>ok</v>
      </c>
    </row>
    <row r="105">
      <c r="A105" s="1"/>
      <c r="B105" s="33" t="str">
        <f>IFERROR(__xludf.DUMMYFUNCTION("""COMPUTED_VALUE"""),"Jonathan Phan")</f>
        <v>Jonathan Phan</v>
      </c>
      <c r="C105" s="117">
        <f>IFERROR(__xludf.DUMMYFUNCTION("""COMPUTED_VALUE"""),6.0)</f>
        <v>6</v>
      </c>
      <c r="D105" s="117">
        <f t="shared" si="75"/>
        <v>12</v>
      </c>
      <c r="E105" s="117">
        <f t="shared" si="76"/>
        <v>6</v>
      </c>
      <c r="F105" s="117">
        <f t="shared" si="77"/>
        <v>18</v>
      </c>
      <c r="G105" s="117">
        <f t="shared" si="78"/>
        <v>2</v>
      </c>
      <c r="L105" s="117" t="str">
        <f t="shared" si="79"/>
        <v>ok</v>
      </c>
    </row>
    <row r="106">
      <c r="A106" s="1"/>
      <c r="B106" s="33" t="str">
        <f>IFERROR(__xludf.DUMMYFUNCTION("""COMPUTED_VALUE"""),"Elayaraja Thangaraj")</f>
        <v>Elayaraja Thangaraj</v>
      </c>
      <c r="C106" s="117">
        <f>IFERROR(__xludf.DUMMYFUNCTION("""COMPUTED_VALUE"""),6.0)</f>
        <v>6</v>
      </c>
      <c r="D106" s="117">
        <f t="shared" si="75"/>
        <v>24</v>
      </c>
      <c r="E106" s="117">
        <f t="shared" si="76"/>
        <v>18</v>
      </c>
      <c r="F106" s="117">
        <f t="shared" si="77"/>
        <v>15</v>
      </c>
      <c r="G106" s="117">
        <f t="shared" si="78"/>
        <v>4</v>
      </c>
      <c r="L106" s="117" t="str">
        <f t="shared" si="79"/>
        <v>ok</v>
      </c>
    </row>
    <row r="107">
      <c r="A107" s="1"/>
      <c r="B107" s="33" t="str">
        <f>IFERROR(__xludf.DUMMYFUNCTION("""COMPUTED_VALUE"""),"Jimmy Awolesi")</f>
        <v>Jimmy Awolesi</v>
      </c>
      <c r="C107" s="117">
        <f>IFERROR(__xludf.DUMMYFUNCTION("""COMPUTED_VALUE"""),5.0)</f>
        <v>5</v>
      </c>
      <c r="D107" s="117">
        <f t="shared" si="75"/>
        <v>34</v>
      </c>
      <c r="E107" s="117">
        <f t="shared" si="76"/>
        <v>29</v>
      </c>
      <c r="F107" s="117">
        <f t="shared" si="77"/>
        <v>15</v>
      </c>
      <c r="G107" s="117">
        <f t="shared" si="78"/>
        <v>6</v>
      </c>
      <c r="L107" s="117" t="str">
        <f t="shared" si="79"/>
        <v>ok</v>
      </c>
    </row>
    <row r="108">
      <c r="A108" s="1"/>
      <c r="B108" s="33" t="str">
        <f>IFERROR(__xludf.DUMMYFUNCTION("""COMPUTED_VALUE"""),"Tina Hanson")</f>
        <v>Tina Hanson</v>
      </c>
      <c r="C108" s="117">
        <f>IFERROR(__xludf.DUMMYFUNCTION("""COMPUTED_VALUE"""),5.0)</f>
        <v>5</v>
      </c>
      <c r="D108" s="117">
        <f t="shared" si="75"/>
        <v>40</v>
      </c>
      <c r="E108" s="117">
        <f t="shared" si="76"/>
        <v>35</v>
      </c>
      <c r="F108" s="117">
        <f t="shared" si="77"/>
        <v>18</v>
      </c>
      <c r="G108" s="117">
        <f t="shared" si="78"/>
        <v>7</v>
      </c>
      <c r="L108" s="117" t="str">
        <f t="shared" si="79"/>
        <v>ok</v>
      </c>
    </row>
    <row r="109">
      <c r="A109" s="1"/>
      <c r="B109" s="33" t="str">
        <f>IFERROR(__xludf.DUMMYFUNCTION("""COMPUTED_VALUE"""),"Basudev Thoppai Vidyasankar")</f>
        <v>Basudev Thoppai Vidyasankar</v>
      </c>
      <c r="C109" s="117">
        <f>IFERROR(__xludf.DUMMYFUNCTION("""COMPUTED_VALUE"""),4.0)</f>
        <v>4</v>
      </c>
      <c r="D109" s="117">
        <f t="shared" si="75"/>
        <v>15</v>
      </c>
      <c r="E109" s="117">
        <f t="shared" si="76"/>
        <v>11</v>
      </c>
      <c r="F109" s="117">
        <f t="shared" si="77"/>
        <v>15</v>
      </c>
      <c r="G109" s="117">
        <f t="shared" si="78"/>
        <v>3</v>
      </c>
      <c r="L109" s="117" t="str">
        <f t="shared" si="79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10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80">A5</f>
        <v>1</v>
      </c>
      <c r="B118" s="33" t="str">
        <f t="shared" si="80"/>
        <v>Pulkit Mathur</v>
      </c>
      <c r="C118" s="117">
        <f t="shared" si="80"/>
        <v>130</v>
      </c>
      <c r="D118" s="117">
        <f t="shared" si="80"/>
        <v>15</v>
      </c>
      <c r="E118" s="117">
        <f t="shared" si="80"/>
        <v>14</v>
      </c>
      <c r="F118" s="1"/>
    </row>
    <row r="119">
      <c r="A119" s="117">
        <f t="shared" ref="A119:E119" si="81">A6</f>
        <v>2</v>
      </c>
      <c r="B119" s="33" t="str">
        <f t="shared" si="81"/>
        <v>Lam Bui</v>
      </c>
      <c r="C119" s="117">
        <f t="shared" si="81"/>
        <v>130</v>
      </c>
      <c r="D119" s="117">
        <f t="shared" si="81"/>
        <v>14</v>
      </c>
      <c r="E119" s="117">
        <f t="shared" si="81"/>
        <v>14</v>
      </c>
      <c r="F119" s="1"/>
    </row>
    <row r="120">
      <c r="A120" s="117">
        <f t="shared" ref="A120:E120" si="82">A7</f>
        <v>3</v>
      </c>
      <c r="B120" s="33" t="str">
        <f t="shared" si="82"/>
        <v>Darren Wong</v>
      </c>
      <c r="C120" s="117">
        <f t="shared" si="82"/>
        <v>126</v>
      </c>
      <c r="D120" s="117">
        <f t="shared" si="82"/>
        <v>15</v>
      </c>
      <c r="E120" s="117">
        <f t="shared" si="82"/>
        <v>14.14285714</v>
      </c>
      <c r="F120" s="1"/>
    </row>
    <row r="121">
      <c r="A121" s="117">
        <f t="shared" ref="A121:E121" si="83">A8</f>
        <v>4</v>
      </c>
      <c r="B121" s="33" t="str">
        <f t="shared" si="83"/>
        <v>Tom Le</v>
      </c>
      <c r="C121" s="117">
        <f t="shared" si="83"/>
        <v>125</v>
      </c>
      <c r="D121" s="117">
        <f t="shared" si="83"/>
        <v>14</v>
      </c>
      <c r="E121" s="117">
        <f t="shared" si="83"/>
        <v>13.375</v>
      </c>
      <c r="F121" s="1"/>
    </row>
    <row r="122">
      <c r="A122" s="117">
        <f t="shared" ref="A122:E122" si="84">A9</f>
        <v>5</v>
      </c>
      <c r="B122" s="33" t="str">
        <f t="shared" si="84"/>
        <v>Erik Hoeckmann</v>
      </c>
      <c r="C122" s="117">
        <f t="shared" si="84"/>
        <v>125</v>
      </c>
      <c r="D122" s="117">
        <f t="shared" si="84"/>
        <v>12</v>
      </c>
      <c r="E122" s="117">
        <f t="shared" si="84"/>
        <v>13.375</v>
      </c>
      <c r="F122" s="1"/>
    </row>
    <row r="123">
      <c r="A123" s="117">
        <f t="shared" ref="A123:E123" si="85">A10</f>
        <v>6</v>
      </c>
      <c r="B123" s="33" t="str">
        <f t="shared" si="85"/>
        <v>Jonathan Phan</v>
      </c>
      <c r="C123" s="117">
        <f t="shared" si="85"/>
        <v>124</v>
      </c>
      <c r="D123" s="117">
        <f t="shared" si="85"/>
        <v>12</v>
      </c>
      <c r="E123" s="117">
        <f t="shared" si="85"/>
        <v>13.25</v>
      </c>
      <c r="F123" s="1"/>
    </row>
    <row r="124">
      <c r="A124" s="117">
        <f t="shared" ref="A124:E124" si="86">A11</f>
        <v>7</v>
      </c>
      <c r="B124" s="33" t="str">
        <f t="shared" si="86"/>
        <v>David Shin</v>
      </c>
      <c r="C124" s="117">
        <f t="shared" si="86"/>
        <v>124</v>
      </c>
      <c r="D124" s="117">
        <f t="shared" si="86"/>
        <v>12</v>
      </c>
      <c r="E124" s="117">
        <f t="shared" si="86"/>
        <v>12.77777778</v>
      </c>
      <c r="F124" s="1"/>
    </row>
    <row r="125">
      <c r="A125" s="117">
        <f t="shared" ref="A125:E125" si="87">A12</f>
        <v>8</v>
      </c>
      <c r="B125" s="33" t="str">
        <f t="shared" si="87"/>
        <v>Scott Li</v>
      </c>
      <c r="C125" s="117">
        <f t="shared" si="87"/>
        <v>122</v>
      </c>
      <c r="D125" s="117">
        <f t="shared" si="87"/>
        <v>15</v>
      </c>
      <c r="E125" s="117">
        <f t="shared" si="87"/>
        <v>12.55555556</v>
      </c>
      <c r="F125" s="1"/>
    </row>
    <row r="126">
      <c r="A126" s="117">
        <f t="shared" ref="A126:E126" si="88">A13</f>
        <v>9</v>
      </c>
      <c r="B126" s="33" t="str">
        <f t="shared" si="88"/>
        <v>Eric Pan</v>
      </c>
      <c r="C126" s="117">
        <f t="shared" si="88"/>
        <v>122</v>
      </c>
      <c r="D126" s="117">
        <f t="shared" si="88"/>
        <v>12</v>
      </c>
      <c r="E126" s="117">
        <f t="shared" si="88"/>
        <v>13.57142857</v>
      </c>
      <c r="F126" s="1"/>
    </row>
    <row r="127">
      <c r="A127" s="117">
        <f t="shared" ref="A127:E127" si="89">A14</f>
        <v>10</v>
      </c>
      <c r="B127" s="33" t="str">
        <f t="shared" si="89"/>
        <v>Ethan Gu</v>
      </c>
      <c r="C127" s="117">
        <f t="shared" si="89"/>
        <v>120</v>
      </c>
      <c r="D127" s="117">
        <f t="shared" si="89"/>
        <v>15</v>
      </c>
      <c r="E127" s="117">
        <f t="shared" si="89"/>
        <v>12.33333333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Data!F91</f>
        <v>Adrian Tay</v>
      </c>
      <c r="C134" s="117">
        <f>Data!G91</f>
        <v>12</v>
      </c>
      <c r="D134" s="1"/>
      <c r="E134" s="1"/>
      <c r="F134" s="1"/>
    </row>
    <row r="135">
      <c r="A135" s="1"/>
      <c r="B135" s="33" t="str">
        <f>Data!F92</f>
        <v>Darren Wong</v>
      </c>
      <c r="C135" s="117">
        <f>Data!G92</f>
        <v>4</v>
      </c>
      <c r="D135" s="1"/>
      <c r="E135" s="1"/>
      <c r="F135" s="1"/>
    </row>
    <row r="136">
      <c r="A136" s="1"/>
      <c r="B136" s="33" t="str">
        <f>Data!F93</f>
        <v>Eric Pan</v>
      </c>
      <c r="C136" s="117">
        <f>Data!G93</f>
        <v>1</v>
      </c>
      <c r="D136" s="1"/>
      <c r="E136" s="1"/>
      <c r="F136" s="1"/>
    </row>
    <row r="137">
      <c r="A137" s="1"/>
      <c r="B137" s="33" t="str">
        <f>Data!F94</f>
        <v>Frank Moon</v>
      </c>
      <c r="C137" s="117">
        <f>Data!G94</f>
        <v>1</v>
      </c>
      <c r="D137" s="1"/>
      <c r="E137" s="1"/>
      <c r="F137" s="1"/>
    </row>
    <row r="138">
      <c r="A138" s="1"/>
      <c r="B138" s="33" t="str">
        <f>Data!F95</f>
        <v>Lam Bui</v>
      </c>
      <c r="C138" s="117">
        <f>Data!G95</f>
        <v>1</v>
      </c>
      <c r="D138" s="1"/>
      <c r="E138" s="1"/>
      <c r="F138" s="1"/>
    </row>
    <row r="139">
      <c r="A139" s="1"/>
      <c r="B139" s="33" t="str">
        <f>Data!F96</f>
        <v>Pulkit Mathur</v>
      </c>
      <c r="C139" s="117">
        <f>Data!G96</f>
        <v>4</v>
      </c>
      <c r="D139" s="1"/>
      <c r="E139" s="1"/>
      <c r="F139" s="1"/>
    </row>
    <row r="140">
      <c r="A140" s="1"/>
      <c r="B140" s="33" t="str">
        <f>Data!F97</f>
        <v>Robert Chang</v>
      </c>
      <c r="C140" s="117">
        <f>Data!G97</f>
        <v>1</v>
      </c>
      <c r="D140" s="1"/>
      <c r="E140" s="1"/>
      <c r="F140" s="1"/>
    </row>
    <row r="141">
      <c r="A141" s="1"/>
      <c r="B141" s="33" t="str">
        <f>Data!F98</f>
        <v/>
      </c>
      <c r="C141" s="117" t="str">
        <f>Data!G98</f>
        <v/>
      </c>
      <c r="D141" s="1"/>
      <c r="E141" s="1"/>
      <c r="F141" s="1"/>
    </row>
    <row r="142">
      <c r="A142" s="1"/>
      <c r="B142" s="33" t="str">
        <f>Data!F99</f>
        <v/>
      </c>
      <c r="C142" s="117" t="str">
        <f>Data!G99</f>
        <v/>
      </c>
      <c r="D142" s="1"/>
      <c r="E142" s="1"/>
      <c r="F142" s="1"/>
    </row>
    <row r="143">
      <c r="A143" s="1"/>
      <c r="B143" s="33" t="str">
        <f>Data!F100</f>
        <v/>
      </c>
      <c r="C143" s="117" t="str">
        <f>Data!G100</f>
        <v/>
      </c>
      <c r="D143" s="1"/>
      <c r="E143" s="1"/>
      <c r="F143" s="1"/>
    </row>
    <row r="144">
      <c r="A144" s="1"/>
      <c r="B144" s="33" t="str">
        <f>Data!F101</f>
        <v/>
      </c>
      <c r="C144" s="117" t="str">
        <f>Data!G101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IFERROR(__xludf.DUMMYFUNCTION("query(B5:Y69,""select B where Y = 'Y' order by B ASC"")"),"Alex Hou")</f>
        <v>Alex Hou</v>
      </c>
      <c r="C153" s="1"/>
      <c r="D153" s="1"/>
      <c r="E153" s="1"/>
      <c r="F153" s="1"/>
    </row>
    <row r="154">
      <c r="A154" s="117">
        <f t="shared" ref="A154:A168" si="90">if(B154&lt;&gt;"",A153+1,0)</f>
        <v>2</v>
      </c>
      <c r="B154" s="33" t="str">
        <f>IFERROR(__xludf.DUMMYFUNCTION("""COMPUTED_VALUE"""),"Allen Zhang")</f>
        <v>Allen Zhang</v>
      </c>
      <c r="C154" s="1"/>
      <c r="D154" s="1"/>
      <c r="E154" s="1"/>
      <c r="F154" s="1"/>
      <c r="P154" s="33"/>
    </row>
    <row r="155">
      <c r="A155" s="117">
        <f t="shared" si="90"/>
        <v>3</v>
      </c>
      <c r="B155" s="33" t="str">
        <f>IFERROR(__xludf.DUMMYFUNCTION("""COMPUTED_VALUE"""),"Chinna Ponnaganti")</f>
        <v>Chinna Ponnaganti</v>
      </c>
      <c r="C155" s="1"/>
      <c r="D155" s="1"/>
      <c r="E155" s="1"/>
      <c r="F155" s="1"/>
    </row>
    <row r="156">
      <c r="A156" s="117">
        <f t="shared" si="90"/>
        <v>4</v>
      </c>
      <c r="B156" s="33" t="str">
        <f>IFERROR(__xludf.DUMMYFUNCTION("""COMPUTED_VALUE"""),"Frank Moon")</f>
        <v>Frank Moon</v>
      </c>
      <c r="C156" s="1"/>
      <c r="D156" s="1"/>
      <c r="E156" s="1"/>
      <c r="F156" s="1"/>
    </row>
    <row r="157">
      <c r="A157" s="117">
        <f t="shared" si="90"/>
        <v>5</v>
      </c>
      <c r="B157" s="33" t="str">
        <f>IFERROR(__xludf.DUMMYFUNCTION("""COMPUTED_VALUE"""),"Nicole Ni")</f>
        <v>Nicole Ni</v>
      </c>
      <c r="C157" s="1"/>
      <c r="D157" s="1"/>
      <c r="E157" s="1"/>
      <c r="F157" s="1"/>
    </row>
    <row r="158">
      <c r="A158" s="117">
        <f t="shared" si="90"/>
        <v>0</v>
      </c>
      <c r="B158" s="33"/>
      <c r="C158" s="1"/>
      <c r="D158" s="1"/>
      <c r="E158" s="1"/>
      <c r="F158" s="1"/>
    </row>
    <row r="159">
      <c r="A159" s="117">
        <f t="shared" si="90"/>
        <v>0</v>
      </c>
      <c r="B159" s="33"/>
      <c r="C159" s="1"/>
      <c r="D159" s="1"/>
      <c r="E159" s="1"/>
      <c r="F159" s="1"/>
    </row>
    <row r="160">
      <c r="A160" s="117">
        <f t="shared" si="90"/>
        <v>0</v>
      </c>
      <c r="B160" s="33"/>
      <c r="C160" s="1"/>
      <c r="D160" s="1"/>
      <c r="E160" s="1"/>
      <c r="F160" s="1"/>
    </row>
    <row r="161">
      <c r="A161" s="117">
        <f t="shared" si="90"/>
        <v>0</v>
      </c>
      <c r="B161" s="33"/>
      <c r="C161" s="1"/>
      <c r="D161" s="1"/>
      <c r="E161" s="1"/>
      <c r="F161" s="1"/>
    </row>
    <row r="162">
      <c r="A162" s="117">
        <f t="shared" si="90"/>
        <v>0</v>
      </c>
      <c r="B162" s="33"/>
      <c r="C162" s="1"/>
      <c r="D162" s="1"/>
      <c r="E162" s="1"/>
      <c r="F162" s="1"/>
    </row>
    <row r="163">
      <c r="A163" s="117">
        <f t="shared" si="90"/>
        <v>0</v>
      </c>
      <c r="B163" s="33"/>
      <c r="C163" s="1"/>
      <c r="D163" s="1"/>
      <c r="E163" s="1"/>
      <c r="F163" s="1"/>
    </row>
    <row r="164">
      <c r="A164" s="117">
        <f t="shared" si="90"/>
        <v>0</v>
      </c>
      <c r="B164" s="33"/>
      <c r="C164" s="1"/>
      <c r="D164" s="1"/>
      <c r="E164" s="1"/>
      <c r="F164" s="1"/>
    </row>
    <row r="165">
      <c r="A165" s="117">
        <f t="shared" si="90"/>
        <v>0</v>
      </c>
      <c r="B165" s="33"/>
      <c r="C165" s="1"/>
      <c r="D165" s="1"/>
      <c r="E165" s="1"/>
      <c r="F165" s="1"/>
    </row>
    <row r="166">
      <c r="A166" s="117">
        <f t="shared" si="90"/>
        <v>0</v>
      </c>
      <c r="B166" s="33"/>
      <c r="C166" s="1"/>
      <c r="D166" s="1"/>
      <c r="E166" s="1"/>
      <c r="F166" s="1"/>
    </row>
    <row r="167">
      <c r="A167" s="117">
        <f t="shared" si="90"/>
        <v>0</v>
      </c>
      <c r="B167" s="33"/>
      <c r="C167" s="1"/>
      <c r="D167" s="1"/>
      <c r="E167" s="1"/>
      <c r="F167" s="1"/>
    </row>
    <row r="168">
      <c r="A168" s="117">
        <f t="shared" si="90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08/30/25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IFERROR(__xludf.DUMMYFUNCTION("""COMPUTED_VALUE"""),"Pulkit Mathur")</f>
        <v>Pulkit Mathur</v>
      </c>
      <c r="C184" s="122">
        <f>IFERROR(__xludf.DUMMYFUNCTION("""COMPUTED_VALUE"""),5.0)</f>
        <v>5</v>
      </c>
      <c r="D184" s="122">
        <f>IFERROR(__xludf.DUMMYFUNCTION("""COMPUTED_VALUE"""),6.0)</f>
        <v>6</v>
      </c>
      <c r="E184" s="122">
        <f>IFERROR(__xludf.DUMMYFUNCTION("""COMPUTED_VALUE"""),6.0)</f>
        <v>6</v>
      </c>
      <c r="F184" s="122">
        <f>IFERROR(__xludf.DUMMYFUNCTION("""COMPUTED_VALUE"""),17.0)</f>
        <v>17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IFERROR(__xludf.DUMMYFUNCTION("""COMPUTED_VALUE"""),"Lam Bui")</f>
        <v>Lam Bui</v>
      </c>
      <c r="C185" s="122">
        <f>IFERROR(__xludf.DUMMYFUNCTION("""COMPUTED_VALUE"""),7.0)</f>
        <v>7</v>
      </c>
      <c r="D185" s="122">
        <f>IFERROR(__xludf.DUMMYFUNCTION("""COMPUTED_VALUE"""),4.0)</f>
        <v>4</v>
      </c>
      <c r="E185" s="122">
        <f>IFERROR(__xludf.DUMMYFUNCTION("""COMPUTED_VALUE"""),6.0)</f>
        <v>6</v>
      </c>
      <c r="F185" s="122">
        <f>IFERROR(__xludf.DUMMYFUNCTION("""COMPUTED_VALUE"""),17.0)</f>
        <v>17</v>
      </c>
      <c r="G185" s="122">
        <f>IFERROR(__xludf.DUMMYFUNCTION("""COMPUTED_VALUE"""),2.0)</f>
        <v>2</v>
      </c>
    </row>
    <row r="186">
      <c r="A186" s="117">
        <f>IFERROR(__xludf.DUMMYFUNCTION("""COMPUTED_VALUE"""),1.0)</f>
        <v>1</v>
      </c>
      <c r="B186" s="33" t="str">
        <f>IFERROR(__xludf.DUMMYFUNCTION("""COMPUTED_VALUE"""),"David Shin")</f>
        <v>David Shin</v>
      </c>
      <c r="C186" s="122">
        <f>IFERROR(__xludf.DUMMYFUNCTION("""COMPUTED_VALUE"""),7.0)</f>
        <v>7</v>
      </c>
      <c r="D186" s="122">
        <f>IFERROR(__xludf.DUMMYFUNCTION("""COMPUTED_VALUE"""),6.0)</f>
        <v>6</v>
      </c>
      <c r="E186" s="122">
        <f>IFERROR(__xludf.DUMMYFUNCTION("""COMPUTED_VALUE"""),1.0)</f>
        <v>1</v>
      </c>
      <c r="F186" s="122">
        <f>IFERROR(__xludf.DUMMYFUNCTION("""COMPUTED_VALUE"""),14.0)</f>
        <v>14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IFERROR(__xludf.DUMMYFUNCTION("""COMPUTED_VALUE"""),"Frank Moon")</f>
        <v>Frank Moon</v>
      </c>
      <c r="C187" s="122">
        <f>IFERROR(__xludf.DUMMYFUNCTION("""COMPUTED_VALUE"""),5.0)</f>
        <v>5</v>
      </c>
      <c r="D187" s="122">
        <f>IFERROR(__xludf.DUMMYFUNCTION("""COMPUTED_VALUE"""),4.0)</f>
        <v>4</v>
      </c>
      <c r="E187" s="122">
        <f>IFERROR(__xludf.DUMMYFUNCTION("""COMPUTED_VALUE"""),1.0)</f>
        <v>1</v>
      </c>
      <c r="F187" s="122">
        <f>IFERROR(__xludf.DUMMYFUNCTION("""COMPUTED_VALUE"""),10.0)</f>
        <v>10</v>
      </c>
      <c r="G187" s="122">
        <f>IFERROR(__xludf.DUMMYFUNCTION("""COMPUTED_VALUE"""),0.0)</f>
        <v>0</v>
      </c>
    </row>
    <row r="188">
      <c r="A188" s="123">
        <f>IFERROR(__xludf.DUMMYFUNCTION("""COMPUTED_VALUE"""),2.0)</f>
        <v>2</v>
      </c>
      <c r="B188" s="124" t="str">
        <f>IFERROR(__xludf.DUMMYFUNCTION("""COMPUTED_VALUE"""),"Scott Li")</f>
        <v>Scott Li</v>
      </c>
      <c r="C188" s="125">
        <f>IFERROR(__xludf.DUMMYFUNCTION("""COMPUTED_VALUE"""),6.0)</f>
        <v>6</v>
      </c>
      <c r="D188" s="125">
        <f>IFERROR(__xludf.DUMMYFUNCTION("""COMPUTED_VALUE"""),7.0)</f>
        <v>7</v>
      </c>
      <c r="E188" s="125">
        <f>IFERROR(__xludf.DUMMYFUNCTION("""COMPUTED_VALUE"""),1.0)</f>
        <v>1</v>
      </c>
      <c r="F188" s="125">
        <f>IFERROR(__xludf.DUMMYFUNCTION("""COMPUTED_VALUE"""),14.0)</f>
        <v>14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IFERROR(__xludf.DUMMYFUNCTION("""COMPUTED_VALUE"""),"Tom Le")</f>
        <v>Tom Le</v>
      </c>
      <c r="C189" s="125">
        <f>IFERROR(__xludf.DUMMYFUNCTION("""COMPUTED_VALUE"""),4.0)</f>
        <v>4</v>
      </c>
      <c r="D189" s="125">
        <f>IFERROR(__xludf.DUMMYFUNCTION("""COMPUTED_VALUE"""),7.0)</f>
        <v>7</v>
      </c>
      <c r="E189" s="125">
        <f>IFERROR(__xludf.DUMMYFUNCTION("""COMPUTED_VALUE"""),6.0)</f>
        <v>6</v>
      </c>
      <c r="F189" s="125">
        <f>IFERROR(__xludf.DUMMYFUNCTION("""COMPUTED_VALUE"""),17.0)</f>
        <v>17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IFERROR(__xludf.DUMMYFUNCTION("""COMPUTED_VALUE"""),"Jonathan Phan")</f>
        <v>Jonathan Phan</v>
      </c>
      <c r="C190" s="125">
        <f>IFERROR(__xludf.DUMMYFUNCTION("""COMPUTED_VALUE"""),6.0)</f>
        <v>6</v>
      </c>
      <c r="D190" s="125">
        <f>IFERROR(__xludf.DUMMYFUNCTION("""COMPUTED_VALUE"""),6.0)</f>
        <v>6</v>
      </c>
      <c r="E190" s="125">
        <f>IFERROR(__xludf.DUMMYFUNCTION("""COMPUTED_VALUE"""),6.0)</f>
        <v>6</v>
      </c>
      <c r="F190" s="125">
        <f>IFERROR(__xludf.DUMMYFUNCTION("""COMPUTED_VALUE"""),18.0)</f>
        <v>18</v>
      </c>
      <c r="G190" s="125">
        <f>IFERROR(__xludf.DUMMYFUNCTION("""COMPUTED_VALUE"""),2.0)</f>
        <v>2</v>
      </c>
    </row>
    <row r="191">
      <c r="A191" s="123">
        <f>IFERROR(__xludf.DUMMYFUNCTION("""COMPUTED_VALUE"""),2.0)</f>
        <v>2</v>
      </c>
      <c r="B191" s="124" t="str">
        <f>IFERROR(__xludf.DUMMYFUNCTION("""COMPUTED_VALUE"""),"Oscar Bonilla")</f>
        <v>Oscar Bonilla</v>
      </c>
      <c r="C191" s="125">
        <f>IFERROR(__xludf.DUMMYFUNCTION("""COMPUTED_VALUE"""),4.0)</f>
        <v>4</v>
      </c>
      <c r="D191" s="125">
        <f>IFERROR(__xludf.DUMMYFUNCTION("""COMPUTED_VALUE"""),6.0)</f>
        <v>6</v>
      </c>
      <c r="E191" s="125">
        <f>IFERROR(__xludf.DUMMYFUNCTION("""COMPUTED_VALUE"""),1.0)</f>
        <v>1</v>
      </c>
      <c r="F191" s="125">
        <f>IFERROR(__xludf.DUMMYFUNCTION("""COMPUTED_VALUE"""),11.0)</f>
        <v>11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IFERROR(__xludf.DUMMYFUNCTION("""COMPUTED_VALUE"""),"Erik Hoeckmann")</f>
        <v>Erik Hoeckmann</v>
      </c>
      <c r="C192" s="122">
        <f>IFERROR(__xludf.DUMMYFUNCTION("""COMPUTED_VALUE"""),6.0)</f>
        <v>6</v>
      </c>
      <c r="D192" s="122">
        <f>IFERROR(__xludf.DUMMYFUNCTION("""COMPUTED_VALUE"""),7.0)</f>
        <v>7</v>
      </c>
      <c r="E192" s="122">
        <f>IFERROR(__xludf.DUMMYFUNCTION("""COMPUTED_VALUE"""),6.0)</f>
        <v>6</v>
      </c>
      <c r="F192" s="122">
        <f>IFERROR(__xludf.DUMMYFUNCTION("""COMPUTED_VALUE"""),19.0)</f>
        <v>19</v>
      </c>
      <c r="G192" s="122">
        <f>IFERROR(__xludf.DUMMYFUNCTION("""COMPUTED_VALUE"""),3.0)</f>
        <v>3</v>
      </c>
    </row>
    <row r="193">
      <c r="A193" s="117">
        <f>IFERROR(__xludf.DUMMYFUNCTION("""COMPUTED_VALUE"""),3.0)</f>
        <v>3</v>
      </c>
      <c r="B193" s="33" t="str">
        <f>IFERROR(__xludf.DUMMYFUNCTION("""COMPUTED_VALUE"""),"Basudev Thoppai Vidyasankar")</f>
        <v>Basudev Thoppai Vidyasankar</v>
      </c>
      <c r="C193" s="122">
        <f>IFERROR(__xludf.DUMMYFUNCTION("""COMPUTED_VALUE"""),3.0)</f>
        <v>3</v>
      </c>
      <c r="D193" s="122">
        <f>IFERROR(__xludf.DUMMYFUNCTION("""COMPUTED_VALUE"""),6.0)</f>
        <v>6</v>
      </c>
      <c r="E193" s="122">
        <f>IFERROR(__xludf.DUMMYFUNCTION("""COMPUTED_VALUE"""),6.0)</f>
        <v>6</v>
      </c>
      <c r="F193" s="122">
        <f>IFERROR(__xludf.DUMMYFUNCTION("""COMPUTED_VALUE"""),15.0)</f>
        <v>15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IFERROR(__xludf.DUMMYFUNCTION("""COMPUTED_VALUE"""),"Sandeep Kamalon")</f>
        <v>Sandeep Kamalon</v>
      </c>
      <c r="C194" s="122">
        <f>IFERROR(__xludf.DUMMYFUNCTION("""COMPUTED_VALUE"""),6.0)</f>
        <v>6</v>
      </c>
      <c r="D194" s="122">
        <f>IFERROR(__xludf.DUMMYFUNCTION("""COMPUTED_VALUE"""),6.0)</f>
        <v>6</v>
      </c>
      <c r="E194" s="122">
        <f>IFERROR(__xludf.DUMMYFUNCTION("""COMPUTED_VALUE"""),2.0)</f>
        <v>2</v>
      </c>
      <c r="F194" s="122">
        <f>IFERROR(__xludf.DUMMYFUNCTION("""COMPUTED_VALUE"""),14.0)</f>
        <v>14</v>
      </c>
      <c r="G194" s="122">
        <f>IFERROR(__xludf.DUMMYFUNCTION("""COMPUTED_VALUE"""),1.0)</f>
        <v>1</v>
      </c>
    </row>
    <row r="195">
      <c r="A195" s="117">
        <f>IFERROR(__xludf.DUMMYFUNCTION("""COMPUTED_VALUE"""),3.0)</f>
        <v>3</v>
      </c>
      <c r="B195" s="33" t="str">
        <f>IFERROR(__xludf.DUMMYFUNCTION("""COMPUTED_VALUE"""),"Chinna Ponnaganti")</f>
        <v>Chinna Ponnaganti</v>
      </c>
      <c r="C195" s="122">
        <f>IFERROR(__xludf.DUMMYFUNCTION("""COMPUTED_VALUE"""),3.0)</f>
        <v>3</v>
      </c>
      <c r="D195" s="122">
        <f>IFERROR(__xludf.DUMMYFUNCTION("""COMPUTED_VALUE"""),7.0)</f>
        <v>7</v>
      </c>
      <c r="E195" s="122">
        <f>IFERROR(__xludf.DUMMYFUNCTION("""COMPUTED_VALUE"""),2.0)</f>
        <v>2</v>
      </c>
      <c r="F195" s="122">
        <f>IFERROR(__xludf.DUMMYFUNCTION("""COMPUTED_VALUE"""),12.0)</f>
        <v>12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IFERROR(__xludf.DUMMYFUNCTION("""COMPUTED_VALUE"""),"Herman Au")</f>
        <v>Herman Au</v>
      </c>
      <c r="C196" s="125">
        <f>IFERROR(__xludf.DUMMYFUNCTION("""COMPUTED_VALUE"""),6.0)</f>
        <v>6</v>
      </c>
      <c r="D196" s="125">
        <f>IFERROR(__xludf.DUMMYFUNCTION("""COMPUTED_VALUE"""),1.0)</f>
        <v>1</v>
      </c>
      <c r="E196" s="125">
        <f>IFERROR(__xludf.DUMMYFUNCTION("""COMPUTED_VALUE"""),6.0)</f>
        <v>6</v>
      </c>
      <c r="F196" s="125">
        <f>IFERROR(__xludf.DUMMYFUNCTION("""COMPUTED_VALUE"""),13.0)</f>
        <v>13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IFERROR(__xludf.DUMMYFUNCTION("""COMPUTED_VALUE"""),"Alex Hou")</f>
        <v>Alex Hou</v>
      </c>
      <c r="C197" s="125">
        <f>IFERROR(__xludf.DUMMYFUNCTION("""COMPUTED_VALUE"""),0.0)</f>
        <v>0</v>
      </c>
      <c r="D197" s="125">
        <f>IFERROR(__xludf.DUMMYFUNCTION("""COMPUTED_VALUE"""),6.0)</f>
        <v>6</v>
      </c>
      <c r="E197" s="125">
        <f>IFERROR(__xludf.DUMMYFUNCTION("""COMPUTED_VALUE"""),6.0)</f>
        <v>6</v>
      </c>
      <c r="F197" s="125">
        <f>IFERROR(__xludf.DUMMYFUNCTION("""COMPUTED_VALUE"""),12.0)</f>
        <v>12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IFERROR(__xludf.DUMMYFUNCTION("""COMPUTED_VALUE"""),"Elayaraja Thangaraj")</f>
        <v>Elayaraja Thangaraj</v>
      </c>
      <c r="C198" s="125">
        <f>IFERROR(__xludf.DUMMYFUNCTION("""COMPUTED_VALUE"""),6.0)</f>
        <v>6</v>
      </c>
      <c r="D198" s="125">
        <f>IFERROR(__xludf.DUMMYFUNCTION("""COMPUTED_VALUE"""),6.0)</f>
        <v>6</v>
      </c>
      <c r="E198" s="125">
        <f>IFERROR(__xludf.DUMMYFUNCTION("""COMPUTED_VALUE"""),3.0)</f>
        <v>3</v>
      </c>
      <c r="F198" s="125">
        <f>IFERROR(__xludf.DUMMYFUNCTION("""COMPUTED_VALUE"""),15.0)</f>
        <v>15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IFERROR(__xludf.DUMMYFUNCTION("""COMPUTED_VALUE"""),"Nicole Ni")</f>
        <v>Nicole Ni</v>
      </c>
      <c r="C199" s="125">
        <f>IFERROR(__xludf.DUMMYFUNCTION("""COMPUTED_VALUE"""),0.0)</f>
        <v>0</v>
      </c>
      <c r="D199" s="125">
        <f>IFERROR(__xludf.DUMMYFUNCTION("""COMPUTED_VALUE"""),1.0)</f>
        <v>1</v>
      </c>
      <c r="E199" s="125">
        <f>IFERROR(__xludf.DUMMYFUNCTION("""COMPUTED_VALUE"""),3.0)</f>
        <v>3</v>
      </c>
      <c r="F199" s="125">
        <f>IFERROR(__xludf.DUMMYFUNCTION("""COMPUTED_VALUE"""),4.0)</f>
        <v>4</v>
      </c>
      <c r="G199" s="125">
        <f>IFERROR(__xludf.DUMMYFUNCTION("""COMPUTED_VALUE"""),0.0)</f>
        <v>0</v>
      </c>
    </row>
    <row r="200">
      <c r="A200" s="117">
        <f>IFERROR(__xludf.DUMMYFUNCTION("""COMPUTED_VALUE"""),5.0)</f>
        <v>5</v>
      </c>
      <c r="B200" s="33" t="str">
        <f>IFERROR(__xludf.DUMMYFUNCTION("""COMPUTED_VALUE"""),"Joe Luzzi")</f>
        <v>Joe Luzzi</v>
      </c>
      <c r="C200" s="122">
        <f>IFERROR(__xludf.DUMMYFUNCTION("""COMPUTED_VALUE"""),6.0)</f>
        <v>6</v>
      </c>
      <c r="D200" s="122">
        <f>IFERROR(__xludf.DUMMYFUNCTION("""COMPUTED_VALUE"""),4.0)</f>
        <v>4</v>
      </c>
      <c r="E200" s="122">
        <f>IFERROR(__xludf.DUMMYFUNCTION("""COMPUTED_VALUE"""),4.0)</f>
        <v>4</v>
      </c>
      <c r="F200" s="122">
        <f>IFERROR(__xludf.DUMMYFUNCTION("""COMPUTED_VALUE"""),14.0)</f>
        <v>14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IFERROR(__xludf.DUMMYFUNCTION("""COMPUTED_VALUE"""),"Allen Zhang")</f>
        <v>Allen Zhang</v>
      </c>
      <c r="C201" s="122">
        <f>IFERROR(__xludf.DUMMYFUNCTION("""COMPUTED_VALUE"""),2.0)</f>
        <v>2</v>
      </c>
      <c r="D201" s="122">
        <f>IFERROR(__xludf.DUMMYFUNCTION("""COMPUTED_VALUE"""),4.0)</f>
        <v>4</v>
      </c>
      <c r="E201" s="122">
        <f>IFERROR(__xludf.DUMMYFUNCTION("""COMPUTED_VALUE"""),6.0)</f>
        <v>6</v>
      </c>
      <c r="F201" s="122">
        <f>IFERROR(__xludf.DUMMYFUNCTION("""COMPUTED_VALUE"""),12.0)</f>
        <v>12</v>
      </c>
      <c r="G201" s="122">
        <f>IFERROR(__xludf.DUMMYFUNCTION("""COMPUTED_VALUE"""),1.0)</f>
        <v>1</v>
      </c>
    </row>
    <row r="202">
      <c r="A202" s="117">
        <f>IFERROR(__xludf.DUMMYFUNCTION("""COMPUTED_VALUE"""),5.0)</f>
        <v>5</v>
      </c>
      <c r="B202" s="33" t="str">
        <f>IFERROR(__xludf.DUMMYFUNCTION("""COMPUTED_VALUE"""),"Eric Tan")</f>
        <v>Eric Tan</v>
      </c>
      <c r="C202" s="122">
        <f>IFERROR(__xludf.DUMMYFUNCTION("""COMPUTED_VALUE"""),2.0)</f>
        <v>2</v>
      </c>
      <c r="D202" s="122">
        <f>IFERROR(__xludf.DUMMYFUNCTION("""COMPUTED_VALUE"""),6.0)</f>
        <v>6</v>
      </c>
      <c r="E202" s="122">
        <f>IFERROR(__xludf.DUMMYFUNCTION("""COMPUTED_VALUE"""),4.0)</f>
        <v>4</v>
      </c>
      <c r="F202" s="122">
        <f>IFERROR(__xludf.DUMMYFUNCTION("""COMPUTED_VALUE"""),12.0)</f>
        <v>12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IFERROR(__xludf.DUMMYFUNCTION("""COMPUTED_VALUE"""),"Pavan Akkimsetty")</f>
        <v>Pavan Akkimsetty</v>
      </c>
      <c r="C203" s="122">
        <f>IFERROR(__xludf.DUMMYFUNCTION("""COMPUTED_VALUE"""),6.0)</f>
        <v>6</v>
      </c>
      <c r="D203" s="122">
        <f>IFERROR(__xludf.DUMMYFUNCTION("""COMPUTED_VALUE"""),6.0)</f>
        <v>6</v>
      </c>
      <c r="E203" s="122">
        <f>IFERROR(__xludf.DUMMYFUNCTION("""COMPUTED_VALUE"""),6.0)</f>
        <v>6</v>
      </c>
      <c r="F203" s="122">
        <f>IFERROR(__xludf.DUMMYFUNCTION("""COMPUTED_VALUE"""),18.0)</f>
        <v>18</v>
      </c>
      <c r="G203" s="122">
        <f>IFERROR(__xludf.DUMMYFUNCTION("""COMPUTED_VALUE"""),3.0)</f>
        <v>3</v>
      </c>
    </row>
    <row r="204">
      <c r="A204" s="123">
        <f>IFERROR(__xludf.DUMMYFUNCTION("""COMPUTED_VALUE"""),6.0)</f>
        <v>6</v>
      </c>
      <c r="B204" s="124" t="str">
        <f>IFERROR(__xludf.DUMMYFUNCTION("""COMPUTED_VALUE"""),"Sean Chang")</f>
        <v>Sean Chang</v>
      </c>
      <c r="C204" s="125">
        <f>IFERROR(__xludf.DUMMYFUNCTION("""COMPUTED_VALUE"""),6.0)</f>
        <v>6</v>
      </c>
      <c r="D204" s="125">
        <f>IFERROR(__xludf.DUMMYFUNCTION("""COMPUTED_VALUE"""),7.0)</f>
        <v>7</v>
      </c>
      <c r="E204" s="125">
        <f>IFERROR(__xludf.DUMMYFUNCTION("""COMPUTED_VALUE"""),6.0)</f>
        <v>6</v>
      </c>
      <c r="F204" s="125">
        <f>IFERROR(__xludf.DUMMYFUNCTION("""COMPUTED_VALUE"""),19.0)</f>
        <v>19</v>
      </c>
      <c r="G204" s="125">
        <f>IFERROR(__xludf.DUMMYFUNCTION("""COMPUTED_VALUE"""),3.0)</f>
        <v>3</v>
      </c>
    </row>
    <row r="205">
      <c r="A205" s="123">
        <f>IFERROR(__xludf.DUMMYFUNCTION("""COMPUTED_VALUE"""),6.0)</f>
        <v>6</v>
      </c>
      <c r="B205" s="124" t="str">
        <f>IFERROR(__xludf.DUMMYFUNCTION("""COMPUTED_VALUE"""),"Jimmy Awolesi")</f>
        <v>Jimmy Awolesi</v>
      </c>
      <c r="C205" s="125">
        <f>IFERROR(__xludf.DUMMYFUNCTION("""COMPUTED_VALUE"""),4.0)</f>
        <v>4</v>
      </c>
      <c r="D205" s="125">
        <f>IFERROR(__xludf.DUMMYFUNCTION("""COMPUTED_VALUE"""),5.0)</f>
        <v>5</v>
      </c>
      <c r="E205" s="125">
        <f>IFERROR(__xludf.DUMMYFUNCTION("""COMPUTED_VALUE"""),6.0)</f>
        <v>6</v>
      </c>
      <c r="F205" s="125">
        <f>IFERROR(__xludf.DUMMYFUNCTION("""COMPUTED_VALUE"""),15.0)</f>
        <v>15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IFERROR(__xludf.DUMMYFUNCTION("""COMPUTED_VALUE"""),"Rajesh Dorairaj")</f>
        <v>Rajesh Dorairaj</v>
      </c>
      <c r="C206" s="125">
        <f>IFERROR(__xludf.DUMMYFUNCTION("""COMPUTED_VALUE"""),6.0)</f>
        <v>6</v>
      </c>
      <c r="D206" s="125">
        <f>IFERROR(__xludf.DUMMYFUNCTION("""COMPUTED_VALUE"""),5.0)</f>
        <v>5</v>
      </c>
      <c r="E206" s="125">
        <f>IFERROR(__xludf.DUMMYFUNCTION("""COMPUTED_VALUE"""),4.0)</f>
        <v>4</v>
      </c>
      <c r="F206" s="125">
        <f>IFERROR(__xludf.DUMMYFUNCTION("""COMPUTED_VALUE"""),15.0)</f>
        <v>15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IFERROR(__xludf.DUMMYFUNCTION("""COMPUTED_VALUE"""),"Coco Yan")</f>
        <v>Coco Yan</v>
      </c>
      <c r="C207" s="125">
        <f>IFERROR(__xludf.DUMMYFUNCTION("""COMPUTED_VALUE"""),4.0)</f>
        <v>4</v>
      </c>
      <c r="D207" s="125">
        <f>IFERROR(__xludf.DUMMYFUNCTION("""COMPUTED_VALUE"""),7.0)</f>
        <v>7</v>
      </c>
      <c r="E207" s="125">
        <f>IFERROR(__xludf.DUMMYFUNCTION("""COMPUTED_VALUE"""),4.0)</f>
        <v>4</v>
      </c>
      <c r="F207" s="125">
        <f>IFERROR(__xludf.DUMMYFUNCTION("""COMPUTED_VALUE"""),15.0)</f>
        <v>15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IFERROR(__xludf.DUMMYFUNCTION("""COMPUTED_VALUE"""),"Tina Hanson")</f>
        <v>Tina Hanson</v>
      </c>
      <c r="C208" s="122">
        <f>IFERROR(__xludf.DUMMYFUNCTION("""COMPUTED_VALUE"""),6.0)</f>
        <v>6</v>
      </c>
      <c r="D208" s="122">
        <f>IFERROR(__xludf.DUMMYFUNCTION("""COMPUTED_VALUE"""),6.0)</f>
        <v>6</v>
      </c>
      <c r="E208" s="122">
        <f>IFERROR(__xludf.DUMMYFUNCTION("""COMPUTED_VALUE"""),6.0)</f>
        <v>6</v>
      </c>
      <c r="F208" s="122">
        <f>IFERROR(__xludf.DUMMYFUNCTION("""COMPUTED_VALUE"""),18.0)</f>
        <v>18</v>
      </c>
      <c r="G208" s="122">
        <f>IFERROR(__xludf.DUMMYFUNCTION("""COMPUTED_VALUE"""),3.0)</f>
        <v>3</v>
      </c>
    </row>
    <row r="209">
      <c r="A209" s="117">
        <f>IFERROR(__xludf.DUMMYFUNCTION("""COMPUTED_VALUE"""),7.0)</f>
        <v>7</v>
      </c>
      <c r="B209" s="33" t="str">
        <f>IFERROR(__xludf.DUMMYFUNCTION("""COMPUTED_VALUE"""),"Kumar Palakeel")</f>
        <v>Kumar Palakeel</v>
      </c>
      <c r="C209" s="122">
        <f>IFERROR(__xludf.DUMMYFUNCTION("""COMPUTED_VALUE"""),1.0)</f>
        <v>1</v>
      </c>
      <c r="D209" s="122">
        <f>IFERROR(__xludf.DUMMYFUNCTION("""COMPUTED_VALUE"""),6.0)</f>
        <v>6</v>
      </c>
      <c r="E209" s="122">
        <f>IFERROR(__xludf.DUMMYFUNCTION("""COMPUTED_VALUE"""),4.0)</f>
        <v>4</v>
      </c>
      <c r="F209" s="122">
        <f>IFERROR(__xludf.DUMMYFUNCTION("""COMPUTED_VALUE"""),11.0)</f>
        <v>11</v>
      </c>
      <c r="G209" s="122">
        <f>IFERROR(__xludf.DUMMYFUNCTION("""COMPUTED_VALUE"""),1.0)</f>
        <v>1</v>
      </c>
    </row>
    <row r="210">
      <c r="A210" s="117">
        <f>IFERROR(__xludf.DUMMYFUNCTION("""COMPUTED_VALUE"""),7.0)</f>
        <v>7</v>
      </c>
      <c r="B210" s="33" t="str">
        <f>IFERROR(__xludf.DUMMYFUNCTION("""COMPUTED_VALUE"""),"Vinaya Kajla")</f>
        <v>Vinaya Kajla</v>
      </c>
      <c r="C210" s="122">
        <f>IFERROR(__xludf.DUMMYFUNCTION("""COMPUTED_VALUE"""),6.0)</f>
        <v>6</v>
      </c>
      <c r="D210" s="122">
        <f>IFERROR(__xludf.DUMMYFUNCTION("""COMPUTED_VALUE"""),2.0)</f>
        <v>2</v>
      </c>
      <c r="E210" s="122">
        <f>IFERROR(__xludf.DUMMYFUNCTION("""COMPUTED_VALUE"""),4.0)</f>
        <v>4</v>
      </c>
      <c r="F210" s="122">
        <f>IFERROR(__xludf.DUMMYFUNCTION("""COMPUTED_VALUE"""),12.0)</f>
        <v>12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IFERROR(__xludf.DUMMYFUNCTION("""COMPUTED_VALUE"""),"Sandy Weyant")</f>
        <v>Sandy Weyant</v>
      </c>
      <c r="C211" s="122">
        <f>IFERROR(__xludf.DUMMYFUNCTION("""COMPUTED_VALUE"""),1.0)</f>
        <v>1</v>
      </c>
      <c r="D211" s="122">
        <f>IFERROR(__xludf.DUMMYFUNCTION("""COMPUTED_VALUE"""),2.0)</f>
        <v>2</v>
      </c>
      <c r="E211" s="122">
        <f>IFERROR(__xludf.DUMMYFUNCTION("""COMPUTED_VALUE"""),6.0)</f>
        <v>6</v>
      </c>
      <c r="F211" s="122">
        <f>IFERROR(__xludf.DUMMYFUNCTION("""COMPUTED_VALUE"""),9.0)</f>
        <v>9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IFERROR(__xludf.DUMMYFUNCTION("""COMPUTED_VALUE"""),"Jim Miao")</f>
        <v>Jim Miao</v>
      </c>
      <c r="C212" s="125">
        <f>IFERROR(__xludf.DUMMYFUNCTION("""COMPUTED_VALUE"""),7.0)</f>
        <v>7</v>
      </c>
      <c r="D212" s="125">
        <f>IFERROR(__xludf.DUMMYFUNCTION("""COMPUTED_VALUE"""),3.0)</f>
        <v>3</v>
      </c>
      <c r="E212" s="125">
        <f>IFERROR(__xludf.DUMMYFUNCTION("""COMPUTED_VALUE"""),6.0)</f>
        <v>6</v>
      </c>
      <c r="F212" s="125">
        <f>IFERROR(__xludf.DUMMYFUNCTION("""COMPUTED_VALUE"""),16.0)</f>
        <v>16</v>
      </c>
      <c r="G212" s="125">
        <f>IFERROR(__xludf.DUMMYFUNCTION("""COMPUTED_VALUE"""),2.0)</f>
        <v>2</v>
      </c>
    </row>
    <row r="213">
      <c r="A213" s="123">
        <f>IFERROR(__xludf.DUMMYFUNCTION("""COMPUTED_VALUE"""),8.0)</f>
        <v>8</v>
      </c>
      <c r="B213" s="124" t="str">
        <f>IFERROR(__xludf.DUMMYFUNCTION("""COMPUTED_VALUE"""),"Wayne Liu")</f>
        <v>Wayne Liu</v>
      </c>
      <c r="C213" s="125">
        <f>IFERROR(__xludf.DUMMYFUNCTION("""COMPUTED_VALUE"""),7.0)</f>
        <v>7</v>
      </c>
      <c r="D213" s="125">
        <f>IFERROR(__xludf.DUMMYFUNCTION("""COMPUTED_VALUE"""),6.0)</f>
        <v>6</v>
      </c>
      <c r="E213" s="125">
        <f>IFERROR(__xludf.DUMMYFUNCTION("""COMPUTED_VALUE"""),4.0)</f>
        <v>4</v>
      </c>
      <c r="F213" s="125">
        <f>IFERROR(__xludf.DUMMYFUNCTION("""COMPUTED_VALUE"""),17.0)</f>
        <v>17</v>
      </c>
      <c r="G213" s="125">
        <f>IFERROR(__xludf.DUMMYFUNCTION("""COMPUTED_VALUE"""),2.0)</f>
        <v>2</v>
      </c>
    </row>
    <row r="214">
      <c r="A214" s="123">
        <f>IFERROR(__xludf.DUMMYFUNCTION("""COMPUTED_VALUE"""),8.0)</f>
        <v>8</v>
      </c>
      <c r="B214" s="124" t="str">
        <f>IFERROR(__xludf.DUMMYFUNCTION("""COMPUTED_VALUE"""),"Saravanan Veerapandian")</f>
        <v>Saravanan Veerapandian</v>
      </c>
      <c r="C214" s="125">
        <f>IFERROR(__xludf.DUMMYFUNCTION("""COMPUTED_VALUE"""),6.0)</f>
        <v>6</v>
      </c>
      <c r="D214" s="125">
        <f>IFERROR(__xludf.DUMMYFUNCTION("""COMPUTED_VALUE"""),3.0)</f>
        <v>3</v>
      </c>
      <c r="E214" s="125">
        <f>IFERROR(__xludf.DUMMYFUNCTION("""COMPUTED_VALUE"""),4.0)</f>
        <v>4</v>
      </c>
      <c r="F214" s="125">
        <f>IFERROR(__xludf.DUMMYFUNCTION("""COMPUTED_VALUE"""),13.0)</f>
        <v>13</v>
      </c>
      <c r="G214" s="125">
        <f>IFERROR(__xludf.DUMMYFUNCTION("""COMPUTED_VALUE"""),0.0)</f>
        <v>0</v>
      </c>
    </row>
    <row r="215">
      <c r="A215" s="123">
        <f>IFERROR(__xludf.DUMMYFUNCTION("""COMPUTED_VALUE"""),8.0)</f>
        <v>8</v>
      </c>
      <c r="B215" s="124" t="str">
        <f>IFERROR(__xludf.DUMMYFUNCTION("""COMPUTED_VALUE"""),"Cid Macaraeg")</f>
        <v>Cid Macaraeg</v>
      </c>
      <c r="C215" s="125">
        <f>IFERROR(__xludf.DUMMYFUNCTION("""COMPUTED_VALUE"""),6.0)</f>
        <v>6</v>
      </c>
      <c r="D215" s="125">
        <f>IFERROR(__xludf.DUMMYFUNCTION("""COMPUTED_VALUE"""),6.0)</f>
        <v>6</v>
      </c>
      <c r="E215" s="125">
        <f>IFERROR(__xludf.DUMMYFUNCTION("""COMPUTED_VALUE"""),6.0)</f>
        <v>6</v>
      </c>
      <c r="F215" s="125">
        <f>IFERROR(__xludf.DUMMYFUNCTION("""COMPUTED_VALUE"""),18.0)</f>
        <v>18</v>
      </c>
      <c r="G215" s="125">
        <f>IFERROR(__xludf.DUMMYFUNCTION("""COMPUTED_VALUE"""),2.0)</f>
        <v>2</v>
      </c>
    </row>
    <row r="216">
      <c r="A216" s="117"/>
      <c r="B216" s="33"/>
      <c r="C216" s="122"/>
      <c r="D216" s="122"/>
      <c r="E216" s="122"/>
      <c r="F216" s="122"/>
      <c r="G216" s="122"/>
    </row>
    <row r="217">
      <c r="A217" s="117"/>
      <c r="B217" s="33"/>
      <c r="C217" s="122"/>
      <c r="D217" s="122"/>
      <c r="E217" s="122"/>
      <c r="F217" s="122"/>
      <c r="G217" s="122"/>
    </row>
    <row r="218">
      <c r="A218" s="117"/>
      <c r="B218" s="33"/>
      <c r="C218" s="122"/>
      <c r="D218" s="122"/>
      <c r="E218" s="122"/>
      <c r="F218" s="122"/>
      <c r="G218" s="122"/>
    </row>
    <row r="219">
      <c r="A219" s="117"/>
      <c r="B219" s="33"/>
      <c r="C219" s="122"/>
      <c r="D219" s="122"/>
      <c r="E219" s="122"/>
      <c r="F219" s="122"/>
      <c r="G219" s="122"/>
    </row>
    <row r="220">
      <c r="A220" s="123"/>
      <c r="B220" s="124"/>
      <c r="C220" s="125"/>
      <c r="D220" s="125"/>
      <c r="E220" s="125"/>
      <c r="F220" s="125"/>
      <c r="G220" s="125"/>
    </row>
    <row r="221">
      <c r="A221" s="123"/>
      <c r="B221" s="124"/>
      <c r="C221" s="125"/>
      <c r="D221" s="125"/>
      <c r="E221" s="125"/>
      <c r="F221" s="125"/>
      <c r="G221" s="125"/>
    </row>
    <row r="222">
      <c r="A222" s="123"/>
      <c r="B222" s="124"/>
      <c r="C222" s="125"/>
      <c r="D222" s="125"/>
      <c r="E222" s="125"/>
      <c r="F222" s="125"/>
      <c r="G222" s="125"/>
    </row>
    <row r="223">
      <c r="A223" s="123"/>
      <c r="B223" s="124"/>
      <c r="C223" s="125"/>
      <c r="D223" s="125"/>
      <c r="E223" s="125"/>
      <c r="F223" s="125"/>
      <c r="G223" s="125"/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45899.0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9.0</v>
      </c>
      <c r="E2" s="1"/>
      <c r="F2" s="1"/>
      <c r="R2" s="17"/>
      <c r="AC2" s="21" t="str">
        <f>text(C1-7,"mm/dd/yy")</f>
        <v>08/23/25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Z4" s="29" t="s">
        <v>44</v>
      </c>
    </row>
    <row r="5">
      <c r="A5" s="32">
        <v>1.0</v>
      </c>
      <c r="B5" s="33" t="s">
        <v>67</v>
      </c>
      <c r="C5" s="34">
        <v>117.0</v>
      </c>
      <c r="D5" s="34">
        <v>15.0</v>
      </c>
      <c r="E5" s="35">
        <f t="shared" ref="E5:E69" si="2">if(S5&gt;0,(C5-(V5*9)-(T5*13))/S5,0)</f>
        <v>15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126</v>
      </c>
      <c r="O5" s="34">
        <f t="shared" si="1"/>
        <v>15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6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3</v>
      </c>
      <c r="W5" s="52">
        <f t="shared" ref="W5:W69" si="7">vlookup(B5,indirect("'" &amp; AC$2 &amp; "'!B5:x69"),23,false)-X5</f>
        <v>1</v>
      </c>
      <c r="X5" s="32">
        <v>1.0</v>
      </c>
      <c r="Z5" s="16" t="str">
        <f t="shared" ref="Z5:Z69" si="8">if($D$2=sum(S5:V5),"","Error")</f>
        <v/>
      </c>
    </row>
    <row r="6">
      <c r="A6" s="32">
        <f t="shared" ref="A6:A69" si="9">A5+1</f>
        <v>2</v>
      </c>
      <c r="B6" s="33" t="s">
        <v>84</v>
      </c>
      <c r="C6" s="34">
        <v>113.0</v>
      </c>
      <c r="D6" s="34">
        <v>13.0</v>
      </c>
      <c r="E6" s="35">
        <f t="shared" si="2"/>
        <v>13.57142857</v>
      </c>
      <c r="F6" s="95">
        <v>2.0</v>
      </c>
      <c r="G6" s="96">
        <v>1.0</v>
      </c>
      <c r="H6" s="97">
        <v>0.0</v>
      </c>
      <c r="I6" s="96">
        <v>5.0</v>
      </c>
      <c r="J6" s="96">
        <v>6.0</v>
      </c>
      <c r="K6" s="96">
        <v>6.0</v>
      </c>
      <c r="L6" s="98">
        <v>17.0</v>
      </c>
      <c r="M6" s="96">
        <v>2.0</v>
      </c>
      <c r="N6" s="34">
        <f t="shared" ref="N6:O6" si="3">C6+L6</f>
        <v>130</v>
      </c>
      <c r="O6" s="34">
        <f t="shared" si="3"/>
        <v>15</v>
      </c>
      <c r="P6" s="49" t="s">
        <v>58</v>
      </c>
      <c r="Q6" s="49" t="s">
        <v>58</v>
      </c>
      <c r="R6" s="49"/>
      <c r="S6" s="50">
        <f t="shared" si="4"/>
        <v>7</v>
      </c>
      <c r="T6" s="52">
        <f t="shared" si="5"/>
        <v>0</v>
      </c>
      <c r="U6" s="52"/>
      <c r="V6" s="50">
        <f t="shared" si="6"/>
        <v>2</v>
      </c>
      <c r="W6" s="52">
        <f t="shared" si="7"/>
        <v>3</v>
      </c>
      <c r="X6" s="32">
        <f t="shared" ref="X6:X69" si="11">X5+1</f>
        <v>2</v>
      </c>
      <c r="Z6" s="16" t="str">
        <f t="shared" si="8"/>
        <v/>
      </c>
    </row>
    <row r="7">
      <c r="A7" s="32">
        <f t="shared" si="9"/>
        <v>3</v>
      </c>
      <c r="B7" s="33" t="s">
        <v>83</v>
      </c>
      <c r="C7" s="34">
        <v>113.0</v>
      </c>
      <c r="D7" s="34">
        <v>12.0</v>
      </c>
      <c r="E7" s="35">
        <f t="shared" si="2"/>
        <v>14.33333333</v>
      </c>
      <c r="F7" s="95">
        <v>3.0</v>
      </c>
      <c r="G7" s="96">
        <v>0.0</v>
      </c>
      <c r="H7" s="97">
        <v>9.0</v>
      </c>
      <c r="I7" s="96">
        <v>0.0</v>
      </c>
      <c r="J7" s="96">
        <v>0.0</v>
      </c>
      <c r="K7" s="96">
        <v>0.0</v>
      </c>
      <c r="L7" s="98">
        <v>9.0</v>
      </c>
      <c r="M7" s="96">
        <v>0.0</v>
      </c>
      <c r="N7" s="34">
        <f t="shared" ref="N7:O7" si="10">C7+L7</f>
        <v>122</v>
      </c>
      <c r="O7" s="34">
        <f t="shared" si="10"/>
        <v>12</v>
      </c>
      <c r="P7" s="49" t="s">
        <v>58</v>
      </c>
      <c r="Q7" s="49" t="s">
        <v>58</v>
      </c>
      <c r="R7" s="49"/>
      <c r="S7" s="50">
        <f t="shared" si="4"/>
        <v>6</v>
      </c>
      <c r="T7" s="52">
        <f t="shared" si="5"/>
        <v>0</v>
      </c>
      <c r="U7" s="52"/>
      <c r="V7" s="50">
        <f t="shared" si="6"/>
        <v>3</v>
      </c>
      <c r="W7" s="52">
        <f t="shared" si="7"/>
        <v>-2</v>
      </c>
      <c r="X7" s="32">
        <f t="shared" si="11"/>
        <v>3</v>
      </c>
      <c r="Z7" s="16" t="str">
        <f t="shared" si="8"/>
        <v/>
      </c>
    </row>
    <row r="8">
      <c r="A8" s="32">
        <f t="shared" si="9"/>
        <v>4</v>
      </c>
      <c r="B8" s="33" t="s">
        <v>73</v>
      </c>
      <c r="C8" s="34">
        <v>113.0</v>
      </c>
      <c r="D8" s="34">
        <v>12.0</v>
      </c>
      <c r="E8" s="35">
        <f t="shared" si="2"/>
        <v>13.57142857</v>
      </c>
      <c r="F8" s="95">
        <v>1.0</v>
      </c>
      <c r="G8" s="96">
        <v>1.0</v>
      </c>
      <c r="H8" s="97">
        <v>0.0</v>
      </c>
      <c r="I8" s="96">
        <v>7.0</v>
      </c>
      <c r="J8" s="96">
        <v>4.0</v>
      </c>
      <c r="K8" s="96">
        <v>6.0</v>
      </c>
      <c r="L8" s="98">
        <v>17.0</v>
      </c>
      <c r="M8" s="96">
        <v>2.0</v>
      </c>
      <c r="N8" s="34">
        <f t="shared" ref="N8:O8" si="12">C8+L8</f>
        <v>130</v>
      </c>
      <c r="O8" s="34">
        <f t="shared" si="12"/>
        <v>14</v>
      </c>
      <c r="P8" s="49" t="s">
        <v>58</v>
      </c>
      <c r="Q8" s="49" t="s">
        <v>58</v>
      </c>
      <c r="R8" s="49"/>
      <c r="S8" s="50">
        <f t="shared" si="4"/>
        <v>7</v>
      </c>
      <c r="T8" s="52">
        <f t="shared" si="5"/>
        <v>0</v>
      </c>
      <c r="U8" s="52"/>
      <c r="V8" s="50">
        <f t="shared" si="6"/>
        <v>2</v>
      </c>
      <c r="W8" s="52">
        <f t="shared" si="7"/>
        <v>3</v>
      </c>
      <c r="X8" s="32">
        <f t="shared" si="11"/>
        <v>4</v>
      </c>
      <c r="Z8" s="16" t="str">
        <f t="shared" si="8"/>
        <v/>
      </c>
    </row>
    <row r="9">
      <c r="A9" s="32">
        <f t="shared" si="9"/>
        <v>5</v>
      </c>
      <c r="B9" s="33" t="s">
        <v>98</v>
      </c>
      <c r="C9" s="34">
        <v>111.0</v>
      </c>
      <c r="D9" s="34">
        <v>15.0</v>
      </c>
      <c r="E9" s="35">
        <f t="shared" si="2"/>
        <v>12.75</v>
      </c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3">C9+L9</f>
        <v>120</v>
      </c>
      <c r="O9" s="34">
        <f t="shared" si="13"/>
        <v>15</v>
      </c>
      <c r="P9" s="49" t="s">
        <v>58</v>
      </c>
      <c r="Q9" s="49" t="s">
        <v>58</v>
      </c>
      <c r="R9" s="49"/>
      <c r="S9" s="50">
        <f t="shared" si="4"/>
        <v>8</v>
      </c>
      <c r="T9" s="52">
        <f t="shared" si="5"/>
        <v>0</v>
      </c>
      <c r="U9" s="52"/>
      <c r="V9" s="50">
        <f t="shared" si="6"/>
        <v>1</v>
      </c>
      <c r="W9" s="52">
        <f t="shared" si="7"/>
        <v>-1</v>
      </c>
      <c r="X9" s="32">
        <f t="shared" si="11"/>
        <v>5</v>
      </c>
      <c r="Z9" s="16" t="str">
        <f t="shared" si="8"/>
        <v/>
      </c>
    </row>
    <row r="10">
      <c r="A10" s="32">
        <f t="shared" si="9"/>
        <v>6</v>
      </c>
      <c r="B10" s="33" t="s">
        <v>97</v>
      </c>
      <c r="C10" s="34">
        <v>110.0</v>
      </c>
      <c r="D10" s="34">
        <v>13.0</v>
      </c>
      <c r="E10" s="35">
        <f t="shared" si="2"/>
        <v>13.83333333</v>
      </c>
      <c r="F10" s="95">
        <v>3.0</v>
      </c>
      <c r="G10" s="96">
        <v>0.0</v>
      </c>
      <c r="H10" s="97">
        <v>9.0</v>
      </c>
      <c r="I10" s="96">
        <v>0.0</v>
      </c>
      <c r="J10" s="96">
        <v>0.0</v>
      </c>
      <c r="K10" s="96">
        <v>0.0</v>
      </c>
      <c r="L10" s="98">
        <v>9.0</v>
      </c>
      <c r="M10" s="96">
        <v>0.0</v>
      </c>
      <c r="N10" s="34">
        <f t="shared" ref="N10:O10" si="14">C10+L10</f>
        <v>119</v>
      </c>
      <c r="O10" s="34">
        <f t="shared" si="14"/>
        <v>13</v>
      </c>
      <c r="P10" s="49" t="s">
        <v>58</v>
      </c>
      <c r="Q10" s="49" t="s">
        <v>58</v>
      </c>
      <c r="R10" s="49"/>
      <c r="S10" s="50">
        <f t="shared" si="4"/>
        <v>6</v>
      </c>
      <c r="T10" s="52">
        <f t="shared" si="5"/>
        <v>0</v>
      </c>
      <c r="U10" s="52"/>
      <c r="V10" s="50">
        <f t="shared" si="6"/>
        <v>3</v>
      </c>
      <c r="W10" s="52">
        <f t="shared" si="7"/>
        <v>0</v>
      </c>
      <c r="X10" s="32">
        <f t="shared" si="11"/>
        <v>6</v>
      </c>
      <c r="Z10" s="16" t="str">
        <f t="shared" si="8"/>
        <v/>
      </c>
    </row>
    <row r="11">
      <c r="A11" s="32">
        <f t="shared" si="9"/>
        <v>7</v>
      </c>
      <c r="B11" s="33" t="s">
        <v>94</v>
      </c>
      <c r="C11" s="34">
        <v>110.0</v>
      </c>
      <c r="D11" s="34">
        <v>10.0</v>
      </c>
      <c r="E11" s="35">
        <f t="shared" si="2"/>
        <v>12.22222222</v>
      </c>
      <c r="F11" s="95">
        <v>1.0</v>
      </c>
      <c r="G11" s="96">
        <v>1.0</v>
      </c>
      <c r="H11" s="97">
        <v>0.0</v>
      </c>
      <c r="I11" s="96">
        <v>7.0</v>
      </c>
      <c r="J11" s="96">
        <v>6.0</v>
      </c>
      <c r="K11" s="96">
        <v>1.0</v>
      </c>
      <c r="L11" s="98">
        <v>14.0</v>
      </c>
      <c r="M11" s="96">
        <v>2.0</v>
      </c>
      <c r="N11" s="34">
        <f t="shared" ref="N11:O11" si="15">C11+L11</f>
        <v>124</v>
      </c>
      <c r="O11" s="34">
        <f t="shared" si="15"/>
        <v>12</v>
      </c>
      <c r="P11" s="49" t="s">
        <v>58</v>
      </c>
      <c r="Q11" s="49" t="s">
        <v>58</v>
      </c>
      <c r="R11" s="49"/>
      <c r="S11" s="50">
        <f t="shared" si="4"/>
        <v>9</v>
      </c>
      <c r="T11" s="52">
        <f t="shared" si="5"/>
        <v>0</v>
      </c>
      <c r="U11" s="52"/>
      <c r="V11" s="50">
        <f t="shared" si="6"/>
        <v>0</v>
      </c>
      <c r="W11" s="52">
        <f t="shared" si="7"/>
        <v>4</v>
      </c>
      <c r="X11" s="32">
        <f t="shared" si="11"/>
        <v>7</v>
      </c>
      <c r="Z11" s="16" t="str">
        <f t="shared" si="8"/>
        <v/>
      </c>
    </row>
    <row r="12">
      <c r="A12" s="32">
        <f t="shared" si="9"/>
        <v>8</v>
      </c>
      <c r="B12" s="33" t="s">
        <v>110</v>
      </c>
      <c r="C12" s="34">
        <v>109.0</v>
      </c>
      <c r="D12" s="34">
        <v>13.0</v>
      </c>
      <c r="E12" s="35">
        <f t="shared" si="2"/>
        <v>12.11111111</v>
      </c>
      <c r="F12" s="95">
        <v>1.0</v>
      </c>
      <c r="G12" s="96">
        <v>1.0</v>
      </c>
      <c r="H12" s="97">
        <v>0.0</v>
      </c>
      <c r="I12" s="96">
        <v>5.0</v>
      </c>
      <c r="J12" s="96">
        <v>4.0</v>
      </c>
      <c r="K12" s="96">
        <v>1.0</v>
      </c>
      <c r="L12" s="98">
        <v>10.0</v>
      </c>
      <c r="M12" s="96">
        <v>0.0</v>
      </c>
      <c r="N12" s="34">
        <f t="shared" ref="N12:O12" si="16">C12+L12</f>
        <v>119</v>
      </c>
      <c r="O12" s="34">
        <f t="shared" si="16"/>
        <v>13</v>
      </c>
      <c r="P12" s="49" t="s">
        <v>58</v>
      </c>
      <c r="Q12" s="49" t="s">
        <v>58</v>
      </c>
      <c r="R12" s="49"/>
      <c r="S12" s="50">
        <f t="shared" si="4"/>
        <v>9</v>
      </c>
      <c r="T12" s="52">
        <f t="shared" si="5"/>
        <v>0</v>
      </c>
      <c r="U12" s="52"/>
      <c r="V12" s="50">
        <f t="shared" si="6"/>
        <v>0</v>
      </c>
      <c r="W12" s="52">
        <f t="shared" si="7"/>
        <v>9</v>
      </c>
      <c r="X12" s="32">
        <f t="shared" si="11"/>
        <v>8</v>
      </c>
      <c r="Z12" s="16" t="str">
        <f t="shared" si="8"/>
        <v/>
      </c>
    </row>
    <row r="13">
      <c r="A13" s="32">
        <f t="shared" si="9"/>
        <v>9</v>
      </c>
      <c r="B13" s="33" t="s">
        <v>65</v>
      </c>
      <c r="C13" s="34">
        <v>108.0</v>
      </c>
      <c r="D13" s="34">
        <v>13.0</v>
      </c>
      <c r="E13" s="35">
        <f t="shared" si="2"/>
        <v>14.4</v>
      </c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7">C13+L13</f>
        <v>117</v>
      </c>
      <c r="O13" s="34">
        <f t="shared" si="17"/>
        <v>13</v>
      </c>
      <c r="P13" s="49" t="s">
        <v>58</v>
      </c>
      <c r="Q13" s="49" t="s">
        <v>58</v>
      </c>
      <c r="R13" s="49"/>
      <c r="S13" s="50">
        <f t="shared" si="4"/>
        <v>5</v>
      </c>
      <c r="T13" s="52">
        <f t="shared" si="5"/>
        <v>0</v>
      </c>
      <c r="U13" s="52"/>
      <c r="V13" s="50">
        <f t="shared" si="6"/>
        <v>4</v>
      </c>
      <c r="W13" s="52">
        <f t="shared" si="7"/>
        <v>1</v>
      </c>
      <c r="X13" s="32">
        <f t="shared" si="11"/>
        <v>9</v>
      </c>
      <c r="Z13" s="16" t="str">
        <f t="shared" si="8"/>
        <v/>
      </c>
    </row>
    <row r="14">
      <c r="A14" s="32">
        <f t="shared" si="9"/>
        <v>10</v>
      </c>
      <c r="B14" s="33" t="s">
        <v>87</v>
      </c>
      <c r="C14" s="34">
        <v>108.0</v>
      </c>
      <c r="D14" s="34">
        <v>13.0</v>
      </c>
      <c r="E14" s="35">
        <f t="shared" si="2"/>
        <v>12.375</v>
      </c>
      <c r="F14" s="95">
        <v>1.0</v>
      </c>
      <c r="G14" s="96">
        <v>2.0</v>
      </c>
      <c r="H14" s="97">
        <v>0.0</v>
      </c>
      <c r="I14" s="96">
        <v>6.0</v>
      </c>
      <c r="J14" s="96">
        <v>7.0</v>
      </c>
      <c r="K14" s="96">
        <v>1.0</v>
      </c>
      <c r="L14" s="98">
        <v>14.0</v>
      </c>
      <c r="M14" s="96">
        <v>2.0</v>
      </c>
      <c r="N14" s="34">
        <f t="shared" ref="N14:O14" si="18">C14+L14</f>
        <v>122</v>
      </c>
      <c r="O14" s="34">
        <f t="shared" si="18"/>
        <v>15</v>
      </c>
      <c r="P14" s="49" t="s">
        <v>58</v>
      </c>
      <c r="Q14" s="49" t="s">
        <v>58</v>
      </c>
      <c r="R14" s="49"/>
      <c r="S14" s="50">
        <f t="shared" si="4"/>
        <v>8</v>
      </c>
      <c r="T14" s="52">
        <f t="shared" si="5"/>
        <v>0</v>
      </c>
      <c r="U14" s="52"/>
      <c r="V14" s="50">
        <f t="shared" si="6"/>
        <v>1</v>
      </c>
      <c r="W14" s="52">
        <f t="shared" si="7"/>
        <v>5</v>
      </c>
      <c r="X14" s="32">
        <f t="shared" si="11"/>
        <v>10</v>
      </c>
      <c r="Z14" s="16" t="str">
        <f t="shared" si="8"/>
        <v/>
      </c>
    </row>
    <row r="15">
      <c r="A15" s="32">
        <f t="shared" si="9"/>
        <v>11</v>
      </c>
      <c r="B15" s="33" t="s">
        <v>107</v>
      </c>
      <c r="C15" s="34">
        <v>108.0</v>
      </c>
      <c r="D15" s="34">
        <v>12.0</v>
      </c>
      <c r="E15" s="35">
        <f t="shared" si="2"/>
        <v>12.85714286</v>
      </c>
      <c r="F15" s="95">
        <v>2.0</v>
      </c>
      <c r="G15" s="96">
        <v>2.0</v>
      </c>
      <c r="H15" s="97">
        <v>0.0</v>
      </c>
      <c r="I15" s="96">
        <v>4.0</v>
      </c>
      <c r="J15" s="96">
        <v>7.0</v>
      </c>
      <c r="K15" s="96">
        <v>6.0</v>
      </c>
      <c r="L15" s="98">
        <v>17.0</v>
      </c>
      <c r="M15" s="96">
        <v>2.0</v>
      </c>
      <c r="N15" s="34">
        <f t="shared" ref="N15:O15" si="19">C15+L15</f>
        <v>125</v>
      </c>
      <c r="O15" s="34">
        <f t="shared" si="19"/>
        <v>14</v>
      </c>
      <c r="P15" s="49" t="s">
        <v>58</v>
      </c>
      <c r="Q15" s="49" t="s">
        <v>58</v>
      </c>
      <c r="R15" s="49"/>
      <c r="S15" s="50">
        <f t="shared" si="4"/>
        <v>7</v>
      </c>
      <c r="T15" s="52">
        <f t="shared" si="5"/>
        <v>0</v>
      </c>
      <c r="U15" s="52"/>
      <c r="V15" s="50">
        <f t="shared" si="6"/>
        <v>2</v>
      </c>
      <c r="W15" s="52">
        <f t="shared" si="7"/>
        <v>-8</v>
      </c>
      <c r="X15" s="32">
        <f t="shared" si="11"/>
        <v>11</v>
      </c>
      <c r="Z15" s="16" t="str">
        <f t="shared" si="8"/>
        <v/>
      </c>
    </row>
    <row r="16">
      <c r="A16" s="32">
        <f t="shared" si="9"/>
        <v>12</v>
      </c>
      <c r="B16" s="33" t="s">
        <v>128</v>
      </c>
      <c r="C16" s="34">
        <v>106.0</v>
      </c>
      <c r="D16" s="34">
        <v>10.0</v>
      </c>
      <c r="E16" s="35">
        <f t="shared" si="2"/>
        <v>12.57142857</v>
      </c>
      <c r="F16" s="95">
        <v>1.0</v>
      </c>
      <c r="G16" s="96">
        <v>2.0</v>
      </c>
      <c r="H16" s="97">
        <v>0.0</v>
      </c>
      <c r="I16" s="96">
        <v>6.0</v>
      </c>
      <c r="J16" s="96">
        <v>6.0</v>
      </c>
      <c r="K16" s="96">
        <v>6.0</v>
      </c>
      <c r="L16" s="98">
        <v>18.0</v>
      </c>
      <c r="M16" s="96">
        <v>2.0</v>
      </c>
      <c r="N16" s="34">
        <f t="shared" ref="N16:O16" si="20">C16+L16</f>
        <v>124</v>
      </c>
      <c r="O16" s="34">
        <f t="shared" si="20"/>
        <v>12</v>
      </c>
      <c r="P16" s="49" t="s">
        <v>58</v>
      </c>
      <c r="Q16" s="49" t="s">
        <v>58</v>
      </c>
      <c r="R16" s="49"/>
      <c r="S16" s="50">
        <f t="shared" si="4"/>
        <v>7</v>
      </c>
      <c r="T16" s="52">
        <f t="shared" si="5"/>
        <v>0</v>
      </c>
      <c r="U16" s="52"/>
      <c r="V16" s="50">
        <f t="shared" si="6"/>
        <v>2</v>
      </c>
      <c r="W16" s="52">
        <f t="shared" si="7"/>
        <v>1</v>
      </c>
      <c r="X16" s="32">
        <f t="shared" si="11"/>
        <v>12</v>
      </c>
      <c r="Z16" s="16" t="str">
        <f t="shared" si="8"/>
        <v/>
      </c>
    </row>
    <row r="17">
      <c r="A17" s="32">
        <f t="shared" si="9"/>
        <v>13</v>
      </c>
      <c r="B17" s="33" t="s">
        <v>125</v>
      </c>
      <c r="C17" s="34">
        <v>106.0</v>
      </c>
      <c r="D17" s="34">
        <v>9.0</v>
      </c>
      <c r="E17" s="35">
        <f t="shared" si="2"/>
        <v>12.57142857</v>
      </c>
      <c r="F17" s="95">
        <v>1.0</v>
      </c>
      <c r="G17" s="96">
        <v>2.0</v>
      </c>
      <c r="H17" s="97">
        <v>0.0</v>
      </c>
      <c r="I17" s="96">
        <v>4.0</v>
      </c>
      <c r="J17" s="96">
        <v>6.0</v>
      </c>
      <c r="K17" s="96">
        <v>1.0</v>
      </c>
      <c r="L17" s="98">
        <v>11.0</v>
      </c>
      <c r="M17" s="96">
        <v>1.0</v>
      </c>
      <c r="N17" s="34">
        <f t="shared" ref="N17:O17" si="21">C17+L17</f>
        <v>117</v>
      </c>
      <c r="O17" s="34">
        <f t="shared" si="21"/>
        <v>10</v>
      </c>
      <c r="P17" s="49" t="s">
        <v>58</v>
      </c>
      <c r="Q17" s="49" t="s">
        <v>58</v>
      </c>
      <c r="R17" s="49"/>
      <c r="S17" s="50">
        <f t="shared" si="4"/>
        <v>7</v>
      </c>
      <c r="T17" s="52">
        <f t="shared" si="5"/>
        <v>0</v>
      </c>
      <c r="U17" s="52"/>
      <c r="V17" s="50">
        <f t="shared" si="6"/>
        <v>2</v>
      </c>
      <c r="W17" s="52">
        <f t="shared" si="7"/>
        <v>-5</v>
      </c>
      <c r="X17" s="32">
        <f t="shared" si="11"/>
        <v>13</v>
      </c>
      <c r="Z17" s="16" t="str">
        <f t="shared" si="8"/>
        <v/>
      </c>
    </row>
    <row r="18">
      <c r="A18" s="32">
        <f t="shared" si="9"/>
        <v>14</v>
      </c>
      <c r="B18" s="33" t="s">
        <v>109</v>
      </c>
      <c r="C18" s="34">
        <v>106.0</v>
      </c>
      <c r="D18" s="34">
        <v>9.0</v>
      </c>
      <c r="E18" s="35">
        <f t="shared" si="2"/>
        <v>12.57142857</v>
      </c>
      <c r="F18" s="95">
        <v>1.0</v>
      </c>
      <c r="G18" s="96">
        <v>3.0</v>
      </c>
      <c r="H18" s="97">
        <v>0.0</v>
      </c>
      <c r="I18" s="96">
        <v>6.0</v>
      </c>
      <c r="J18" s="96">
        <v>7.0</v>
      </c>
      <c r="K18" s="96">
        <v>6.0</v>
      </c>
      <c r="L18" s="98">
        <v>19.0</v>
      </c>
      <c r="M18" s="96">
        <v>3.0</v>
      </c>
      <c r="N18" s="34">
        <f t="shared" ref="N18:O18" si="22">C18+L18</f>
        <v>125</v>
      </c>
      <c r="O18" s="34">
        <f t="shared" si="22"/>
        <v>12</v>
      </c>
      <c r="P18" s="49" t="s">
        <v>58</v>
      </c>
      <c r="Q18" s="49" t="s">
        <v>58</v>
      </c>
      <c r="R18" s="49"/>
      <c r="S18" s="50">
        <f t="shared" si="4"/>
        <v>7</v>
      </c>
      <c r="T18" s="52">
        <f t="shared" si="5"/>
        <v>0</v>
      </c>
      <c r="U18" s="52"/>
      <c r="V18" s="50">
        <f t="shared" si="6"/>
        <v>2</v>
      </c>
      <c r="W18" s="52">
        <f t="shared" si="7"/>
        <v>6</v>
      </c>
      <c r="X18" s="32">
        <f t="shared" si="11"/>
        <v>14</v>
      </c>
      <c r="Z18" s="16" t="str">
        <f t="shared" si="8"/>
        <v/>
      </c>
    </row>
    <row r="19">
      <c r="A19" s="32">
        <f t="shared" si="9"/>
        <v>15</v>
      </c>
      <c r="B19" s="33" t="s">
        <v>89</v>
      </c>
      <c r="C19" s="34">
        <v>105.0</v>
      </c>
      <c r="D19" s="34">
        <v>11.0</v>
      </c>
      <c r="E19" s="35">
        <f t="shared" si="2"/>
        <v>12.42857143</v>
      </c>
      <c r="F19" s="95">
        <v>1.0</v>
      </c>
      <c r="G19" s="96">
        <v>3.0</v>
      </c>
      <c r="H19" s="97">
        <v>0.0</v>
      </c>
      <c r="I19" s="96">
        <v>3.0</v>
      </c>
      <c r="J19" s="96">
        <v>6.0</v>
      </c>
      <c r="K19" s="96">
        <v>6.0</v>
      </c>
      <c r="L19" s="98">
        <v>15.0</v>
      </c>
      <c r="M19" s="96">
        <v>1.0</v>
      </c>
      <c r="N19" s="34">
        <f t="shared" ref="N19:O19" si="23">C19+L19</f>
        <v>120</v>
      </c>
      <c r="O19" s="34">
        <f t="shared" si="23"/>
        <v>12</v>
      </c>
      <c r="P19" s="49" t="s">
        <v>58</v>
      </c>
      <c r="Q19" s="49" t="s">
        <v>58</v>
      </c>
      <c r="R19" s="49"/>
      <c r="S19" s="50">
        <f t="shared" si="4"/>
        <v>7</v>
      </c>
      <c r="T19" s="52">
        <f t="shared" si="5"/>
        <v>0</v>
      </c>
      <c r="U19" s="52"/>
      <c r="V19" s="50">
        <f t="shared" si="6"/>
        <v>2</v>
      </c>
      <c r="W19" s="52">
        <f t="shared" si="7"/>
        <v>12</v>
      </c>
      <c r="X19" s="32">
        <f t="shared" si="11"/>
        <v>15</v>
      </c>
      <c r="Z19" s="16" t="str">
        <f t="shared" si="8"/>
        <v/>
      </c>
    </row>
    <row r="20">
      <c r="A20" s="32">
        <f t="shared" si="9"/>
        <v>16</v>
      </c>
      <c r="B20" s="33" t="s">
        <v>134</v>
      </c>
      <c r="C20" s="34">
        <v>104.0</v>
      </c>
      <c r="D20" s="34">
        <v>10.0</v>
      </c>
      <c r="E20" s="35">
        <f t="shared" si="2"/>
        <v>14.75</v>
      </c>
      <c r="F20" s="95">
        <v>3.0</v>
      </c>
      <c r="G20" s="96">
        <v>0.0</v>
      </c>
      <c r="H20" s="97">
        <v>9.0</v>
      </c>
      <c r="I20" s="96">
        <v>0.0</v>
      </c>
      <c r="J20" s="96">
        <v>0.0</v>
      </c>
      <c r="K20" s="96">
        <v>0.0</v>
      </c>
      <c r="L20" s="98">
        <v>9.0</v>
      </c>
      <c r="M20" s="96">
        <v>0.0</v>
      </c>
      <c r="N20" s="34">
        <f t="shared" ref="N20:O20" si="24">C20+L20</f>
        <v>113</v>
      </c>
      <c r="O20" s="34">
        <f t="shared" si="24"/>
        <v>10</v>
      </c>
      <c r="P20" s="49" t="s">
        <v>58</v>
      </c>
      <c r="Q20" s="49" t="s">
        <v>58</v>
      </c>
      <c r="R20" s="49"/>
      <c r="S20" s="50">
        <f t="shared" si="4"/>
        <v>4</v>
      </c>
      <c r="T20" s="52">
        <f t="shared" si="5"/>
        <v>0</v>
      </c>
      <c r="U20" s="52"/>
      <c r="V20" s="50">
        <f t="shared" si="6"/>
        <v>5</v>
      </c>
      <c r="W20" s="52">
        <f t="shared" si="7"/>
        <v>14</v>
      </c>
      <c r="X20" s="32">
        <f t="shared" si="11"/>
        <v>16</v>
      </c>
      <c r="Z20" s="16" t="str">
        <f t="shared" si="8"/>
        <v/>
      </c>
    </row>
    <row r="21">
      <c r="A21" s="32">
        <f t="shared" si="9"/>
        <v>17</v>
      </c>
      <c r="B21" s="33" t="s">
        <v>91</v>
      </c>
      <c r="C21" s="34">
        <v>103.0</v>
      </c>
      <c r="D21" s="34">
        <v>12.0</v>
      </c>
      <c r="E21" s="35">
        <f t="shared" si="2"/>
        <v>11.25</v>
      </c>
      <c r="F21" s="95">
        <v>5.0</v>
      </c>
      <c r="G21" s="96">
        <v>0.0</v>
      </c>
      <c r="H21" s="97">
        <v>13.0</v>
      </c>
      <c r="I21" s="96">
        <v>0.0</v>
      </c>
      <c r="J21" s="96">
        <v>0.0</v>
      </c>
      <c r="K21" s="96">
        <v>0.0</v>
      </c>
      <c r="L21" s="98">
        <v>13.0</v>
      </c>
      <c r="M21" s="96">
        <v>0.0</v>
      </c>
      <c r="N21" s="34">
        <f t="shared" ref="N21:O21" si="25">C21+L21</f>
        <v>116</v>
      </c>
      <c r="O21" s="34">
        <f t="shared" si="25"/>
        <v>12</v>
      </c>
      <c r="P21" s="49" t="s">
        <v>58</v>
      </c>
      <c r="Q21" s="49" t="s">
        <v>58</v>
      </c>
      <c r="R21" s="49"/>
      <c r="S21" s="50">
        <f t="shared" si="4"/>
        <v>8</v>
      </c>
      <c r="T21" s="52">
        <f t="shared" si="5"/>
        <v>1</v>
      </c>
      <c r="U21" s="52"/>
      <c r="V21" s="50">
        <f t="shared" si="6"/>
        <v>0</v>
      </c>
      <c r="W21" s="52">
        <f t="shared" si="7"/>
        <v>-1</v>
      </c>
      <c r="X21" s="32">
        <f t="shared" si="11"/>
        <v>17</v>
      </c>
      <c r="Z21" s="16" t="str">
        <f t="shared" si="8"/>
        <v/>
      </c>
    </row>
    <row r="22">
      <c r="A22" s="32">
        <f t="shared" si="9"/>
        <v>18</v>
      </c>
      <c r="B22" s="33" t="s">
        <v>45</v>
      </c>
      <c r="C22" s="34">
        <v>103.0</v>
      </c>
      <c r="D22" s="34">
        <v>10.0</v>
      </c>
      <c r="E22" s="35">
        <f t="shared" si="2"/>
        <v>14.5</v>
      </c>
      <c r="F22" s="95">
        <v>3.0</v>
      </c>
      <c r="G22" s="96">
        <v>0.0</v>
      </c>
      <c r="H22" s="97">
        <v>9.0</v>
      </c>
      <c r="I22" s="96">
        <v>0.0</v>
      </c>
      <c r="J22" s="96">
        <v>0.0</v>
      </c>
      <c r="K22" s="96">
        <v>0.0</v>
      </c>
      <c r="L22" s="98">
        <v>9.0</v>
      </c>
      <c r="M22" s="96">
        <v>0.0</v>
      </c>
      <c r="N22" s="34">
        <f t="shared" ref="N22:O22" si="26">C22+L22</f>
        <v>112</v>
      </c>
      <c r="O22" s="34">
        <f t="shared" si="26"/>
        <v>10</v>
      </c>
      <c r="P22" s="49" t="s">
        <v>58</v>
      </c>
      <c r="Q22" s="49" t="s">
        <v>58</v>
      </c>
      <c r="R22" s="49"/>
      <c r="S22" s="50">
        <f t="shared" si="4"/>
        <v>4</v>
      </c>
      <c r="T22" s="52">
        <f t="shared" si="5"/>
        <v>0</v>
      </c>
      <c r="U22" s="52"/>
      <c r="V22" s="50">
        <f t="shared" si="6"/>
        <v>5</v>
      </c>
      <c r="W22" s="52">
        <f t="shared" si="7"/>
        <v>-6</v>
      </c>
      <c r="X22" s="32">
        <f t="shared" si="11"/>
        <v>18</v>
      </c>
      <c r="Z22" s="16" t="str">
        <f t="shared" si="8"/>
        <v/>
      </c>
    </row>
    <row r="23">
      <c r="A23" s="32">
        <f t="shared" si="9"/>
        <v>19</v>
      </c>
      <c r="B23" s="33" t="s">
        <v>132</v>
      </c>
      <c r="C23" s="34">
        <v>103.0</v>
      </c>
      <c r="D23" s="34">
        <v>10.0</v>
      </c>
      <c r="E23" s="35">
        <f t="shared" si="2"/>
        <v>12.66666667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7">C23+L23</f>
        <v>112</v>
      </c>
      <c r="O23" s="34">
        <f t="shared" si="27"/>
        <v>10</v>
      </c>
      <c r="P23" s="49" t="s">
        <v>58</v>
      </c>
      <c r="Q23" s="49" t="s">
        <v>58</v>
      </c>
      <c r="R23" s="49"/>
      <c r="S23" s="50">
        <f t="shared" si="4"/>
        <v>6</v>
      </c>
      <c r="T23" s="52">
        <f t="shared" si="5"/>
        <v>0</v>
      </c>
      <c r="U23" s="52"/>
      <c r="V23" s="50">
        <f t="shared" si="6"/>
        <v>3</v>
      </c>
      <c r="W23" s="52">
        <f t="shared" si="7"/>
        <v>3</v>
      </c>
      <c r="X23" s="32">
        <f t="shared" si="11"/>
        <v>19</v>
      </c>
      <c r="Z23" s="16" t="str">
        <f t="shared" si="8"/>
        <v/>
      </c>
    </row>
    <row r="24">
      <c r="A24" s="32">
        <f t="shared" si="9"/>
        <v>20</v>
      </c>
      <c r="B24" s="33" t="s">
        <v>90</v>
      </c>
      <c r="C24" s="34">
        <v>102.0</v>
      </c>
      <c r="D24" s="34">
        <v>12.0</v>
      </c>
      <c r="E24" s="35">
        <f t="shared" si="2"/>
        <v>11.125</v>
      </c>
      <c r="F24" s="95">
        <v>1.0</v>
      </c>
      <c r="G24" s="96">
        <v>3.0</v>
      </c>
      <c r="H24" s="97">
        <v>0.0</v>
      </c>
      <c r="I24" s="96">
        <v>6.0</v>
      </c>
      <c r="J24" s="96">
        <v>6.0</v>
      </c>
      <c r="K24" s="96">
        <v>2.0</v>
      </c>
      <c r="L24" s="98">
        <v>14.0</v>
      </c>
      <c r="M24" s="96">
        <v>1.0</v>
      </c>
      <c r="N24" s="34">
        <f t="shared" ref="N24:O24" si="28">C24+L24</f>
        <v>116</v>
      </c>
      <c r="O24" s="34">
        <f t="shared" si="28"/>
        <v>13</v>
      </c>
      <c r="P24" s="49" t="s">
        <v>58</v>
      </c>
      <c r="Q24" s="49" t="s">
        <v>58</v>
      </c>
      <c r="R24" s="49"/>
      <c r="S24" s="50">
        <f t="shared" si="4"/>
        <v>8</v>
      </c>
      <c r="T24" s="52">
        <f t="shared" si="5"/>
        <v>1</v>
      </c>
      <c r="U24" s="52"/>
      <c r="V24" s="50">
        <f t="shared" si="6"/>
        <v>0</v>
      </c>
      <c r="W24" s="52">
        <f t="shared" si="7"/>
        <v>1</v>
      </c>
      <c r="X24" s="32">
        <f t="shared" si="11"/>
        <v>20</v>
      </c>
      <c r="Z24" s="16" t="str">
        <f t="shared" si="8"/>
        <v/>
      </c>
    </row>
    <row r="25">
      <c r="A25" s="32">
        <f t="shared" si="9"/>
        <v>21</v>
      </c>
      <c r="B25" s="33" t="s">
        <v>50</v>
      </c>
      <c r="C25" s="34">
        <v>102.0</v>
      </c>
      <c r="D25" s="34">
        <v>10.0</v>
      </c>
      <c r="E25" s="35">
        <f t="shared" si="2"/>
        <v>11.33333333</v>
      </c>
      <c r="F25" s="95">
        <v>1.0</v>
      </c>
      <c r="G25" s="96">
        <v>3.0</v>
      </c>
      <c r="H25" s="97">
        <v>0.0</v>
      </c>
      <c r="I25" s="96">
        <v>3.0</v>
      </c>
      <c r="J25" s="96">
        <v>7.0</v>
      </c>
      <c r="K25" s="96">
        <v>2.0</v>
      </c>
      <c r="L25" s="98">
        <v>12.0</v>
      </c>
      <c r="M25" s="96">
        <v>1.0</v>
      </c>
      <c r="N25" s="34">
        <f t="shared" ref="N25:O25" si="29">C25+L25</f>
        <v>114</v>
      </c>
      <c r="O25" s="34">
        <f t="shared" si="29"/>
        <v>11</v>
      </c>
      <c r="P25" s="49" t="s">
        <v>58</v>
      </c>
      <c r="Q25" s="49" t="s">
        <v>58</v>
      </c>
      <c r="R25" s="49"/>
      <c r="S25" s="50">
        <f t="shared" si="4"/>
        <v>9</v>
      </c>
      <c r="T25" s="52">
        <f t="shared" si="5"/>
        <v>0</v>
      </c>
      <c r="U25" s="52"/>
      <c r="V25" s="50">
        <f t="shared" si="6"/>
        <v>0</v>
      </c>
      <c r="W25" s="52">
        <f t="shared" si="7"/>
        <v>-2</v>
      </c>
      <c r="X25" s="32">
        <f t="shared" si="11"/>
        <v>21</v>
      </c>
      <c r="Z25" s="16" t="str">
        <f t="shared" si="8"/>
        <v/>
      </c>
    </row>
    <row r="26">
      <c r="A26" s="32">
        <f t="shared" si="9"/>
        <v>22</v>
      </c>
      <c r="B26" s="33" t="s">
        <v>111</v>
      </c>
      <c r="C26" s="34">
        <v>102.0</v>
      </c>
      <c r="D26" s="34">
        <v>7.0</v>
      </c>
      <c r="E26" s="35">
        <f t="shared" si="2"/>
        <v>11.42857143</v>
      </c>
      <c r="F26" s="95">
        <v>2.0</v>
      </c>
      <c r="G26" s="96">
        <v>4.0</v>
      </c>
      <c r="H26" s="97">
        <v>0.0</v>
      </c>
      <c r="I26" s="96">
        <v>6.0</v>
      </c>
      <c r="J26" s="96">
        <v>1.0</v>
      </c>
      <c r="K26" s="96">
        <v>6.0</v>
      </c>
      <c r="L26" s="98">
        <v>13.0</v>
      </c>
      <c r="M26" s="96">
        <v>2.0</v>
      </c>
      <c r="N26" s="34">
        <f t="shared" ref="N26:O26" si="30">C26+L26</f>
        <v>115</v>
      </c>
      <c r="O26" s="34">
        <f t="shared" si="30"/>
        <v>9</v>
      </c>
      <c r="P26" s="49" t="s">
        <v>58</v>
      </c>
      <c r="Q26" s="49" t="s">
        <v>58</v>
      </c>
      <c r="R26" s="49"/>
      <c r="S26" s="50">
        <f t="shared" si="4"/>
        <v>7</v>
      </c>
      <c r="T26" s="52">
        <f t="shared" si="5"/>
        <v>1</v>
      </c>
      <c r="U26" s="52"/>
      <c r="V26" s="50">
        <f t="shared" si="6"/>
        <v>1</v>
      </c>
      <c r="W26" s="52">
        <f t="shared" si="7"/>
        <v>-13</v>
      </c>
      <c r="X26" s="32">
        <f t="shared" si="11"/>
        <v>22</v>
      </c>
      <c r="Z26" s="16" t="str">
        <f t="shared" si="8"/>
        <v/>
      </c>
    </row>
    <row r="27">
      <c r="A27" s="32">
        <f t="shared" si="9"/>
        <v>23</v>
      </c>
      <c r="B27" s="33" t="s">
        <v>60</v>
      </c>
      <c r="C27" s="34">
        <v>101.0</v>
      </c>
      <c r="D27" s="34">
        <v>10.0</v>
      </c>
      <c r="E27" s="35">
        <f t="shared" si="2"/>
        <v>11.22222222</v>
      </c>
      <c r="F27" s="95">
        <v>1.0</v>
      </c>
      <c r="G27" s="96">
        <v>4.0</v>
      </c>
      <c r="H27" s="97">
        <v>0.0</v>
      </c>
      <c r="I27" s="96">
        <v>0.0</v>
      </c>
      <c r="J27" s="96">
        <v>6.0</v>
      </c>
      <c r="K27" s="96">
        <v>6.0</v>
      </c>
      <c r="L27" s="98">
        <v>12.0</v>
      </c>
      <c r="M27" s="96">
        <v>2.0</v>
      </c>
      <c r="N27" s="34">
        <f t="shared" ref="N27:O27" si="31">C27+L27</f>
        <v>113</v>
      </c>
      <c r="O27" s="34">
        <f t="shared" si="31"/>
        <v>12</v>
      </c>
      <c r="P27" s="49" t="s">
        <v>58</v>
      </c>
      <c r="Q27" s="49" t="s">
        <v>58</v>
      </c>
      <c r="R27" s="49"/>
      <c r="S27" s="50">
        <f t="shared" si="4"/>
        <v>9</v>
      </c>
      <c r="T27" s="52">
        <f t="shared" si="5"/>
        <v>0</v>
      </c>
      <c r="U27" s="52"/>
      <c r="V27" s="50">
        <f t="shared" si="6"/>
        <v>0</v>
      </c>
      <c r="W27" s="52">
        <f t="shared" si="7"/>
        <v>-5</v>
      </c>
      <c r="X27" s="32">
        <f t="shared" si="11"/>
        <v>23</v>
      </c>
      <c r="Z27" s="16" t="str">
        <f t="shared" si="8"/>
        <v/>
      </c>
    </row>
    <row r="28">
      <c r="A28" s="32">
        <f t="shared" si="9"/>
        <v>24</v>
      </c>
      <c r="B28" s="33" t="s">
        <v>99</v>
      </c>
      <c r="C28" s="34">
        <v>100.0</v>
      </c>
      <c r="D28" s="34">
        <v>9.0</v>
      </c>
      <c r="E28" s="35">
        <f t="shared" si="2"/>
        <v>11.71428571</v>
      </c>
      <c r="F28" s="95">
        <v>1.0</v>
      </c>
      <c r="G28" s="96">
        <v>4.0</v>
      </c>
      <c r="H28" s="97">
        <v>0.0</v>
      </c>
      <c r="I28" s="96">
        <v>6.0</v>
      </c>
      <c r="J28" s="96">
        <v>6.0</v>
      </c>
      <c r="K28" s="96">
        <v>3.0</v>
      </c>
      <c r="L28" s="98">
        <v>15.0</v>
      </c>
      <c r="M28" s="96">
        <v>2.0</v>
      </c>
      <c r="N28" s="34">
        <f t="shared" ref="N28:O28" si="32">C28+L28</f>
        <v>115</v>
      </c>
      <c r="O28" s="34">
        <f t="shared" si="32"/>
        <v>11</v>
      </c>
      <c r="P28" s="49" t="s">
        <v>58</v>
      </c>
      <c r="Q28" s="49" t="s">
        <v>58</v>
      </c>
      <c r="R28" s="49"/>
      <c r="S28" s="50">
        <f t="shared" si="4"/>
        <v>7</v>
      </c>
      <c r="T28" s="52">
        <f t="shared" si="5"/>
        <v>0</v>
      </c>
      <c r="U28" s="52"/>
      <c r="V28" s="50">
        <f t="shared" si="6"/>
        <v>2</v>
      </c>
      <c r="W28" s="52">
        <f t="shared" si="7"/>
        <v>5</v>
      </c>
      <c r="X28" s="32">
        <f t="shared" si="11"/>
        <v>24</v>
      </c>
      <c r="Z28" s="16" t="str">
        <f t="shared" si="8"/>
        <v/>
      </c>
    </row>
    <row r="29">
      <c r="A29" s="32">
        <f t="shared" si="9"/>
        <v>25</v>
      </c>
      <c r="B29" s="33" t="s">
        <v>114</v>
      </c>
      <c r="C29" s="34">
        <v>100.0</v>
      </c>
      <c r="D29" s="34">
        <v>6.0</v>
      </c>
      <c r="E29" s="35">
        <f t="shared" si="2"/>
        <v>11.14285714</v>
      </c>
      <c r="F29" s="95">
        <v>5.0</v>
      </c>
      <c r="G29" s="96">
        <v>0.0</v>
      </c>
      <c r="H29" s="97">
        <v>13.0</v>
      </c>
      <c r="I29" s="96">
        <v>0.0</v>
      </c>
      <c r="J29" s="96">
        <v>0.0</v>
      </c>
      <c r="K29" s="96">
        <v>0.0</v>
      </c>
      <c r="L29" s="98">
        <v>13.0</v>
      </c>
      <c r="M29" s="96">
        <v>0.0</v>
      </c>
      <c r="N29" s="34">
        <f t="shared" ref="N29:O29" si="33">C29+L29</f>
        <v>113</v>
      </c>
      <c r="O29" s="34">
        <f t="shared" si="33"/>
        <v>6</v>
      </c>
      <c r="P29" s="49" t="s">
        <v>58</v>
      </c>
      <c r="Q29" s="49" t="s">
        <v>58</v>
      </c>
      <c r="R29" s="49"/>
      <c r="S29" s="50">
        <f t="shared" si="4"/>
        <v>7</v>
      </c>
      <c r="T29" s="52">
        <f t="shared" si="5"/>
        <v>1</v>
      </c>
      <c r="U29" s="52"/>
      <c r="V29" s="50">
        <f t="shared" si="6"/>
        <v>1</v>
      </c>
      <c r="W29" s="52">
        <f t="shared" si="7"/>
        <v>-11</v>
      </c>
      <c r="X29" s="32">
        <f t="shared" si="11"/>
        <v>25</v>
      </c>
      <c r="Z29" s="16" t="str">
        <f t="shared" si="8"/>
        <v/>
      </c>
    </row>
    <row r="30">
      <c r="A30" s="32">
        <f t="shared" si="9"/>
        <v>26</v>
      </c>
      <c r="B30" s="33" t="s">
        <v>138</v>
      </c>
      <c r="C30" s="34">
        <v>99.0</v>
      </c>
      <c r="D30" s="34">
        <v>9.0</v>
      </c>
      <c r="E30" s="35">
        <f t="shared" si="2"/>
        <v>12</v>
      </c>
      <c r="F30" s="95">
        <v>4.0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4">C30+L30</f>
        <v>108</v>
      </c>
      <c r="O30" s="34">
        <f t="shared" si="34"/>
        <v>9</v>
      </c>
      <c r="P30" s="49" t="s">
        <v>58</v>
      </c>
      <c r="Q30" s="49" t="s">
        <v>58</v>
      </c>
      <c r="R30" s="49"/>
      <c r="S30" s="50">
        <f t="shared" si="4"/>
        <v>6</v>
      </c>
      <c r="T30" s="52">
        <f t="shared" si="5"/>
        <v>0</v>
      </c>
      <c r="U30" s="52"/>
      <c r="V30" s="50">
        <f t="shared" si="6"/>
        <v>3</v>
      </c>
      <c r="W30" s="52">
        <f t="shared" si="7"/>
        <v>0</v>
      </c>
      <c r="X30" s="32">
        <f t="shared" si="11"/>
        <v>26</v>
      </c>
      <c r="Z30" s="16" t="str">
        <f t="shared" si="8"/>
        <v/>
      </c>
    </row>
    <row r="31">
      <c r="A31" s="32">
        <f t="shared" si="9"/>
        <v>27</v>
      </c>
      <c r="B31" s="33" t="s">
        <v>136</v>
      </c>
      <c r="C31" s="34">
        <v>99.0</v>
      </c>
      <c r="D31" s="34">
        <v>8.0</v>
      </c>
      <c r="E31" s="35">
        <f t="shared" si="2"/>
        <v>11</v>
      </c>
      <c r="F31" s="95">
        <v>1.0</v>
      </c>
      <c r="G31" s="96">
        <v>4.0</v>
      </c>
      <c r="H31" s="97">
        <v>0.0</v>
      </c>
      <c r="I31" s="96">
        <v>0.0</v>
      </c>
      <c r="J31" s="96">
        <v>1.0</v>
      </c>
      <c r="K31" s="96">
        <v>3.0</v>
      </c>
      <c r="L31" s="98">
        <v>4.0</v>
      </c>
      <c r="M31" s="96">
        <v>0.0</v>
      </c>
      <c r="N31" s="34">
        <f t="shared" ref="N31:O31" si="35">C31+L31</f>
        <v>103</v>
      </c>
      <c r="O31" s="34">
        <f t="shared" si="35"/>
        <v>8</v>
      </c>
      <c r="P31" s="49" t="s">
        <v>58</v>
      </c>
      <c r="Q31" s="49" t="s">
        <v>58</v>
      </c>
      <c r="R31" s="49"/>
      <c r="S31" s="50">
        <f t="shared" si="4"/>
        <v>9</v>
      </c>
      <c r="T31" s="52">
        <f t="shared" si="5"/>
        <v>0</v>
      </c>
      <c r="U31" s="52"/>
      <c r="V31" s="50">
        <f t="shared" si="6"/>
        <v>0</v>
      </c>
      <c r="W31" s="52">
        <f t="shared" si="7"/>
        <v>1</v>
      </c>
      <c r="X31" s="32">
        <f t="shared" si="11"/>
        <v>27</v>
      </c>
      <c r="Z31" s="16" t="str">
        <f t="shared" si="8"/>
        <v/>
      </c>
    </row>
    <row r="32">
      <c r="A32" s="32">
        <f t="shared" si="9"/>
        <v>28</v>
      </c>
      <c r="B32" s="33" t="s">
        <v>103</v>
      </c>
      <c r="C32" s="34">
        <v>98.0</v>
      </c>
      <c r="D32" s="34">
        <v>7.0</v>
      </c>
      <c r="E32" s="35">
        <f t="shared" si="2"/>
        <v>10.85714286</v>
      </c>
      <c r="F32" s="95">
        <v>1.0</v>
      </c>
      <c r="G32" s="96">
        <v>5.0</v>
      </c>
      <c r="H32" s="97">
        <v>0.0</v>
      </c>
      <c r="I32" s="96">
        <v>6.0</v>
      </c>
      <c r="J32" s="96">
        <v>4.0</v>
      </c>
      <c r="K32" s="96">
        <v>4.0</v>
      </c>
      <c r="L32" s="98">
        <v>14.0</v>
      </c>
      <c r="M32" s="96">
        <v>1.0</v>
      </c>
      <c r="N32" s="34">
        <f t="shared" ref="N32:O32" si="36">C32+L32</f>
        <v>112</v>
      </c>
      <c r="O32" s="34">
        <f t="shared" si="36"/>
        <v>8</v>
      </c>
      <c r="P32" s="49" t="s">
        <v>58</v>
      </c>
      <c r="Q32" s="49" t="s">
        <v>58</v>
      </c>
      <c r="R32" s="49"/>
      <c r="S32" s="50">
        <f t="shared" si="4"/>
        <v>7</v>
      </c>
      <c r="T32" s="52">
        <f t="shared" si="5"/>
        <v>1</v>
      </c>
      <c r="U32" s="52"/>
      <c r="V32" s="50">
        <f t="shared" si="6"/>
        <v>1</v>
      </c>
      <c r="W32" s="52">
        <f t="shared" si="7"/>
        <v>4</v>
      </c>
      <c r="X32" s="32">
        <f t="shared" si="11"/>
        <v>28</v>
      </c>
      <c r="Z32" s="16" t="str">
        <f t="shared" si="8"/>
        <v/>
      </c>
    </row>
    <row r="33">
      <c r="A33" s="32">
        <f t="shared" si="9"/>
        <v>29</v>
      </c>
      <c r="B33" s="33" t="s">
        <v>100</v>
      </c>
      <c r="C33" s="34">
        <v>97.0</v>
      </c>
      <c r="D33" s="34">
        <v>8.0</v>
      </c>
      <c r="E33" s="35">
        <f t="shared" si="2"/>
        <v>13</v>
      </c>
      <c r="F33" s="95">
        <v>3.0</v>
      </c>
      <c r="G33" s="96">
        <v>0.0</v>
      </c>
      <c r="H33" s="97">
        <v>9.0</v>
      </c>
      <c r="I33" s="96">
        <v>0.0</v>
      </c>
      <c r="J33" s="96">
        <v>0.0</v>
      </c>
      <c r="K33" s="96">
        <v>0.0</v>
      </c>
      <c r="L33" s="98">
        <v>9.0</v>
      </c>
      <c r="M33" s="96">
        <v>0.0</v>
      </c>
      <c r="N33" s="34">
        <f t="shared" ref="N33:O33" si="37">C33+L33</f>
        <v>106</v>
      </c>
      <c r="O33" s="34">
        <f t="shared" si="37"/>
        <v>8</v>
      </c>
      <c r="P33" s="49" t="s">
        <v>58</v>
      </c>
      <c r="Q33" s="49" t="s">
        <v>58</v>
      </c>
      <c r="R33" s="49"/>
      <c r="S33" s="50">
        <f t="shared" si="4"/>
        <v>4</v>
      </c>
      <c r="T33" s="52">
        <f t="shared" si="5"/>
        <v>0</v>
      </c>
      <c r="U33" s="52"/>
      <c r="V33" s="50">
        <f t="shared" si="6"/>
        <v>5</v>
      </c>
      <c r="W33" s="52">
        <f t="shared" si="7"/>
        <v>-6</v>
      </c>
      <c r="X33" s="32">
        <f t="shared" si="11"/>
        <v>29</v>
      </c>
      <c r="Z33" s="16" t="str">
        <f t="shared" si="8"/>
        <v/>
      </c>
    </row>
    <row r="34">
      <c r="A34" s="32">
        <f t="shared" si="9"/>
        <v>30</v>
      </c>
      <c r="B34" s="33" t="s">
        <v>47</v>
      </c>
      <c r="C34" s="34">
        <v>97.0</v>
      </c>
      <c r="D34" s="34">
        <v>8.0</v>
      </c>
      <c r="E34" s="35">
        <f t="shared" si="2"/>
        <v>14.33333333</v>
      </c>
      <c r="F34" s="95">
        <v>3.0</v>
      </c>
      <c r="G34" s="96">
        <v>0.0</v>
      </c>
      <c r="H34" s="97">
        <v>9.0</v>
      </c>
      <c r="I34" s="96">
        <v>0.0</v>
      </c>
      <c r="J34" s="96">
        <v>0.0</v>
      </c>
      <c r="K34" s="96">
        <v>0.0</v>
      </c>
      <c r="L34" s="98">
        <v>9.0</v>
      </c>
      <c r="M34" s="96">
        <v>0.0</v>
      </c>
      <c r="N34" s="34">
        <f t="shared" ref="N34:O34" si="38">C34+L34</f>
        <v>106</v>
      </c>
      <c r="O34" s="34">
        <f t="shared" si="38"/>
        <v>8</v>
      </c>
      <c r="P34" s="49" t="s">
        <v>58</v>
      </c>
      <c r="Q34" s="49" t="s">
        <v>58</v>
      </c>
      <c r="R34" s="49"/>
      <c r="S34" s="50">
        <f t="shared" si="4"/>
        <v>3</v>
      </c>
      <c r="T34" s="52">
        <f t="shared" si="5"/>
        <v>0</v>
      </c>
      <c r="U34" s="52"/>
      <c r="V34" s="50">
        <f t="shared" si="6"/>
        <v>6</v>
      </c>
      <c r="W34" s="52">
        <f t="shared" si="7"/>
        <v>11</v>
      </c>
      <c r="X34" s="32">
        <f t="shared" si="11"/>
        <v>30</v>
      </c>
      <c r="Z34" s="16" t="str">
        <f t="shared" si="8"/>
        <v/>
      </c>
    </row>
    <row r="35">
      <c r="A35" s="32">
        <f t="shared" si="9"/>
        <v>31</v>
      </c>
      <c r="B35" s="33" t="s">
        <v>66</v>
      </c>
      <c r="C35" s="34">
        <v>96.0</v>
      </c>
      <c r="D35" s="34">
        <v>8.0</v>
      </c>
      <c r="E35" s="35">
        <f t="shared" si="2"/>
        <v>10.66666667</v>
      </c>
      <c r="F35" s="95">
        <v>1.0</v>
      </c>
      <c r="G35" s="96">
        <v>5.0</v>
      </c>
      <c r="H35" s="97">
        <v>0.0</v>
      </c>
      <c r="I35" s="96">
        <v>2.0</v>
      </c>
      <c r="J35" s="96">
        <v>4.0</v>
      </c>
      <c r="K35" s="96">
        <v>6.0</v>
      </c>
      <c r="L35" s="98">
        <v>12.0</v>
      </c>
      <c r="M35" s="96">
        <v>1.0</v>
      </c>
      <c r="N35" s="34">
        <f t="shared" ref="N35:O35" si="39">C35+L35</f>
        <v>108</v>
      </c>
      <c r="O35" s="34">
        <f t="shared" si="39"/>
        <v>9</v>
      </c>
      <c r="P35" s="49" t="s">
        <v>58</v>
      </c>
      <c r="Q35" s="49" t="s">
        <v>58</v>
      </c>
      <c r="R35" s="49"/>
      <c r="S35" s="50">
        <f t="shared" si="4"/>
        <v>9</v>
      </c>
      <c r="T35" s="52">
        <f t="shared" si="5"/>
        <v>0</v>
      </c>
      <c r="U35" s="52"/>
      <c r="V35" s="50">
        <f t="shared" si="6"/>
        <v>0</v>
      </c>
      <c r="W35" s="52">
        <f t="shared" si="7"/>
        <v>-6</v>
      </c>
      <c r="X35" s="32">
        <f t="shared" si="11"/>
        <v>31</v>
      </c>
      <c r="Z35" s="16" t="str">
        <f t="shared" si="8"/>
        <v/>
      </c>
    </row>
    <row r="36">
      <c r="A36" s="32">
        <f t="shared" si="9"/>
        <v>32</v>
      </c>
      <c r="B36" s="33" t="s">
        <v>106</v>
      </c>
      <c r="C36" s="34">
        <v>96.0</v>
      </c>
      <c r="D36" s="34">
        <v>8.0</v>
      </c>
      <c r="E36" s="35">
        <f t="shared" si="2"/>
        <v>10.83333333</v>
      </c>
      <c r="F36" s="95">
        <v>1.0</v>
      </c>
      <c r="G36" s="96">
        <v>6.0</v>
      </c>
      <c r="H36" s="97">
        <v>0.0</v>
      </c>
      <c r="I36" s="96">
        <v>6.0</v>
      </c>
      <c r="J36" s="96">
        <v>7.0</v>
      </c>
      <c r="K36" s="96">
        <v>6.0</v>
      </c>
      <c r="L36" s="98">
        <v>19.0</v>
      </c>
      <c r="M36" s="96">
        <v>3.0</v>
      </c>
      <c r="N36" s="34">
        <f t="shared" ref="N36:O36" si="40">C36+L36</f>
        <v>115</v>
      </c>
      <c r="O36" s="34">
        <f t="shared" si="40"/>
        <v>11</v>
      </c>
      <c r="P36" s="49" t="s">
        <v>58</v>
      </c>
      <c r="Q36" s="49" t="s">
        <v>58</v>
      </c>
      <c r="R36" s="49"/>
      <c r="S36" s="50">
        <f t="shared" si="4"/>
        <v>6</v>
      </c>
      <c r="T36" s="52">
        <f t="shared" si="5"/>
        <v>1</v>
      </c>
      <c r="U36" s="52"/>
      <c r="V36" s="50">
        <f t="shared" si="6"/>
        <v>2</v>
      </c>
      <c r="W36" s="52">
        <f t="shared" si="7"/>
        <v>-1</v>
      </c>
      <c r="X36" s="32">
        <f t="shared" si="11"/>
        <v>32</v>
      </c>
      <c r="Z36" s="16" t="str">
        <f t="shared" si="8"/>
        <v/>
      </c>
    </row>
    <row r="37">
      <c r="A37" s="32">
        <f t="shared" si="9"/>
        <v>33</v>
      </c>
      <c r="B37" s="33" t="s">
        <v>108</v>
      </c>
      <c r="C37" s="34">
        <v>96.0</v>
      </c>
      <c r="D37" s="34">
        <v>6.0</v>
      </c>
      <c r="E37" s="35">
        <f t="shared" si="2"/>
        <v>10.875</v>
      </c>
      <c r="F37" s="95">
        <v>1.0</v>
      </c>
      <c r="G37" s="96">
        <v>5.0</v>
      </c>
      <c r="H37" s="97">
        <v>0.0</v>
      </c>
      <c r="I37" s="96">
        <v>2.0</v>
      </c>
      <c r="J37" s="96">
        <v>6.0</v>
      </c>
      <c r="K37" s="96">
        <v>4.0</v>
      </c>
      <c r="L37" s="98">
        <v>12.0</v>
      </c>
      <c r="M37" s="96">
        <v>1.0</v>
      </c>
      <c r="N37" s="34">
        <f t="shared" ref="N37:O37" si="41">C37+L37</f>
        <v>108</v>
      </c>
      <c r="O37" s="34">
        <f t="shared" si="41"/>
        <v>7</v>
      </c>
      <c r="P37" s="49" t="s">
        <v>58</v>
      </c>
      <c r="Q37" s="49" t="s">
        <v>58</v>
      </c>
      <c r="R37" s="49"/>
      <c r="S37" s="50">
        <f t="shared" si="4"/>
        <v>8</v>
      </c>
      <c r="T37" s="52">
        <f t="shared" si="5"/>
        <v>0</v>
      </c>
      <c r="U37" s="52"/>
      <c r="V37" s="50">
        <f t="shared" si="6"/>
        <v>1</v>
      </c>
      <c r="W37" s="52">
        <f t="shared" si="7"/>
        <v>-9</v>
      </c>
      <c r="X37" s="32">
        <f t="shared" si="11"/>
        <v>33</v>
      </c>
      <c r="Z37" s="16" t="str">
        <f t="shared" si="8"/>
        <v/>
      </c>
    </row>
    <row r="38">
      <c r="A38" s="32">
        <f t="shared" si="9"/>
        <v>34</v>
      </c>
      <c r="B38" s="33" t="s">
        <v>49</v>
      </c>
      <c r="C38" s="34">
        <v>95.0</v>
      </c>
      <c r="D38" s="34">
        <v>11.0</v>
      </c>
      <c r="E38" s="35">
        <f t="shared" si="2"/>
        <v>10.75</v>
      </c>
      <c r="F38" s="95">
        <v>1.0</v>
      </c>
      <c r="G38" s="96">
        <v>6.0</v>
      </c>
      <c r="H38" s="97">
        <v>0.0</v>
      </c>
      <c r="I38" s="96">
        <v>4.0</v>
      </c>
      <c r="J38" s="96">
        <v>5.0</v>
      </c>
      <c r="K38" s="96">
        <v>6.0</v>
      </c>
      <c r="L38" s="98">
        <v>15.0</v>
      </c>
      <c r="M38" s="96">
        <v>1.0</v>
      </c>
      <c r="N38" s="34">
        <f t="shared" ref="N38:O38" si="42">C38+L38</f>
        <v>110</v>
      </c>
      <c r="O38" s="34">
        <f t="shared" si="42"/>
        <v>12</v>
      </c>
      <c r="P38" s="49" t="s">
        <v>58</v>
      </c>
      <c r="Q38" s="49" t="s">
        <v>58</v>
      </c>
      <c r="R38" s="49"/>
      <c r="S38" s="50">
        <f t="shared" si="4"/>
        <v>8</v>
      </c>
      <c r="T38" s="52">
        <f t="shared" si="5"/>
        <v>0</v>
      </c>
      <c r="U38" s="52"/>
      <c r="V38" s="50">
        <f t="shared" si="6"/>
        <v>1</v>
      </c>
      <c r="W38" s="52">
        <f t="shared" si="7"/>
        <v>-1</v>
      </c>
      <c r="X38" s="32">
        <f t="shared" si="11"/>
        <v>34</v>
      </c>
      <c r="Z38" s="16" t="str">
        <f t="shared" si="8"/>
        <v/>
      </c>
    </row>
    <row r="39">
      <c r="A39" s="32">
        <f t="shared" si="9"/>
        <v>35</v>
      </c>
      <c r="B39" s="33" t="s">
        <v>113</v>
      </c>
      <c r="C39" s="34">
        <v>94.0</v>
      </c>
      <c r="D39" s="34">
        <v>6.0</v>
      </c>
      <c r="E39" s="35">
        <f t="shared" si="2"/>
        <v>11.6</v>
      </c>
      <c r="F39" s="95">
        <v>1.0</v>
      </c>
      <c r="G39" s="96">
        <v>5.0</v>
      </c>
      <c r="H39" s="97">
        <v>0.0</v>
      </c>
      <c r="I39" s="96">
        <v>6.0</v>
      </c>
      <c r="J39" s="96">
        <v>6.0</v>
      </c>
      <c r="K39" s="96">
        <v>6.0</v>
      </c>
      <c r="L39" s="98">
        <v>18.0</v>
      </c>
      <c r="M39" s="96">
        <v>3.0</v>
      </c>
      <c r="N39" s="34">
        <f t="shared" ref="N39:O39" si="43">C39+L39</f>
        <v>112</v>
      </c>
      <c r="O39" s="34">
        <f t="shared" si="43"/>
        <v>9</v>
      </c>
      <c r="P39" s="49" t="s">
        <v>58</v>
      </c>
      <c r="Q39" s="49" t="s">
        <v>58</v>
      </c>
      <c r="R39" s="49"/>
      <c r="S39" s="50">
        <f t="shared" si="4"/>
        <v>5</v>
      </c>
      <c r="T39" s="52">
        <f t="shared" si="5"/>
        <v>0</v>
      </c>
      <c r="U39" s="52"/>
      <c r="V39" s="50">
        <f t="shared" si="6"/>
        <v>4</v>
      </c>
      <c r="W39" s="52">
        <f t="shared" si="7"/>
        <v>2</v>
      </c>
      <c r="X39" s="32">
        <f t="shared" si="11"/>
        <v>35</v>
      </c>
      <c r="Z39" s="16" t="str">
        <f t="shared" si="8"/>
        <v/>
      </c>
    </row>
    <row r="40">
      <c r="A40" s="32">
        <f t="shared" si="9"/>
        <v>36</v>
      </c>
      <c r="B40" s="33" t="s">
        <v>137</v>
      </c>
      <c r="C40" s="34">
        <v>93.0</v>
      </c>
      <c r="D40" s="34">
        <v>7.0</v>
      </c>
      <c r="E40" s="35">
        <f t="shared" si="2"/>
        <v>10.71428571</v>
      </c>
      <c r="F40" s="95">
        <v>1.0</v>
      </c>
      <c r="G40" s="96">
        <v>6.0</v>
      </c>
      <c r="H40" s="97">
        <v>0.0</v>
      </c>
      <c r="I40" s="96">
        <v>6.0</v>
      </c>
      <c r="J40" s="96">
        <v>5.0</v>
      </c>
      <c r="K40" s="96">
        <v>4.0</v>
      </c>
      <c r="L40" s="98">
        <v>15.0</v>
      </c>
      <c r="M40" s="96">
        <v>1.0</v>
      </c>
      <c r="N40" s="34">
        <f t="shared" ref="N40:O40" si="44">C40+L40</f>
        <v>108</v>
      </c>
      <c r="O40" s="34">
        <f t="shared" si="44"/>
        <v>8</v>
      </c>
      <c r="P40" s="49" t="s">
        <v>58</v>
      </c>
      <c r="Q40" s="49" t="s">
        <v>58</v>
      </c>
      <c r="R40" s="49"/>
      <c r="S40" s="50">
        <f t="shared" si="4"/>
        <v>7</v>
      </c>
      <c r="T40" s="52">
        <f t="shared" si="5"/>
        <v>0</v>
      </c>
      <c r="U40" s="52"/>
      <c r="V40" s="50">
        <f t="shared" si="6"/>
        <v>2</v>
      </c>
      <c r="W40" s="52">
        <f t="shared" si="7"/>
        <v>-2</v>
      </c>
      <c r="X40" s="32">
        <f t="shared" si="11"/>
        <v>36</v>
      </c>
      <c r="Z40" s="16" t="str">
        <f t="shared" si="8"/>
        <v/>
      </c>
    </row>
    <row r="41">
      <c r="A41" s="32">
        <f t="shared" si="9"/>
        <v>37</v>
      </c>
      <c r="B41" s="33" t="s">
        <v>96</v>
      </c>
      <c r="C41" s="34">
        <v>93.0</v>
      </c>
      <c r="D41" s="34">
        <v>7.0</v>
      </c>
      <c r="E41" s="35">
        <f t="shared" si="2"/>
        <v>10.71428571</v>
      </c>
      <c r="F41" s="95">
        <v>1.0</v>
      </c>
      <c r="G41" s="96">
        <v>6.0</v>
      </c>
      <c r="H41" s="97">
        <v>0.0</v>
      </c>
      <c r="I41" s="96">
        <v>4.0</v>
      </c>
      <c r="J41" s="96">
        <v>7.0</v>
      </c>
      <c r="K41" s="96">
        <v>4.0</v>
      </c>
      <c r="L41" s="98">
        <v>15.0</v>
      </c>
      <c r="M41" s="96">
        <v>1.0</v>
      </c>
      <c r="N41" s="34">
        <f t="shared" ref="N41:O41" si="45">C41+L41</f>
        <v>108</v>
      </c>
      <c r="O41" s="34">
        <f t="shared" si="45"/>
        <v>8</v>
      </c>
      <c r="P41" s="49" t="s">
        <v>58</v>
      </c>
      <c r="Q41" s="49" t="s">
        <v>58</v>
      </c>
      <c r="R41" s="49"/>
      <c r="S41" s="50">
        <f t="shared" si="4"/>
        <v>7</v>
      </c>
      <c r="T41" s="52">
        <f t="shared" si="5"/>
        <v>0</v>
      </c>
      <c r="U41" s="52"/>
      <c r="V41" s="50">
        <f t="shared" si="6"/>
        <v>2</v>
      </c>
      <c r="W41" s="52">
        <f t="shared" si="7"/>
        <v>-1</v>
      </c>
      <c r="X41" s="32">
        <f t="shared" si="11"/>
        <v>37</v>
      </c>
      <c r="Z41" s="16" t="str">
        <f t="shared" si="8"/>
        <v/>
      </c>
    </row>
    <row r="42">
      <c r="A42" s="32">
        <f t="shared" si="9"/>
        <v>38</v>
      </c>
      <c r="B42" s="33" t="s">
        <v>72</v>
      </c>
      <c r="C42" s="34">
        <v>92.0</v>
      </c>
      <c r="D42" s="34">
        <v>7.0</v>
      </c>
      <c r="E42" s="35">
        <f t="shared" si="2"/>
        <v>10.16666667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6">C42+L42</f>
        <v>101</v>
      </c>
      <c r="O42" s="34">
        <f t="shared" si="46"/>
        <v>7</v>
      </c>
      <c r="P42" s="49" t="s">
        <v>58</v>
      </c>
      <c r="Q42" s="49" t="s">
        <v>58</v>
      </c>
      <c r="R42" s="49"/>
      <c r="S42" s="50">
        <f t="shared" si="4"/>
        <v>6</v>
      </c>
      <c r="T42" s="52">
        <f t="shared" si="5"/>
        <v>1</v>
      </c>
      <c r="U42" s="52"/>
      <c r="V42" s="50">
        <f t="shared" si="6"/>
        <v>2</v>
      </c>
      <c r="W42" s="52">
        <f t="shared" si="7"/>
        <v>0</v>
      </c>
      <c r="X42" s="32">
        <f t="shared" si="11"/>
        <v>38</v>
      </c>
      <c r="Z42" s="16" t="str">
        <f t="shared" si="8"/>
        <v/>
      </c>
    </row>
    <row r="43">
      <c r="A43" s="32">
        <f t="shared" si="9"/>
        <v>39</v>
      </c>
      <c r="B43" s="33" t="s">
        <v>143</v>
      </c>
      <c r="C43" s="34">
        <v>90.0</v>
      </c>
      <c r="D43" s="34">
        <v>5.0</v>
      </c>
      <c r="E43" s="35">
        <f t="shared" si="2"/>
        <v>12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7">C43+L43</f>
        <v>99</v>
      </c>
      <c r="O43" s="34">
        <f t="shared" si="47"/>
        <v>5</v>
      </c>
      <c r="P43" s="49" t="s">
        <v>58</v>
      </c>
      <c r="Q43" s="49" t="s">
        <v>58</v>
      </c>
      <c r="R43" s="49"/>
      <c r="S43" s="50">
        <f t="shared" si="4"/>
        <v>3</v>
      </c>
      <c r="T43" s="52">
        <f t="shared" si="5"/>
        <v>0</v>
      </c>
      <c r="U43" s="52"/>
      <c r="V43" s="50">
        <f t="shared" si="6"/>
        <v>6</v>
      </c>
      <c r="W43" s="52">
        <f t="shared" si="7"/>
        <v>-4</v>
      </c>
      <c r="X43" s="32">
        <f t="shared" si="11"/>
        <v>39</v>
      </c>
      <c r="Z43" s="16" t="str">
        <f t="shared" si="8"/>
        <v/>
      </c>
    </row>
    <row r="44">
      <c r="A44" s="32">
        <f t="shared" si="9"/>
        <v>40</v>
      </c>
      <c r="B44" s="33" t="s">
        <v>133</v>
      </c>
      <c r="C44" s="34">
        <v>89.0</v>
      </c>
      <c r="D44" s="34">
        <v>6.0</v>
      </c>
      <c r="E44" s="35">
        <f t="shared" si="2"/>
        <v>10.6</v>
      </c>
      <c r="F44" s="95">
        <v>1.0</v>
      </c>
      <c r="G44" s="96">
        <v>7.0</v>
      </c>
      <c r="H44" s="97">
        <v>0.0</v>
      </c>
      <c r="I44" s="96">
        <v>6.0</v>
      </c>
      <c r="J44" s="96">
        <v>6.0</v>
      </c>
      <c r="K44" s="96">
        <v>6.0</v>
      </c>
      <c r="L44" s="98">
        <v>18.0</v>
      </c>
      <c r="M44" s="96">
        <v>3.0</v>
      </c>
      <c r="N44" s="34">
        <f t="shared" ref="N44:O44" si="48">C44+L44</f>
        <v>107</v>
      </c>
      <c r="O44" s="34">
        <f t="shared" si="48"/>
        <v>9</v>
      </c>
      <c r="P44" s="49" t="s">
        <v>58</v>
      </c>
      <c r="Q44" s="49" t="s">
        <v>58</v>
      </c>
      <c r="R44" s="49"/>
      <c r="S44" s="50">
        <f t="shared" si="4"/>
        <v>5</v>
      </c>
      <c r="T44" s="52">
        <f t="shared" si="5"/>
        <v>0</v>
      </c>
      <c r="U44" s="52"/>
      <c r="V44" s="50">
        <f t="shared" si="6"/>
        <v>4</v>
      </c>
      <c r="W44" s="52">
        <f t="shared" si="7"/>
        <v>3</v>
      </c>
      <c r="X44" s="32">
        <f t="shared" si="11"/>
        <v>40</v>
      </c>
      <c r="Z44" s="16" t="str">
        <f t="shared" si="8"/>
        <v/>
      </c>
    </row>
    <row r="45">
      <c r="A45" s="32">
        <f t="shared" si="9"/>
        <v>41</v>
      </c>
      <c r="B45" s="33" t="s">
        <v>129</v>
      </c>
      <c r="C45" s="34">
        <v>88.0</v>
      </c>
      <c r="D45" s="34">
        <v>7.0</v>
      </c>
      <c r="E45" s="35">
        <f t="shared" si="2"/>
        <v>10</v>
      </c>
      <c r="F45" s="95">
        <v>1.0</v>
      </c>
      <c r="G45" s="96">
        <v>7.0</v>
      </c>
      <c r="H45" s="97">
        <v>0.0</v>
      </c>
      <c r="I45" s="96">
        <v>1.0</v>
      </c>
      <c r="J45" s="96">
        <v>6.0</v>
      </c>
      <c r="K45" s="96">
        <v>4.0</v>
      </c>
      <c r="L45" s="98">
        <v>11.0</v>
      </c>
      <c r="M45" s="96">
        <v>1.0</v>
      </c>
      <c r="N45" s="34">
        <f t="shared" ref="N45:O45" si="49">C45+L45</f>
        <v>99</v>
      </c>
      <c r="O45" s="34">
        <f t="shared" si="49"/>
        <v>8</v>
      </c>
      <c r="P45" s="49" t="s">
        <v>58</v>
      </c>
      <c r="Q45" s="49" t="s">
        <v>58</v>
      </c>
      <c r="R45" s="49"/>
      <c r="S45" s="50">
        <f t="shared" si="4"/>
        <v>7</v>
      </c>
      <c r="T45" s="52">
        <f t="shared" si="5"/>
        <v>0</v>
      </c>
      <c r="U45" s="52"/>
      <c r="V45" s="50">
        <f t="shared" si="6"/>
        <v>2</v>
      </c>
      <c r="W45" s="52">
        <f t="shared" si="7"/>
        <v>-2</v>
      </c>
      <c r="X45" s="32">
        <f t="shared" si="11"/>
        <v>41</v>
      </c>
      <c r="Z45" s="16" t="str">
        <f t="shared" si="8"/>
        <v/>
      </c>
    </row>
    <row r="46">
      <c r="A46" s="32">
        <f t="shared" si="9"/>
        <v>42</v>
      </c>
      <c r="B46" s="33" t="s">
        <v>105</v>
      </c>
      <c r="C46" s="34">
        <v>88.0</v>
      </c>
      <c r="D46" s="34">
        <v>6.0</v>
      </c>
      <c r="E46" s="35">
        <f t="shared" si="2"/>
        <v>11.33333333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0">C46+L46</f>
        <v>97</v>
      </c>
      <c r="O46" s="34">
        <f t="shared" si="50"/>
        <v>6</v>
      </c>
      <c r="P46" s="49" t="s">
        <v>58</v>
      </c>
      <c r="Q46" s="49" t="s">
        <v>58</v>
      </c>
      <c r="R46" s="49"/>
      <c r="S46" s="50">
        <f t="shared" si="4"/>
        <v>3</v>
      </c>
      <c r="T46" s="52">
        <f t="shared" si="5"/>
        <v>0</v>
      </c>
      <c r="U46" s="52"/>
      <c r="V46" s="50">
        <f t="shared" si="6"/>
        <v>6</v>
      </c>
      <c r="W46" s="52">
        <f t="shared" si="7"/>
        <v>-2</v>
      </c>
      <c r="X46" s="32">
        <f t="shared" si="11"/>
        <v>42</v>
      </c>
      <c r="Z46" s="16" t="str">
        <f t="shared" si="8"/>
        <v/>
      </c>
    </row>
    <row r="47">
      <c r="A47" s="32">
        <f t="shared" si="9"/>
        <v>43</v>
      </c>
      <c r="B47" s="33" t="s">
        <v>54</v>
      </c>
      <c r="C47" s="34">
        <v>87.0</v>
      </c>
      <c r="D47" s="34">
        <v>11.0</v>
      </c>
      <c r="E47" s="35">
        <f t="shared" si="2"/>
        <v>9.666666667</v>
      </c>
      <c r="F47" s="95">
        <v>1.0</v>
      </c>
      <c r="G47" s="96">
        <v>7.0</v>
      </c>
      <c r="H47" s="97">
        <v>0.0</v>
      </c>
      <c r="I47" s="96">
        <v>6.0</v>
      </c>
      <c r="J47" s="96">
        <v>2.0</v>
      </c>
      <c r="K47" s="96">
        <v>4.0</v>
      </c>
      <c r="L47" s="98">
        <v>12.0</v>
      </c>
      <c r="M47" s="96">
        <v>1.0</v>
      </c>
      <c r="N47" s="34">
        <f t="shared" ref="N47:O47" si="51">C47+L47</f>
        <v>99</v>
      </c>
      <c r="O47" s="34">
        <f t="shared" si="51"/>
        <v>12</v>
      </c>
      <c r="P47" s="49" t="s">
        <v>58</v>
      </c>
      <c r="Q47" s="49" t="s">
        <v>58</v>
      </c>
      <c r="R47" s="49"/>
      <c r="S47" s="50">
        <f t="shared" si="4"/>
        <v>9</v>
      </c>
      <c r="T47" s="52">
        <f t="shared" si="5"/>
        <v>0</v>
      </c>
      <c r="U47" s="52"/>
      <c r="V47" s="50">
        <f t="shared" si="6"/>
        <v>0</v>
      </c>
      <c r="W47" s="52">
        <f t="shared" si="7"/>
        <v>3</v>
      </c>
      <c r="X47" s="32">
        <f t="shared" si="11"/>
        <v>43</v>
      </c>
      <c r="Z47" s="16" t="str">
        <f t="shared" si="8"/>
        <v/>
      </c>
    </row>
    <row r="48">
      <c r="A48" s="32">
        <f t="shared" si="9"/>
        <v>44</v>
      </c>
      <c r="B48" s="33" t="s">
        <v>135</v>
      </c>
      <c r="C48" s="34">
        <v>87.0</v>
      </c>
      <c r="D48" s="34">
        <v>7.0</v>
      </c>
      <c r="E48" s="35">
        <f t="shared" si="2"/>
        <v>10.5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2">C48+L48</f>
        <v>96</v>
      </c>
      <c r="O48" s="34">
        <f t="shared" si="52"/>
        <v>7</v>
      </c>
      <c r="P48" s="49" t="s">
        <v>58</v>
      </c>
      <c r="Q48" s="49" t="s">
        <v>58</v>
      </c>
      <c r="R48" s="49"/>
      <c r="S48" s="50">
        <f t="shared" si="4"/>
        <v>4</v>
      </c>
      <c r="T48" s="52">
        <f t="shared" si="5"/>
        <v>0</v>
      </c>
      <c r="U48" s="52"/>
      <c r="V48" s="50">
        <f t="shared" si="6"/>
        <v>5</v>
      </c>
      <c r="W48" s="52">
        <f t="shared" si="7"/>
        <v>3</v>
      </c>
      <c r="X48" s="32">
        <f t="shared" si="11"/>
        <v>44</v>
      </c>
      <c r="Z48" s="16" t="str">
        <f t="shared" si="8"/>
        <v/>
      </c>
    </row>
    <row r="49">
      <c r="A49" s="32">
        <f t="shared" si="9"/>
        <v>45</v>
      </c>
      <c r="B49" s="33" t="s">
        <v>139</v>
      </c>
      <c r="C49" s="34">
        <v>86.0</v>
      </c>
      <c r="D49" s="34">
        <v>5.0</v>
      </c>
      <c r="E49" s="35">
        <f t="shared" si="2"/>
        <v>10</v>
      </c>
      <c r="F49" s="95">
        <v>1.0</v>
      </c>
      <c r="G49" s="96">
        <v>7.0</v>
      </c>
      <c r="H49" s="97">
        <v>0.0</v>
      </c>
      <c r="I49" s="96">
        <v>1.0</v>
      </c>
      <c r="J49" s="96">
        <v>2.0</v>
      </c>
      <c r="K49" s="96">
        <v>6.0</v>
      </c>
      <c r="L49" s="98">
        <v>9.0</v>
      </c>
      <c r="M49" s="96">
        <v>1.0</v>
      </c>
      <c r="N49" s="34">
        <f t="shared" ref="N49:O49" si="53">C49+L49</f>
        <v>95</v>
      </c>
      <c r="O49" s="34">
        <f t="shared" si="53"/>
        <v>6</v>
      </c>
      <c r="P49" s="49" t="s">
        <v>58</v>
      </c>
      <c r="Q49" s="49" t="s">
        <v>58</v>
      </c>
      <c r="R49" s="49"/>
      <c r="S49" s="50">
        <f t="shared" si="4"/>
        <v>5</v>
      </c>
      <c r="T49" s="52">
        <f t="shared" si="5"/>
        <v>0</v>
      </c>
      <c r="U49" s="52"/>
      <c r="V49" s="50">
        <f t="shared" si="6"/>
        <v>4</v>
      </c>
      <c r="W49" s="52">
        <f t="shared" si="7"/>
        <v>-3</v>
      </c>
      <c r="X49" s="32">
        <f t="shared" si="11"/>
        <v>45</v>
      </c>
      <c r="Z49" s="16" t="str">
        <f t="shared" si="8"/>
        <v/>
      </c>
    </row>
    <row r="50">
      <c r="A50" s="32">
        <f t="shared" si="9"/>
        <v>46</v>
      </c>
      <c r="B50" s="33" t="s">
        <v>144</v>
      </c>
      <c r="C50" s="34">
        <v>85.0</v>
      </c>
      <c r="D50" s="34">
        <v>5.0</v>
      </c>
      <c r="E50" s="35">
        <f t="shared" si="2"/>
        <v>9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4">C50+L50</f>
        <v>94</v>
      </c>
      <c r="O50" s="34">
        <f t="shared" si="54"/>
        <v>5</v>
      </c>
      <c r="P50" s="49" t="s">
        <v>58</v>
      </c>
      <c r="Q50" s="49" t="s">
        <v>58</v>
      </c>
      <c r="R50" s="49"/>
      <c r="S50" s="50">
        <f t="shared" si="4"/>
        <v>4</v>
      </c>
      <c r="T50" s="52">
        <f t="shared" si="5"/>
        <v>1</v>
      </c>
      <c r="U50" s="52"/>
      <c r="V50" s="50">
        <f t="shared" si="6"/>
        <v>4</v>
      </c>
      <c r="W50" s="52">
        <f t="shared" si="7"/>
        <v>-2</v>
      </c>
      <c r="X50" s="32">
        <f t="shared" si="11"/>
        <v>46</v>
      </c>
      <c r="Z50" s="16" t="str">
        <f t="shared" si="8"/>
        <v/>
      </c>
    </row>
    <row r="51">
      <c r="A51" s="32">
        <f t="shared" si="9"/>
        <v>47</v>
      </c>
      <c r="B51" s="33" t="s">
        <v>122</v>
      </c>
      <c r="C51" s="34">
        <v>85.0</v>
      </c>
      <c r="D51" s="34">
        <v>4.0</v>
      </c>
      <c r="E51" s="35">
        <f t="shared" si="2"/>
        <v>10</v>
      </c>
      <c r="F51" s="95">
        <v>1.0</v>
      </c>
      <c r="G51" s="96">
        <v>8.0</v>
      </c>
      <c r="H51" s="97">
        <v>0.0</v>
      </c>
      <c r="I51" s="96">
        <v>7.0</v>
      </c>
      <c r="J51" s="96">
        <v>3.0</v>
      </c>
      <c r="K51" s="96">
        <v>6.0</v>
      </c>
      <c r="L51" s="98">
        <v>16.0</v>
      </c>
      <c r="M51" s="96">
        <v>2.0</v>
      </c>
      <c r="N51" s="34">
        <f t="shared" ref="N51:O51" si="55">C51+L51</f>
        <v>101</v>
      </c>
      <c r="O51" s="34">
        <f t="shared" si="55"/>
        <v>6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5</v>
      </c>
      <c r="W51" s="52">
        <f t="shared" si="7"/>
        <v>-2</v>
      </c>
      <c r="X51" s="32">
        <f t="shared" si="11"/>
        <v>47</v>
      </c>
      <c r="Z51" s="16" t="str">
        <f t="shared" si="8"/>
        <v/>
      </c>
    </row>
    <row r="52">
      <c r="A52" s="32">
        <f t="shared" si="9"/>
        <v>48</v>
      </c>
      <c r="B52" s="33" t="s">
        <v>121</v>
      </c>
      <c r="C52" s="34">
        <v>81.0</v>
      </c>
      <c r="D52" s="34">
        <v>3.0</v>
      </c>
      <c r="E52" s="35">
        <f t="shared" si="2"/>
        <v>9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6">C52+L52</f>
        <v>90</v>
      </c>
      <c r="O52" s="34">
        <f t="shared" si="56"/>
        <v>3</v>
      </c>
      <c r="P52" s="49" t="s">
        <v>58</v>
      </c>
      <c r="Q52" s="49" t="s">
        <v>58</v>
      </c>
      <c r="R52" s="49"/>
      <c r="S52" s="50">
        <f t="shared" si="4"/>
        <v>1</v>
      </c>
      <c r="T52" s="52">
        <f t="shared" si="5"/>
        <v>0</v>
      </c>
      <c r="U52" s="52"/>
      <c r="V52" s="50">
        <f t="shared" si="6"/>
        <v>8</v>
      </c>
      <c r="W52" s="52">
        <f t="shared" si="7"/>
        <v>10</v>
      </c>
      <c r="X52" s="32">
        <f t="shared" si="11"/>
        <v>48</v>
      </c>
      <c r="Z52" s="16" t="str">
        <f t="shared" si="8"/>
        <v/>
      </c>
    </row>
    <row r="53">
      <c r="A53" s="32">
        <f t="shared" si="9"/>
        <v>49</v>
      </c>
      <c r="B53" s="33" t="s">
        <v>145</v>
      </c>
      <c r="C53" s="34">
        <v>79.0</v>
      </c>
      <c r="D53" s="34">
        <v>7.0</v>
      </c>
      <c r="E53" s="35">
        <f t="shared" si="2"/>
        <v>8.75</v>
      </c>
      <c r="F53" s="95">
        <v>1.0</v>
      </c>
      <c r="G53" s="96">
        <v>8.0</v>
      </c>
      <c r="H53" s="97">
        <v>0.0</v>
      </c>
      <c r="I53" s="96">
        <v>7.0</v>
      </c>
      <c r="J53" s="96">
        <v>6.0</v>
      </c>
      <c r="K53" s="96">
        <v>4.0</v>
      </c>
      <c r="L53" s="98">
        <v>17.0</v>
      </c>
      <c r="M53" s="96">
        <v>2.0</v>
      </c>
      <c r="N53" s="34">
        <f t="shared" ref="N53:O53" si="57">C53+L53</f>
        <v>96</v>
      </c>
      <c r="O53" s="34">
        <f t="shared" si="57"/>
        <v>9</v>
      </c>
      <c r="P53" s="49" t="s">
        <v>58</v>
      </c>
      <c r="Q53" s="49" t="s">
        <v>58</v>
      </c>
      <c r="R53" s="49"/>
      <c r="S53" s="50">
        <f t="shared" si="4"/>
        <v>8</v>
      </c>
      <c r="T53" s="52">
        <f t="shared" si="5"/>
        <v>0</v>
      </c>
      <c r="U53" s="52"/>
      <c r="V53" s="50">
        <f t="shared" si="6"/>
        <v>1</v>
      </c>
      <c r="W53" s="52">
        <f t="shared" si="7"/>
        <v>0</v>
      </c>
      <c r="X53" s="32">
        <f t="shared" si="11"/>
        <v>49</v>
      </c>
      <c r="Z53" s="16" t="str">
        <f t="shared" si="8"/>
        <v/>
      </c>
    </row>
    <row r="54">
      <c r="A54" s="32">
        <f t="shared" si="9"/>
        <v>50</v>
      </c>
      <c r="B54" s="33" t="s">
        <v>142</v>
      </c>
      <c r="C54" s="34">
        <v>78.0</v>
      </c>
      <c r="D54" s="34">
        <v>7.0</v>
      </c>
      <c r="E54" s="35">
        <f t="shared" si="2"/>
        <v>8.571428571</v>
      </c>
      <c r="F54" s="95">
        <v>2.0</v>
      </c>
      <c r="G54" s="96">
        <v>8.0</v>
      </c>
      <c r="H54" s="97">
        <v>0.0</v>
      </c>
      <c r="I54" s="96">
        <v>6.0</v>
      </c>
      <c r="J54" s="96">
        <v>3.0</v>
      </c>
      <c r="K54" s="96">
        <v>4.0</v>
      </c>
      <c r="L54" s="98">
        <v>13.0</v>
      </c>
      <c r="M54" s="96">
        <v>0.0</v>
      </c>
      <c r="N54" s="34">
        <f t="shared" ref="N54:O54" si="58">C54+L54</f>
        <v>91</v>
      </c>
      <c r="O54" s="34">
        <f t="shared" si="58"/>
        <v>7</v>
      </c>
      <c r="P54" s="49" t="s">
        <v>58</v>
      </c>
      <c r="Q54" s="49" t="s">
        <v>58</v>
      </c>
      <c r="R54" s="49"/>
      <c r="S54" s="50">
        <f t="shared" si="4"/>
        <v>7</v>
      </c>
      <c r="T54" s="52">
        <f t="shared" si="5"/>
        <v>0</v>
      </c>
      <c r="U54" s="52"/>
      <c r="V54" s="50">
        <f t="shared" si="6"/>
        <v>2</v>
      </c>
      <c r="W54" s="52">
        <f t="shared" si="7"/>
        <v>2</v>
      </c>
      <c r="X54" s="32">
        <f t="shared" si="11"/>
        <v>50</v>
      </c>
      <c r="Z54" s="16" t="str">
        <f t="shared" si="8"/>
        <v/>
      </c>
    </row>
    <row r="55">
      <c r="A55" s="32">
        <f t="shared" si="9"/>
        <v>51</v>
      </c>
      <c r="B55" s="33" t="s">
        <v>93</v>
      </c>
      <c r="C55" s="34">
        <v>78.0</v>
      </c>
      <c r="D55" s="34">
        <v>2.0</v>
      </c>
      <c r="E55" s="35">
        <f t="shared" si="2"/>
        <v>7.5</v>
      </c>
      <c r="F55" s="95">
        <v>1.0</v>
      </c>
      <c r="G55" s="96">
        <v>8.0</v>
      </c>
      <c r="H55" s="97">
        <v>0.0</v>
      </c>
      <c r="I55" s="96">
        <v>6.0</v>
      </c>
      <c r="J55" s="96">
        <v>6.0</v>
      </c>
      <c r="K55" s="96">
        <v>6.0</v>
      </c>
      <c r="L55" s="98">
        <v>18.0</v>
      </c>
      <c r="M55" s="96">
        <v>2.0</v>
      </c>
      <c r="N55" s="34">
        <f t="shared" ref="N55:O55" si="59">C55+L55</f>
        <v>96</v>
      </c>
      <c r="O55" s="34">
        <f t="shared" si="59"/>
        <v>4</v>
      </c>
      <c r="P55" s="49" t="s">
        <v>58</v>
      </c>
      <c r="Q55" s="49" t="s">
        <v>58</v>
      </c>
      <c r="R55" s="49"/>
      <c r="S55" s="50">
        <f t="shared" si="4"/>
        <v>2</v>
      </c>
      <c r="T55" s="52">
        <f t="shared" si="5"/>
        <v>0</v>
      </c>
      <c r="U55" s="52"/>
      <c r="V55" s="50">
        <f t="shared" si="6"/>
        <v>7</v>
      </c>
      <c r="W55" s="52">
        <f t="shared" si="7"/>
        <v>-3</v>
      </c>
      <c r="X55" s="32">
        <f t="shared" si="11"/>
        <v>51</v>
      </c>
      <c r="Z55" s="16" t="str">
        <f t="shared" si="8"/>
        <v/>
      </c>
    </row>
    <row r="56">
      <c r="A56" s="32">
        <f t="shared" si="9"/>
        <v>52</v>
      </c>
      <c r="B56" s="33" t="s">
        <v>148</v>
      </c>
      <c r="C56" s="34">
        <v>76.0</v>
      </c>
      <c r="D56" s="34">
        <v>1.0</v>
      </c>
      <c r="E56" s="35">
        <f t="shared" si="2"/>
        <v>7.75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0">C56+L56</f>
        <v>85</v>
      </c>
      <c r="O56" s="34">
        <f t="shared" si="60"/>
        <v>1</v>
      </c>
      <c r="P56" s="49" t="s">
        <v>58</v>
      </c>
      <c r="Q56" s="49" t="s">
        <v>58</v>
      </c>
      <c r="R56" s="49"/>
      <c r="S56" s="50">
        <f t="shared" si="4"/>
        <v>4</v>
      </c>
      <c r="T56" s="52">
        <f t="shared" si="5"/>
        <v>0</v>
      </c>
      <c r="U56" s="52"/>
      <c r="V56" s="50">
        <f t="shared" si="6"/>
        <v>5</v>
      </c>
      <c r="W56" s="52">
        <f t="shared" si="7"/>
        <v>-2</v>
      </c>
      <c r="X56" s="32">
        <f t="shared" si="11"/>
        <v>52</v>
      </c>
      <c r="Z56" s="16" t="str">
        <f t="shared" si="8"/>
        <v/>
      </c>
    </row>
    <row r="57">
      <c r="A57" s="32">
        <f t="shared" si="9"/>
        <v>53</v>
      </c>
      <c r="B57" s="33" t="s">
        <v>95</v>
      </c>
      <c r="C57" s="34">
        <v>76.0</v>
      </c>
      <c r="D57" s="34">
        <v>1.0</v>
      </c>
      <c r="E57" s="35">
        <f t="shared" si="2"/>
        <v>0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1">C57+L57</f>
        <v>85</v>
      </c>
      <c r="O57" s="34">
        <f t="shared" si="61"/>
        <v>1</v>
      </c>
      <c r="P57" s="49" t="s">
        <v>58</v>
      </c>
      <c r="Q57" s="49" t="s">
        <v>58</v>
      </c>
      <c r="R57" s="49"/>
      <c r="S57" s="50">
        <f t="shared" si="4"/>
        <v>1</v>
      </c>
      <c r="T57" s="52">
        <f t="shared" si="5"/>
        <v>1</v>
      </c>
      <c r="U57" s="52"/>
      <c r="V57" s="50">
        <f t="shared" si="6"/>
        <v>7</v>
      </c>
      <c r="W57" s="52">
        <f t="shared" si="7"/>
        <v>-2</v>
      </c>
      <c r="X57" s="32">
        <f t="shared" si="11"/>
        <v>53</v>
      </c>
      <c r="Z57" s="16" t="str">
        <f t="shared" si="8"/>
        <v/>
      </c>
    </row>
    <row r="58">
      <c r="A58" s="32">
        <f t="shared" si="9"/>
        <v>54</v>
      </c>
      <c r="B58" s="33" t="s">
        <v>147</v>
      </c>
      <c r="C58" s="34">
        <v>74.0</v>
      </c>
      <c r="D58" s="34">
        <v>2.0</v>
      </c>
      <c r="E58" s="35">
        <f t="shared" si="2"/>
        <v>5.5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2">C58+L58</f>
        <v>83</v>
      </c>
      <c r="O58" s="34">
        <f t="shared" si="62"/>
        <v>2</v>
      </c>
      <c r="P58" s="49" t="s">
        <v>58</v>
      </c>
      <c r="Q58" s="49" t="s">
        <v>58</v>
      </c>
      <c r="R58" s="49"/>
      <c r="S58" s="50">
        <f t="shared" si="4"/>
        <v>2</v>
      </c>
      <c r="T58" s="52">
        <f t="shared" si="5"/>
        <v>0</v>
      </c>
      <c r="U58" s="52"/>
      <c r="V58" s="50">
        <f t="shared" si="6"/>
        <v>7</v>
      </c>
      <c r="W58" s="52">
        <f t="shared" si="7"/>
        <v>-1</v>
      </c>
      <c r="X58" s="32">
        <f t="shared" si="11"/>
        <v>54</v>
      </c>
      <c r="Z58" s="16" t="str">
        <f t="shared" si="8"/>
        <v/>
      </c>
    </row>
    <row r="59">
      <c r="A59" s="32">
        <f t="shared" si="9"/>
        <v>55</v>
      </c>
      <c r="B59" s="33" t="s">
        <v>101</v>
      </c>
      <c r="C59" s="34">
        <v>72.0</v>
      </c>
      <c r="D59" s="34">
        <v>2.0</v>
      </c>
      <c r="E59" s="35">
        <f t="shared" si="2"/>
        <v>6.75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3">C59+L59</f>
        <v>81</v>
      </c>
      <c r="O59" s="34">
        <f t="shared" si="63"/>
        <v>2</v>
      </c>
      <c r="P59" s="49" t="s">
        <v>58</v>
      </c>
      <c r="Q59" s="49" t="s">
        <v>58</v>
      </c>
      <c r="R59" s="49"/>
      <c r="S59" s="50">
        <f t="shared" si="4"/>
        <v>4</v>
      </c>
      <c r="T59" s="52">
        <f t="shared" si="5"/>
        <v>0</v>
      </c>
      <c r="U59" s="52"/>
      <c r="V59" s="50">
        <f t="shared" si="6"/>
        <v>5</v>
      </c>
      <c r="W59" s="52">
        <f t="shared" si="7"/>
        <v>-1</v>
      </c>
      <c r="X59" s="32">
        <f t="shared" si="11"/>
        <v>55</v>
      </c>
      <c r="Z59" s="16" t="str">
        <f t="shared" si="8"/>
        <v/>
      </c>
    </row>
    <row r="60">
      <c r="A60" s="32">
        <f t="shared" si="9"/>
        <v>56</v>
      </c>
      <c r="B60" s="33" t="s">
        <v>130</v>
      </c>
      <c r="C60" s="34">
        <v>72.0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4">C60+L60</f>
        <v>81</v>
      </c>
      <c r="O60" s="34">
        <f t="shared" si="64"/>
        <v>0</v>
      </c>
      <c r="P60" s="49" t="s">
        <v>58</v>
      </c>
      <c r="Q60" s="49" t="s">
        <v>58</v>
      </c>
      <c r="R60" s="49"/>
      <c r="S60" s="50">
        <f t="shared" si="4"/>
        <v>0</v>
      </c>
      <c r="T60" s="52">
        <f t="shared" si="5"/>
        <v>0</v>
      </c>
      <c r="U60" s="52"/>
      <c r="V60" s="50">
        <f t="shared" si="6"/>
        <v>9</v>
      </c>
      <c r="W60" s="52">
        <f t="shared" si="7"/>
        <v>-1</v>
      </c>
      <c r="X60" s="32">
        <f t="shared" si="11"/>
        <v>56</v>
      </c>
      <c r="Z60" s="16" t="str">
        <f t="shared" si="8"/>
        <v/>
      </c>
    </row>
    <row r="61">
      <c r="A61" s="32">
        <f t="shared" si="9"/>
        <v>57</v>
      </c>
      <c r="B61" s="33" t="s">
        <v>140</v>
      </c>
      <c r="C61" s="34">
        <v>72.0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5">C61+L61</f>
        <v>81</v>
      </c>
      <c r="O61" s="34">
        <f t="shared" si="65"/>
        <v>0</v>
      </c>
      <c r="P61" s="49" t="s">
        <v>58</v>
      </c>
      <c r="Q61" s="49" t="s">
        <v>58</v>
      </c>
      <c r="R61" s="49"/>
      <c r="S61" s="50">
        <f t="shared" si="4"/>
        <v>0</v>
      </c>
      <c r="T61" s="52">
        <f t="shared" si="5"/>
        <v>0</v>
      </c>
      <c r="U61" s="52"/>
      <c r="V61" s="50">
        <f t="shared" si="6"/>
        <v>9</v>
      </c>
      <c r="W61" s="52">
        <f t="shared" si="7"/>
        <v>-1</v>
      </c>
      <c r="X61" s="32">
        <f t="shared" si="11"/>
        <v>57</v>
      </c>
      <c r="Z61" s="16" t="str">
        <f t="shared" si="8"/>
        <v/>
      </c>
    </row>
    <row r="62">
      <c r="A62" s="32">
        <f t="shared" si="9"/>
        <v>58</v>
      </c>
      <c r="B62" s="33" t="s">
        <v>75</v>
      </c>
      <c r="C62" s="34">
        <v>72.0</v>
      </c>
      <c r="D62" s="34">
        <v>0.0</v>
      </c>
      <c r="E62" s="35">
        <f t="shared" si="2"/>
        <v>0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6">C62+L62</f>
        <v>81</v>
      </c>
      <c r="O62" s="34">
        <f t="shared" si="66"/>
        <v>0</v>
      </c>
      <c r="P62" s="49" t="s">
        <v>58</v>
      </c>
      <c r="Q62" s="49" t="s">
        <v>58</v>
      </c>
      <c r="R62" s="49"/>
      <c r="S62" s="50">
        <f t="shared" si="4"/>
        <v>0</v>
      </c>
      <c r="T62" s="52">
        <f t="shared" si="5"/>
        <v>0</v>
      </c>
      <c r="U62" s="52"/>
      <c r="V62" s="50">
        <f t="shared" si="6"/>
        <v>9</v>
      </c>
      <c r="W62" s="52">
        <f t="shared" si="7"/>
        <v>-1</v>
      </c>
      <c r="X62" s="32">
        <f t="shared" si="11"/>
        <v>58</v>
      </c>
      <c r="Z62" s="16" t="str">
        <f t="shared" si="8"/>
        <v/>
      </c>
    </row>
    <row r="63">
      <c r="A63" s="32">
        <f t="shared" si="9"/>
        <v>59</v>
      </c>
      <c r="B63" s="33" t="s">
        <v>69</v>
      </c>
      <c r="C63" s="34">
        <v>72.0</v>
      </c>
      <c r="D63" s="34">
        <v>0.0</v>
      </c>
      <c r="E63" s="35">
        <f t="shared" si="2"/>
        <v>0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7">C63+L63</f>
        <v>81</v>
      </c>
      <c r="O63" s="34">
        <f t="shared" si="67"/>
        <v>0</v>
      </c>
      <c r="P63" s="49" t="s">
        <v>58</v>
      </c>
      <c r="Q63" s="49" t="s">
        <v>58</v>
      </c>
      <c r="R63" s="49"/>
      <c r="S63" s="50">
        <f t="shared" si="4"/>
        <v>0</v>
      </c>
      <c r="T63" s="52">
        <f t="shared" si="5"/>
        <v>0</v>
      </c>
      <c r="U63" s="52"/>
      <c r="V63" s="50">
        <f t="shared" si="6"/>
        <v>9</v>
      </c>
      <c r="W63" s="52">
        <f t="shared" si="7"/>
        <v>1</v>
      </c>
      <c r="X63" s="32">
        <f t="shared" si="11"/>
        <v>59</v>
      </c>
      <c r="Z63" s="16" t="str">
        <f t="shared" si="8"/>
        <v/>
      </c>
    </row>
    <row r="64">
      <c r="A64" s="32">
        <f t="shared" si="9"/>
        <v>60</v>
      </c>
      <c r="B64" s="33" t="s">
        <v>104</v>
      </c>
      <c r="C64" s="34">
        <v>72.0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8">C64+L64</f>
        <v>81</v>
      </c>
      <c r="O64" s="34">
        <f t="shared" si="68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9</v>
      </c>
      <c r="W64" s="52">
        <f t="shared" si="7"/>
        <v>1</v>
      </c>
      <c r="X64" s="32">
        <f t="shared" si="11"/>
        <v>60</v>
      </c>
      <c r="Z64" s="16" t="str">
        <f t="shared" si="8"/>
        <v/>
      </c>
    </row>
    <row r="65">
      <c r="A65" s="32">
        <f t="shared" si="9"/>
        <v>61</v>
      </c>
      <c r="B65" s="33" t="s">
        <v>131</v>
      </c>
      <c r="C65" s="34">
        <v>72.0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9">C65+L65</f>
        <v>81</v>
      </c>
      <c r="O65" s="34">
        <f t="shared" si="69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9</v>
      </c>
      <c r="W65" s="52">
        <f t="shared" si="7"/>
        <v>1</v>
      </c>
      <c r="X65" s="32">
        <f t="shared" si="11"/>
        <v>61</v>
      </c>
      <c r="Z65" s="16" t="str">
        <f t="shared" si="8"/>
        <v/>
      </c>
    </row>
    <row r="66">
      <c r="A66" s="32">
        <f t="shared" si="9"/>
        <v>62</v>
      </c>
      <c r="B66" s="33" t="s">
        <v>141</v>
      </c>
      <c r="C66" s="34">
        <v>70.0</v>
      </c>
      <c r="D66" s="34">
        <v>1.0</v>
      </c>
      <c r="E66" s="35">
        <f t="shared" si="2"/>
        <v>-2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0">C66+L66</f>
        <v>79</v>
      </c>
      <c r="O66" s="34">
        <f t="shared" si="70"/>
        <v>1</v>
      </c>
      <c r="P66" s="49" t="s">
        <v>58</v>
      </c>
      <c r="Q66" s="49" t="s">
        <v>58</v>
      </c>
      <c r="R66" s="49"/>
      <c r="S66" s="50">
        <f t="shared" si="4"/>
        <v>1</v>
      </c>
      <c r="T66" s="52">
        <f t="shared" si="5"/>
        <v>0</v>
      </c>
      <c r="U66" s="52"/>
      <c r="V66" s="50">
        <f t="shared" si="6"/>
        <v>8</v>
      </c>
      <c r="W66" s="52">
        <f t="shared" si="7"/>
        <v>-3</v>
      </c>
      <c r="X66" s="32">
        <f t="shared" si="11"/>
        <v>62</v>
      </c>
      <c r="Z66" s="16" t="str">
        <f t="shared" si="8"/>
        <v/>
      </c>
    </row>
    <row r="67">
      <c r="A67" s="32">
        <f t="shared" si="9"/>
        <v>63</v>
      </c>
      <c r="B67" s="33" t="s">
        <v>118</v>
      </c>
      <c r="C67" s="34">
        <v>70.0</v>
      </c>
      <c r="D67" s="34">
        <v>1.0</v>
      </c>
      <c r="E67" s="35">
        <f t="shared" si="2"/>
        <v>-2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1">C67+L67</f>
        <v>79</v>
      </c>
      <c r="O67" s="34">
        <f t="shared" si="71"/>
        <v>1</v>
      </c>
      <c r="P67" s="49" t="s">
        <v>58</v>
      </c>
      <c r="Q67" s="49" t="s">
        <v>58</v>
      </c>
      <c r="R67" s="49"/>
      <c r="S67" s="50">
        <f t="shared" si="4"/>
        <v>1</v>
      </c>
      <c r="T67" s="52">
        <f t="shared" si="5"/>
        <v>0</v>
      </c>
      <c r="U67" s="52"/>
      <c r="V67" s="50">
        <f t="shared" si="6"/>
        <v>8</v>
      </c>
      <c r="W67" s="52">
        <f t="shared" si="7"/>
        <v>1</v>
      </c>
      <c r="X67" s="32">
        <f t="shared" si="11"/>
        <v>63</v>
      </c>
      <c r="Z67" s="16" t="str">
        <f t="shared" si="8"/>
        <v/>
      </c>
    </row>
    <row r="68">
      <c r="A68" s="32">
        <f t="shared" si="9"/>
        <v>64</v>
      </c>
      <c r="B68" s="33" t="s">
        <v>146</v>
      </c>
      <c r="C68" s="34">
        <v>69.0</v>
      </c>
      <c r="D68" s="34">
        <v>2.0</v>
      </c>
      <c r="E68" s="35">
        <f t="shared" si="2"/>
        <v>3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2">C68+L68</f>
        <v>78</v>
      </c>
      <c r="O68" s="34">
        <f t="shared" si="72"/>
        <v>2</v>
      </c>
      <c r="P68" s="49" t="s">
        <v>58</v>
      </c>
      <c r="Q68" s="49" t="s">
        <v>58</v>
      </c>
      <c r="R68" s="49"/>
      <c r="S68" s="50">
        <f t="shared" si="4"/>
        <v>2</v>
      </c>
      <c r="T68" s="52">
        <f t="shared" si="5"/>
        <v>0</v>
      </c>
      <c r="U68" s="52"/>
      <c r="V68" s="50">
        <f t="shared" si="6"/>
        <v>7</v>
      </c>
      <c r="W68" s="52">
        <f t="shared" si="7"/>
        <v>-1</v>
      </c>
      <c r="X68" s="32">
        <f t="shared" si="11"/>
        <v>64</v>
      </c>
      <c r="Z68" s="16" t="str">
        <f t="shared" si="8"/>
        <v/>
      </c>
    </row>
    <row r="69">
      <c r="A69" s="32">
        <f t="shared" si="9"/>
        <v>65</v>
      </c>
      <c r="B69" s="33" t="s">
        <v>86</v>
      </c>
      <c r="C69" s="34">
        <v>64.0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3">C69+L69</f>
        <v>73</v>
      </c>
      <c r="O69" s="34">
        <f t="shared" si="73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6</v>
      </c>
      <c r="W69" s="52">
        <f t="shared" si="7"/>
        <v>0</v>
      </c>
      <c r="X69" s="32">
        <f t="shared" si="11"/>
        <v>65</v>
      </c>
      <c r="Z69" s="16" t="str">
        <f t="shared" si="8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08/23/25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desc"",0)"),"Basudev Thoppai Vidyasankar")</f>
        <v>Basudev Thoppai Vidyasankar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IFERROR(__xludf.DUMMYFUNCTION("""COMPUTED_VALUE"""),10.0)</f>
        <v>10</v>
      </c>
      <c r="F81" s="1"/>
    </row>
    <row r="82">
      <c r="A82" s="1"/>
      <c r="B82" s="33" t="str">
        <f>IFERROR(__xludf.DUMMYFUNCTION("""COMPUTED_VALUE"""),"Matthew Huang")</f>
        <v>Matthew Huang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IFERROR(__xludf.DUMMYFUNCTION("""COMPUTED_VALUE"""),5.0)</f>
        <v>5</v>
      </c>
      <c r="F82" s="1"/>
    </row>
    <row r="83">
      <c r="A83" s="1"/>
      <c r="B83" s="33" t="str">
        <f>IFERROR(__xludf.DUMMYFUNCTION("""COMPUTED_VALUE"""),"Frank Moon")</f>
        <v>Frank Moon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IFERROR(__xludf.DUMMYFUNCTION("""COMPUTED_VALUE"""),9.0)</f>
        <v>9</v>
      </c>
      <c r="F83" s="1"/>
    </row>
    <row r="84">
      <c r="A84" s="1"/>
      <c r="B84" s="33" t="str">
        <f>IFERROR(__xludf.DUMMYFUNCTION("""COMPUTED_VALUE"""),"Alejandro Mejia")</f>
        <v>Alejandro Mejia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IFERROR(__xludf.DUMMYFUNCTION("""COMPUTED_VALUE"""),6.0)</f>
        <v>6</v>
      </c>
      <c r="F84" s="1"/>
    </row>
    <row r="85">
      <c r="A85" s="1"/>
      <c r="B85" s="33" t="str">
        <f>IFERROR(__xludf.DUMMYFUNCTION("""COMPUTED_VALUE"""),"Naveen Raj")</f>
        <v>Naveen Raj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IFERROR(__xludf.DUMMYFUNCTION("""COMPUTED_VALUE"""),7.0)</f>
        <v>7</v>
      </c>
      <c r="F85" s="1"/>
    </row>
    <row r="86">
      <c r="A86" s="1"/>
      <c r="B86" s="33" t="str">
        <f>IFERROR(__xludf.DUMMYFUNCTION("""COMPUTED_VALUE"""),"James Phan")</f>
        <v>James Phan</v>
      </c>
      <c r="C86" s="117">
        <f>IFERROR(__xludf.DUMMYFUNCTION("""COMPUTED_VALUE"""),18.0)</f>
        <v>18</v>
      </c>
      <c r="D86" s="117">
        <f>IFERROR(__xludf.DUMMYFUNCTION("""COMPUTED_VALUE"""),3.0)</f>
        <v>3</v>
      </c>
      <c r="E86" s="117">
        <f>IFERROR(__xludf.DUMMYFUNCTION("""COMPUTED_VALUE"""),8.0)</f>
        <v>8</v>
      </c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10"")"),"Matthew Huang")</f>
        <v>Matthew Huang</v>
      </c>
      <c r="C100" s="117">
        <f>IFERROR(__xludf.DUMMYFUNCTION("""COMPUTED_VALUE"""),14.0)</f>
        <v>14</v>
      </c>
      <c r="D100" s="117">
        <f t="shared" ref="D100:D109" si="74">VLOOKUP(B100,indirect($AC$2&amp;"!B$5:X$69"),23, false)</f>
        <v>30</v>
      </c>
      <c r="E100" s="117">
        <f t="shared" ref="E100:E109" si="75">VLOOKUP(B100,B$5:X$69,23, false)</f>
        <v>16</v>
      </c>
      <c r="F100" s="117">
        <f t="shared" ref="F100:F109" si="76">VLOOKUP(B100,indirect($AC$2&amp;"!B$5:U$70"),11, false)</f>
        <v>19</v>
      </c>
      <c r="G100" s="117">
        <f t="shared" ref="G100:G109" si="77">VLOOKUP(B100,indirect($AC$2&amp;"!B$5:U$70"),6, false)</f>
        <v>5</v>
      </c>
      <c r="L100" s="117" t="str">
        <f t="shared" ref="L100:L109" si="78">if(D100-E100=C100,"ok","Error")</f>
        <v>ok</v>
      </c>
    </row>
    <row r="101">
      <c r="A101" s="1"/>
      <c r="B101" s="33" t="str">
        <f>IFERROR(__xludf.DUMMYFUNCTION("""COMPUTED_VALUE"""),"Basudev Thoppai Vidyasankar")</f>
        <v>Basudev Thoppai Vidyasankar</v>
      </c>
      <c r="C101" s="117">
        <f>IFERROR(__xludf.DUMMYFUNCTION("""COMPUTED_VALUE"""),12.0)</f>
        <v>12</v>
      </c>
      <c r="D101" s="117">
        <f t="shared" si="74"/>
        <v>27</v>
      </c>
      <c r="E101" s="117">
        <f t="shared" si="75"/>
        <v>15</v>
      </c>
      <c r="F101" s="117">
        <f t="shared" si="76"/>
        <v>19</v>
      </c>
      <c r="G101" s="117">
        <f t="shared" si="77"/>
        <v>10</v>
      </c>
      <c r="L101" s="117" t="str">
        <f t="shared" si="78"/>
        <v>ok</v>
      </c>
    </row>
    <row r="102">
      <c r="A102" s="1"/>
      <c r="B102" s="33" t="str">
        <f>IFERROR(__xludf.DUMMYFUNCTION("""COMPUTED_VALUE"""),"Alejandro Mejia")</f>
        <v>Alejandro Mejia</v>
      </c>
      <c r="C102" s="117">
        <f>IFERROR(__xludf.DUMMYFUNCTION("""COMPUTED_VALUE"""),11.0)</f>
        <v>11</v>
      </c>
      <c r="D102" s="117">
        <f t="shared" si="74"/>
        <v>41</v>
      </c>
      <c r="E102" s="117">
        <f t="shared" si="75"/>
        <v>30</v>
      </c>
      <c r="F102" s="117">
        <f t="shared" si="76"/>
        <v>18</v>
      </c>
      <c r="G102" s="117">
        <f t="shared" si="77"/>
        <v>6</v>
      </c>
      <c r="L102" s="117" t="str">
        <f t="shared" si="78"/>
        <v>ok</v>
      </c>
    </row>
    <row r="103">
      <c r="A103" s="1"/>
      <c r="B103" s="33" t="str">
        <f>IFERROR(__xludf.DUMMYFUNCTION("""COMPUTED_VALUE"""),"James Phan")</f>
        <v>James Phan</v>
      </c>
      <c r="C103" s="117">
        <f>IFERROR(__xludf.DUMMYFUNCTION("""COMPUTED_VALUE"""),10.0)</f>
        <v>10</v>
      </c>
      <c r="D103" s="117">
        <f t="shared" si="74"/>
        <v>58</v>
      </c>
      <c r="E103" s="117">
        <f t="shared" si="75"/>
        <v>48</v>
      </c>
      <c r="F103" s="117">
        <f t="shared" si="76"/>
        <v>18</v>
      </c>
      <c r="G103" s="117">
        <f t="shared" si="77"/>
        <v>8</v>
      </c>
      <c r="L103" s="117" t="str">
        <f t="shared" si="78"/>
        <v>ok</v>
      </c>
    </row>
    <row r="104">
      <c r="A104" s="1"/>
      <c r="B104" s="33" t="str">
        <f>IFERROR(__xludf.DUMMYFUNCTION("""COMPUTED_VALUE"""),"Frank Moon")</f>
        <v>Frank Moon</v>
      </c>
      <c r="C104" s="117">
        <f>IFERROR(__xludf.DUMMYFUNCTION("""COMPUTED_VALUE"""),9.0)</f>
        <v>9</v>
      </c>
      <c r="D104" s="117">
        <f t="shared" si="74"/>
        <v>17</v>
      </c>
      <c r="E104" s="117">
        <f t="shared" si="75"/>
        <v>8</v>
      </c>
      <c r="F104" s="117">
        <f t="shared" si="76"/>
        <v>18</v>
      </c>
      <c r="G104" s="117">
        <f t="shared" si="77"/>
        <v>9</v>
      </c>
      <c r="L104" s="117" t="str">
        <f t="shared" si="78"/>
        <v>ok</v>
      </c>
    </row>
    <row r="105">
      <c r="A105" s="1"/>
      <c r="B105" s="33" t="str">
        <f>IFERROR(__xludf.DUMMYFUNCTION("""COMPUTED_VALUE"""),"Erik Hoeckmann")</f>
        <v>Erik Hoeckmann</v>
      </c>
      <c r="C105" s="117">
        <f>IFERROR(__xludf.DUMMYFUNCTION("""COMPUTED_VALUE"""),6.0)</f>
        <v>6</v>
      </c>
      <c r="D105" s="117">
        <f t="shared" si="74"/>
        <v>20</v>
      </c>
      <c r="E105" s="117">
        <f t="shared" si="75"/>
        <v>14</v>
      </c>
      <c r="F105" s="117">
        <f t="shared" si="76"/>
        <v>17</v>
      </c>
      <c r="G105" s="117">
        <f t="shared" si="77"/>
        <v>4</v>
      </c>
      <c r="L105" s="117" t="str">
        <f t="shared" si="78"/>
        <v>ok</v>
      </c>
    </row>
    <row r="106">
      <c r="A106" s="1"/>
      <c r="B106" s="33" t="str">
        <f>IFERROR(__xludf.DUMMYFUNCTION("""COMPUTED_VALUE"""),"Scott Li")</f>
        <v>Scott Li</v>
      </c>
      <c r="C106" s="117">
        <f>IFERROR(__xludf.DUMMYFUNCTION("""COMPUTED_VALUE"""),5.0)</f>
        <v>5</v>
      </c>
      <c r="D106" s="117">
        <f t="shared" si="74"/>
        <v>15</v>
      </c>
      <c r="E106" s="117">
        <f t="shared" si="75"/>
        <v>10</v>
      </c>
      <c r="F106" s="117">
        <f t="shared" si="76"/>
        <v>17</v>
      </c>
      <c r="G106" s="117">
        <f t="shared" si="77"/>
        <v>3</v>
      </c>
      <c r="L106" s="117" t="str">
        <f t="shared" si="78"/>
        <v>ok</v>
      </c>
    </row>
    <row r="107">
      <c r="A107" s="1"/>
      <c r="B107" s="33" t="str">
        <f>IFERROR(__xludf.DUMMYFUNCTION("""COMPUTED_VALUE"""),"Elayaraja Thangaraj")</f>
        <v>Elayaraja Thangaraj</v>
      </c>
      <c r="C107" s="117">
        <f>IFERROR(__xludf.DUMMYFUNCTION("""COMPUTED_VALUE"""),5.0)</f>
        <v>5</v>
      </c>
      <c r="D107" s="117">
        <f t="shared" si="74"/>
        <v>29</v>
      </c>
      <c r="E107" s="117">
        <f t="shared" si="75"/>
        <v>24</v>
      </c>
      <c r="F107" s="117">
        <f t="shared" si="76"/>
        <v>15</v>
      </c>
      <c r="G107" s="117">
        <f t="shared" si="77"/>
        <v>5</v>
      </c>
      <c r="L107" s="117" t="str">
        <f t="shared" si="78"/>
        <v>ok</v>
      </c>
    </row>
    <row r="108">
      <c r="A108" s="1"/>
      <c r="B108" s="33" t="str">
        <f>IFERROR(__xludf.DUMMYFUNCTION("""COMPUTED_VALUE"""),"David Shin")</f>
        <v>David Shin</v>
      </c>
      <c r="C108" s="117">
        <f>IFERROR(__xludf.DUMMYFUNCTION("""COMPUTED_VALUE"""),4.0)</f>
        <v>4</v>
      </c>
      <c r="D108" s="117">
        <f t="shared" si="74"/>
        <v>11</v>
      </c>
      <c r="E108" s="117">
        <f t="shared" si="75"/>
        <v>7</v>
      </c>
      <c r="F108" s="117">
        <f t="shared" si="76"/>
        <v>15</v>
      </c>
      <c r="G108" s="117">
        <f t="shared" si="77"/>
        <v>3</v>
      </c>
      <c r="L108" s="117" t="str">
        <f t="shared" si="78"/>
        <v>ok</v>
      </c>
    </row>
    <row r="109">
      <c r="A109" s="1"/>
      <c r="B109" s="33" t="str">
        <f>IFERROR(__xludf.DUMMYFUNCTION("""COMPUTED_VALUE"""),"Joe Luzzi")</f>
        <v>Joe Luzzi</v>
      </c>
      <c r="C109" s="117">
        <f>IFERROR(__xludf.DUMMYFUNCTION("""COMPUTED_VALUE"""),4.0)</f>
        <v>4</v>
      </c>
      <c r="D109" s="117">
        <f t="shared" si="74"/>
        <v>32</v>
      </c>
      <c r="E109" s="117">
        <f t="shared" si="75"/>
        <v>28</v>
      </c>
      <c r="F109" s="117">
        <f t="shared" si="76"/>
        <v>13</v>
      </c>
      <c r="G109" s="117">
        <f t="shared" si="77"/>
        <v>0</v>
      </c>
      <c r="L109" s="117" t="str">
        <f t="shared" si="78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9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79">A5</f>
        <v>1</v>
      </c>
      <c r="B118" s="33" t="str">
        <f t="shared" si="79"/>
        <v>Darren Wong</v>
      </c>
      <c r="C118" s="117">
        <f t="shared" si="79"/>
        <v>117</v>
      </c>
      <c r="D118" s="117">
        <f t="shared" si="79"/>
        <v>15</v>
      </c>
      <c r="E118" s="117">
        <f t="shared" si="79"/>
        <v>15</v>
      </c>
      <c r="F118" s="1"/>
    </row>
    <row r="119">
      <c r="A119" s="117">
        <f t="shared" ref="A119:E119" si="80">A6</f>
        <v>2</v>
      </c>
      <c r="B119" s="33" t="str">
        <f t="shared" si="80"/>
        <v>Pulkit Mathur</v>
      </c>
      <c r="C119" s="117">
        <f t="shared" si="80"/>
        <v>113</v>
      </c>
      <c r="D119" s="117">
        <f t="shared" si="80"/>
        <v>13</v>
      </c>
      <c r="E119" s="117">
        <f t="shared" si="80"/>
        <v>13.57142857</v>
      </c>
      <c r="F119" s="1"/>
    </row>
    <row r="120">
      <c r="A120" s="117">
        <f t="shared" ref="A120:E120" si="81">A7</f>
        <v>3</v>
      </c>
      <c r="B120" s="33" t="str">
        <f t="shared" si="81"/>
        <v>Eric Pan</v>
      </c>
      <c r="C120" s="117">
        <f t="shared" si="81"/>
        <v>113</v>
      </c>
      <c r="D120" s="117">
        <f t="shared" si="81"/>
        <v>12</v>
      </c>
      <c r="E120" s="117">
        <f t="shared" si="81"/>
        <v>14.33333333</v>
      </c>
      <c r="F120" s="1"/>
    </row>
    <row r="121">
      <c r="A121" s="117">
        <f t="shared" ref="A121:E121" si="82">A8</f>
        <v>4</v>
      </c>
      <c r="B121" s="33" t="str">
        <f t="shared" si="82"/>
        <v>Lam Bui</v>
      </c>
      <c r="C121" s="117">
        <f t="shared" si="82"/>
        <v>113</v>
      </c>
      <c r="D121" s="117">
        <f t="shared" si="82"/>
        <v>12</v>
      </c>
      <c r="E121" s="117">
        <f t="shared" si="82"/>
        <v>13.57142857</v>
      </c>
      <c r="F121" s="1"/>
    </row>
    <row r="122">
      <c r="A122" s="117">
        <f t="shared" ref="A122:E122" si="83">A9</f>
        <v>5</v>
      </c>
      <c r="B122" s="33" t="str">
        <f t="shared" si="83"/>
        <v>Ethan Gu</v>
      </c>
      <c r="C122" s="117">
        <f t="shared" si="83"/>
        <v>111</v>
      </c>
      <c r="D122" s="117">
        <f t="shared" si="83"/>
        <v>15</v>
      </c>
      <c r="E122" s="117">
        <f t="shared" si="83"/>
        <v>12.75</v>
      </c>
      <c r="F122" s="1"/>
    </row>
    <row r="123">
      <c r="A123" s="117">
        <f t="shared" ref="A123:E123" si="84">A10</f>
        <v>6</v>
      </c>
      <c r="B123" s="33" t="str">
        <f t="shared" si="84"/>
        <v>Ted Shen</v>
      </c>
      <c r="C123" s="117">
        <f t="shared" si="84"/>
        <v>110</v>
      </c>
      <c r="D123" s="117">
        <f t="shared" si="84"/>
        <v>13</v>
      </c>
      <c r="E123" s="117">
        <f t="shared" si="84"/>
        <v>13.83333333</v>
      </c>
      <c r="F123" s="1"/>
    </row>
    <row r="124">
      <c r="A124" s="117">
        <f t="shared" ref="A124:E124" si="85">A11</f>
        <v>7</v>
      </c>
      <c r="B124" s="33" t="str">
        <f t="shared" si="85"/>
        <v>David Shin</v>
      </c>
      <c r="C124" s="117">
        <f t="shared" si="85"/>
        <v>110</v>
      </c>
      <c r="D124" s="117">
        <f t="shared" si="85"/>
        <v>10</v>
      </c>
      <c r="E124" s="117">
        <f t="shared" si="85"/>
        <v>12.22222222</v>
      </c>
      <c r="F124" s="1"/>
    </row>
    <row r="125">
      <c r="A125" s="117">
        <f t="shared" ref="A125:E125" si="86">A12</f>
        <v>8</v>
      </c>
      <c r="B125" s="33" t="str">
        <f t="shared" si="86"/>
        <v>Frank Moon</v>
      </c>
      <c r="C125" s="117">
        <f t="shared" si="86"/>
        <v>109</v>
      </c>
      <c r="D125" s="117">
        <f t="shared" si="86"/>
        <v>13</v>
      </c>
      <c r="E125" s="117">
        <f t="shared" si="86"/>
        <v>12.11111111</v>
      </c>
      <c r="F125" s="1"/>
    </row>
    <row r="126">
      <c r="A126" s="117">
        <f t="shared" ref="A126:E126" si="87">A13</f>
        <v>9</v>
      </c>
      <c r="B126" s="33" t="str">
        <f t="shared" si="87"/>
        <v>Suleman Alidina</v>
      </c>
      <c r="C126" s="117">
        <f t="shared" si="87"/>
        <v>108</v>
      </c>
      <c r="D126" s="117">
        <f t="shared" si="87"/>
        <v>13</v>
      </c>
      <c r="E126" s="117">
        <f t="shared" si="87"/>
        <v>14.4</v>
      </c>
      <c r="F126" s="1"/>
    </row>
    <row r="127">
      <c r="A127" s="117">
        <f t="shared" ref="A127:E127" si="88">A14</f>
        <v>10</v>
      </c>
      <c r="B127" s="33" t="str">
        <f t="shared" si="88"/>
        <v>Scott Li</v>
      </c>
      <c r="C127" s="117">
        <f t="shared" si="88"/>
        <v>108</v>
      </c>
      <c r="D127" s="117">
        <f t="shared" si="88"/>
        <v>13</v>
      </c>
      <c r="E127" s="117">
        <f t="shared" si="88"/>
        <v>12.375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Data!F91</f>
        <v>Adrian Tay</v>
      </c>
      <c r="C134" s="117">
        <f>Data!G91</f>
        <v>12</v>
      </c>
      <c r="D134" s="1"/>
      <c r="E134" s="1"/>
      <c r="F134" s="1"/>
    </row>
    <row r="135">
      <c r="A135" s="1"/>
      <c r="B135" s="33" t="str">
        <f>Data!F92</f>
        <v>Darren Wong</v>
      </c>
      <c r="C135" s="117">
        <f>Data!G92</f>
        <v>4</v>
      </c>
      <c r="D135" s="1"/>
      <c r="E135" s="1"/>
      <c r="F135" s="1"/>
    </row>
    <row r="136">
      <c r="A136" s="1"/>
      <c r="B136" s="33" t="str">
        <f>Data!F93</f>
        <v>Eric Pan</v>
      </c>
      <c r="C136" s="117">
        <f>Data!G93</f>
        <v>1</v>
      </c>
      <c r="D136" s="1"/>
      <c r="E136" s="1"/>
      <c r="F136" s="1"/>
    </row>
    <row r="137">
      <c r="A137" s="1"/>
      <c r="B137" s="33" t="str">
        <f>Data!F94</f>
        <v>Frank Moon</v>
      </c>
      <c r="C137" s="117">
        <f>Data!G94</f>
        <v>1</v>
      </c>
      <c r="D137" s="1"/>
      <c r="E137" s="1"/>
      <c r="F137" s="1"/>
    </row>
    <row r="138">
      <c r="A138" s="1"/>
      <c r="B138" s="33" t="str">
        <f>Data!F95</f>
        <v>Lam Bui</v>
      </c>
      <c r="C138" s="117">
        <f>Data!G95</f>
        <v>1</v>
      </c>
      <c r="D138" s="1"/>
      <c r="E138" s="1"/>
      <c r="F138" s="1"/>
    </row>
    <row r="139">
      <c r="A139" s="1"/>
      <c r="B139" s="33" t="str">
        <f>Data!F96</f>
        <v>Pulkit Mathur</v>
      </c>
      <c r="C139" s="117">
        <f>Data!G96</f>
        <v>4</v>
      </c>
      <c r="D139" s="1"/>
      <c r="E139" s="1"/>
      <c r="F139" s="1"/>
    </row>
    <row r="140">
      <c r="A140" s="1"/>
      <c r="B140" s="33" t="str">
        <f>Data!F97</f>
        <v>Robert Chang</v>
      </c>
      <c r="C140" s="117">
        <f>Data!G97</f>
        <v>1</v>
      </c>
      <c r="D140" s="1"/>
      <c r="E140" s="1"/>
      <c r="F140" s="1"/>
    </row>
    <row r="141">
      <c r="A141" s="1"/>
      <c r="B141" s="33" t="str">
        <f>Data!F98</f>
        <v/>
      </c>
      <c r="C141" s="117" t="str">
        <f>Data!G98</f>
        <v/>
      </c>
      <c r="D141" s="1"/>
      <c r="E141" s="1"/>
      <c r="F141" s="1"/>
    </row>
    <row r="142">
      <c r="A142" s="1"/>
      <c r="B142" s="33" t="str">
        <f>Data!F99</f>
        <v/>
      </c>
      <c r="C142" s="117" t="str">
        <f>Data!G99</f>
        <v/>
      </c>
      <c r="D142" s="1"/>
      <c r="E142" s="1"/>
      <c r="F142" s="1"/>
    </row>
    <row r="143">
      <c r="A143" s="1"/>
      <c r="B143" s="33" t="str">
        <f>Data!F100</f>
        <v/>
      </c>
      <c r="C143" s="117" t="str">
        <f>Data!G100</f>
        <v/>
      </c>
      <c r="D143" s="1"/>
      <c r="E143" s="1"/>
      <c r="F143" s="1"/>
    </row>
    <row r="144">
      <c r="A144" s="1"/>
      <c r="B144" s="33" t="str">
        <f>Data!F101</f>
        <v/>
      </c>
      <c r="C144" s="117" t="str">
        <f>Data!G101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IFERROR(__xludf.DUMMYFUNCTION("query(B5:V69,""select B where V = 0 order by B ASC"")"),"Alex Hou")</f>
        <v>Alex Hou</v>
      </c>
      <c r="C153" s="1"/>
      <c r="D153" s="1"/>
      <c r="E153" s="1"/>
      <c r="F153" s="1"/>
    </row>
    <row r="154">
      <c r="A154" s="117">
        <f t="shared" ref="A154:A168" si="89">if(B154&lt;&gt;"",A153+1,0)</f>
        <v>2</v>
      </c>
      <c r="B154" s="33" t="str">
        <f>IFERROR(__xludf.DUMMYFUNCTION("""COMPUTED_VALUE"""),"Allen Zhang")</f>
        <v>Allen Zhang</v>
      </c>
      <c r="C154" s="1"/>
      <c r="D154" s="1"/>
      <c r="E154" s="1"/>
      <c r="F154" s="1"/>
    </row>
    <row r="155">
      <c r="A155" s="117">
        <f t="shared" si="89"/>
        <v>3</v>
      </c>
      <c r="B155" s="33" t="str">
        <f>IFERROR(__xludf.DUMMYFUNCTION("""COMPUTED_VALUE"""),"Chinna Ponnaganti")</f>
        <v>Chinna Ponnaganti</v>
      </c>
      <c r="C155" s="1"/>
      <c r="D155" s="1"/>
      <c r="E155" s="1"/>
      <c r="F155" s="1"/>
    </row>
    <row r="156">
      <c r="A156" s="117">
        <f t="shared" si="89"/>
        <v>4</v>
      </c>
      <c r="B156" s="33" t="str">
        <f>IFERROR(__xludf.DUMMYFUNCTION("""COMPUTED_VALUE"""),"David Shin")</f>
        <v>David Shin</v>
      </c>
      <c r="C156" s="1"/>
      <c r="D156" s="1"/>
      <c r="E156" s="1"/>
      <c r="F156" s="1"/>
    </row>
    <row r="157">
      <c r="A157" s="117">
        <f t="shared" si="89"/>
        <v>5</v>
      </c>
      <c r="B157" s="33" t="str">
        <f>IFERROR(__xludf.DUMMYFUNCTION("""COMPUTED_VALUE"""),"Frank Moon")</f>
        <v>Frank Moon</v>
      </c>
      <c r="C157" s="1"/>
      <c r="D157" s="1"/>
      <c r="E157" s="1"/>
      <c r="F157" s="1"/>
    </row>
    <row r="158">
      <c r="A158" s="117">
        <f t="shared" si="89"/>
        <v>6</v>
      </c>
      <c r="B158" s="33" t="str">
        <f>IFERROR(__xludf.DUMMYFUNCTION("""COMPUTED_VALUE"""),"Nicole Ni")</f>
        <v>Nicole Ni</v>
      </c>
      <c r="C158" s="1"/>
      <c r="D158" s="1"/>
      <c r="E158" s="1"/>
      <c r="F158" s="1"/>
    </row>
    <row r="159">
      <c r="A159" s="117">
        <f t="shared" si="89"/>
        <v>7</v>
      </c>
      <c r="B159" s="33" t="str">
        <f>IFERROR(__xludf.DUMMYFUNCTION("""COMPUTED_VALUE"""),"Rajasekar Ramasamy")</f>
        <v>Rajasekar Ramasamy</v>
      </c>
      <c r="C159" s="1"/>
      <c r="D159" s="1"/>
      <c r="E159" s="1"/>
      <c r="F159" s="1"/>
    </row>
    <row r="160">
      <c r="A160" s="117">
        <f t="shared" si="89"/>
        <v>8</v>
      </c>
      <c r="B160" s="33" t="str">
        <f>IFERROR(__xludf.DUMMYFUNCTION("""COMPUTED_VALUE"""),"Sandeep Kamalon")</f>
        <v>Sandeep Kamalon</v>
      </c>
      <c r="C160" s="1"/>
      <c r="D160" s="1"/>
      <c r="E160" s="1"/>
      <c r="F160" s="1"/>
    </row>
    <row r="161">
      <c r="A161" s="117">
        <f t="shared" si="89"/>
        <v>9</v>
      </c>
      <c r="B161" s="33" t="str">
        <f>IFERROR(__xludf.DUMMYFUNCTION("""COMPUTED_VALUE"""),"Vinaya Kajla")</f>
        <v>Vinaya Kajla</v>
      </c>
      <c r="C161" s="1"/>
      <c r="D161" s="1"/>
      <c r="E161" s="1"/>
      <c r="F161" s="1"/>
    </row>
    <row r="162">
      <c r="A162" s="117">
        <f t="shared" si="89"/>
        <v>0</v>
      </c>
      <c r="B162" s="33"/>
      <c r="C162" s="1"/>
      <c r="D162" s="1"/>
      <c r="E162" s="1"/>
      <c r="F162" s="1"/>
    </row>
    <row r="163">
      <c r="A163" s="117">
        <f t="shared" si="89"/>
        <v>0</v>
      </c>
      <c r="B163" s="33"/>
      <c r="C163" s="1"/>
      <c r="D163" s="1"/>
      <c r="E163" s="1"/>
      <c r="F163" s="1"/>
    </row>
    <row r="164">
      <c r="A164" s="117">
        <f t="shared" si="89"/>
        <v>0</v>
      </c>
      <c r="B164" s="33"/>
      <c r="C164" s="1"/>
      <c r="D164" s="1"/>
      <c r="E164" s="1"/>
      <c r="F164" s="1"/>
    </row>
    <row r="165">
      <c r="A165" s="117">
        <f t="shared" si="89"/>
        <v>0</v>
      </c>
      <c r="B165" s="33"/>
      <c r="C165" s="1"/>
      <c r="D165" s="1"/>
      <c r="E165" s="1"/>
      <c r="F165" s="1"/>
    </row>
    <row r="166">
      <c r="A166" s="117">
        <f t="shared" si="89"/>
        <v>0</v>
      </c>
      <c r="B166" s="33"/>
      <c r="C166" s="1"/>
      <c r="D166" s="1"/>
      <c r="E166" s="1"/>
      <c r="F166" s="1"/>
    </row>
    <row r="167">
      <c r="A167" s="117">
        <f t="shared" si="89"/>
        <v>0</v>
      </c>
      <c r="B167" s="33"/>
      <c r="C167" s="1"/>
      <c r="D167" s="1"/>
      <c r="E167" s="1"/>
      <c r="F167" s="1"/>
    </row>
    <row r="168">
      <c r="A168" s="117">
        <f t="shared" si="89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08/23/25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IFERROR(__xludf.DUMMYFUNCTION("""COMPUTED_VALUE"""),"Darren Wong")</f>
        <v>Darren Wong</v>
      </c>
      <c r="C184" s="122">
        <f>IFERROR(__xludf.DUMMYFUNCTION("""COMPUTED_VALUE"""),6.0)</f>
        <v>6</v>
      </c>
      <c r="D184" s="122">
        <f>IFERROR(__xludf.DUMMYFUNCTION("""COMPUTED_VALUE"""),2.0)</f>
        <v>2</v>
      </c>
      <c r="E184" s="122">
        <f>IFERROR(__xludf.DUMMYFUNCTION("""COMPUTED_VALUE"""),6.0)</f>
        <v>6</v>
      </c>
      <c r="F184" s="122">
        <f>IFERROR(__xludf.DUMMYFUNCTION("""COMPUTED_VALUE"""),14.0)</f>
        <v>14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IFERROR(__xludf.DUMMYFUNCTION("""COMPUTED_VALUE"""),"Tom Le")</f>
        <v>Tom Le</v>
      </c>
      <c r="C185" s="122">
        <f>IFERROR(__xludf.DUMMYFUNCTION("""COMPUTED_VALUE"""),1.0)</f>
        <v>1</v>
      </c>
      <c r="D185" s="122">
        <f>IFERROR(__xludf.DUMMYFUNCTION("""COMPUTED_VALUE"""),2.0)</f>
        <v>2</v>
      </c>
      <c r="E185" s="122">
        <f>IFERROR(__xludf.DUMMYFUNCTION("""COMPUTED_VALUE"""),3.0)</f>
        <v>3</v>
      </c>
      <c r="F185" s="122">
        <f>IFERROR(__xludf.DUMMYFUNCTION("""COMPUTED_VALUE"""),6.0)</f>
        <v>6</v>
      </c>
      <c r="G185" s="122">
        <f>IFERROR(__xludf.DUMMYFUNCTION("""COMPUTED_VALUE"""),0.0)</f>
        <v>0</v>
      </c>
    </row>
    <row r="186">
      <c r="A186" s="117">
        <f>IFERROR(__xludf.DUMMYFUNCTION("""COMPUTED_VALUE"""),1.0)</f>
        <v>1</v>
      </c>
      <c r="B186" s="33" t="str">
        <f>IFERROR(__xludf.DUMMYFUNCTION("""COMPUTED_VALUE"""),"Ethan Gu")</f>
        <v>Ethan Gu</v>
      </c>
      <c r="C186" s="122">
        <f>IFERROR(__xludf.DUMMYFUNCTION("""COMPUTED_VALUE"""),1.0)</f>
        <v>1</v>
      </c>
      <c r="D186" s="122">
        <f>IFERROR(__xludf.DUMMYFUNCTION("""COMPUTED_VALUE"""),6.0)</f>
        <v>6</v>
      </c>
      <c r="E186" s="122">
        <f>IFERROR(__xludf.DUMMYFUNCTION("""COMPUTED_VALUE"""),6.0)</f>
        <v>6</v>
      </c>
      <c r="F186" s="122">
        <f>IFERROR(__xludf.DUMMYFUNCTION("""COMPUTED_VALUE"""),13.0)</f>
        <v>13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IFERROR(__xludf.DUMMYFUNCTION("""COMPUTED_VALUE"""),"Pulkit Mathur")</f>
        <v>Pulkit Mathur</v>
      </c>
      <c r="C187" s="122">
        <f>IFERROR(__xludf.DUMMYFUNCTION("""COMPUTED_VALUE"""),6.0)</f>
        <v>6</v>
      </c>
      <c r="D187" s="122">
        <f>IFERROR(__xludf.DUMMYFUNCTION("""COMPUTED_VALUE"""),6.0)</f>
        <v>6</v>
      </c>
      <c r="E187" s="122">
        <f>IFERROR(__xludf.DUMMYFUNCTION("""COMPUTED_VALUE"""),3.0)</f>
        <v>3</v>
      </c>
      <c r="F187" s="122">
        <f>IFERROR(__xludf.DUMMYFUNCTION("""COMPUTED_VALUE"""),15.0)</f>
        <v>15</v>
      </c>
      <c r="G187" s="122">
        <f>IFERROR(__xludf.DUMMYFUNCTION("""COMPUTED_VALUE"""),2.0)</f>
        <v>2</v>
      </c>
    </row>
    <row r="188">
      <c r="A188" s="123">
        <f>IFERROR(__xludf.DUMMYFUNCTION("""COMPUTED_VALUE"""),2.0)</f>
        <v>2</v>
      </c>
      <c r="B188" s="124" t="str">
        <f>IFERROR(__xludf.DUMMYFUNCTION("""COMPUTED_VALUE"""),"Ted Shen")</f>
        <v>Ted Shen</v>
      </c>
      <c r="C188" s="125">
        <f>IFERROR(__xludf.DUMMYFUNCTION("""COMPUTED_VALUE"""),6.0)</f>
        <v>6</v>
      </c>
      <c r="D188" s="125">
        <f>IFERROR(__xludf.DUMMYFUNCTION("""COMPUTED_VALUE"""),1.0)</f>
        <v>1</v>
      </c>
      <c r="E188" s="125">
        <f>IFERROR(__xludf.DUMMYFUNCTION("""COMPUTED_VALUE"""),6.0)</f>
        <v>6</v>
      </c>
      <c r="F188" s="125">
        <f>IFERROR(__xludf.DUMMYFUNCTION("""COMPUTED_VALUE"""),13.0)</f>
        <v>13</v>
      </c>
      <c r="G188" s="125">
        <f>IFERROR(__xludf.DUMMYFUNCTION("""COMPUTED_VALUE"""),2.0)</f>
        <v>2</v>
      </c>
    </row>
    <row r="189">
      <c r="A189" s="123">
        <f>IFERROR(__xludf.DUMMYFUNCTION("""COMPUTED_VALUE"""),2.0)</f>
        <v>2</v>
      </c>
      <c r="B189" s="124" t="str">
        <f>IFERROR(__xludf.DUMMYFUNCTION("""COMPUTED_VALUE"""),"Lam Bui")</f>
        <v>Lam Bui</v>
      </c>
      <c r="C189" s="125">
        <f>IFERROR(__xludf.DUMMYFUNCTION("""COMPUTED_VALUE"""),6.0)</f>
        <v>6</v>
      </c>
      <c r="D189" s="125">
        <f>IFERROR(__xludf.DUMMYFUNCTION("""COMPUTED_VALUE"""),6.0)</f>
        <v>6</v>
      </c>
      <c r="E189" s="125">
        <f>IFERROR(__xludf.DUMMYFUNCTION("""COMPUTED_VALUE"""),4.0)</f>
        <v>4</v>
      </c>
      <c r="F189" s="125">
        <f>IFERROR(__xludf.DUMMYFUNCTION("""COMPUTED_VALUE"""),16.0)</f>
        <v>16</v>
      </c>
      <c r="G189" s="125">
        <f>IFERROR(__xludf.DUMMYFUNCTION("""COMPUTED_VALUE"""),2.0)</f>
        <v>2</v>
      </c>
    </row>
    <row r="190">
      <c r="A190" s="123">
        <f>IFERROR(__xludf.DUMMYFUNCTION("""COMPUTED_VALUE"""),2.0)</f>
        <v>2</v>
      </c>
      <c r="B190" s="124" t="str">
        <f>IFERROR(__xludf.DUMMYFUNCTION("""COMPUTED_VALUE"""),"Herman Au")</f>
        <v>Herman Au</v>
      </c>
      <c r="C190" s="125">
        <f>IFERROR(__xludf.DUMMYFUNCTION("""COMPUTED_VALUE"""),1.0)</f>
        <v>1</v>
      </c>
      <c r="D190" s="125">
        <f>IFERROR(__xludf.DUMMYFUNCTION("""COMPUTED_VALUE"""),1.0)</f>
        <v>1</v>
      </c>
      <c r="E190" s="125">
        <f>IFERROR(__xludf.DUMMYFUNCTION("""COMPUTED_VALUE"""),4.0)</f>
        <v>4</v>
      </c>
      <c r="F190" s="125">
        <f>IFERROR(__xludf.DUMMYFUNCTION("""COMPUTED_VALUE"""),6.0)</f>
        <v>6</v>
      </c>
      <c r="G190" s="125">
        <f>IFERROR(__xludf.DUMMYFUNCTION("""COMPUTED_VALUE"""),0.0)</f>
        <v>0</v>
      </c>
    </row>
    <row r="191">
      <c r="A191" s="123">
        <f>IFERROR(__xludf.DUMMYFUNCTION("""COMPUTED_VALUE"""),2.0)</f>
        <v>2</v>
      </c>
      <c r="B191" s="124" t="str">
        <f>IFERROR(__xludf.DUMMYFUNCTION("""COMPUTED_VALUE"""),"Suleman Alidina")</f>
        <v>Suleman Alidina</v>
      </c>
      <c r="C191" s="125">
        <f>IFERROR(__xludf.DUMMYFUNCTION("""COMPUTED_VALUE"""),1.0)</f>
        <v>1</v>
      </c>
      <c r="D191" s="125">
        <f>IFERROR(__xludf.DUMMYFUNCTION("""COMPUTED_VALUE"""),6.0)</f>
        <v>6</v>
      </c>
      <c r="E191" s="125">
        <f>IFERROR(__xludf.DUMMYFUNCTION("""COMPUTED_VALUE"""),6.0)</f>
        <v>6</v>
      </c>
      <c r="F191" s="125">
        <f>IFERROR(__xludf.DUMMYFUNCTION("""COMPUTED_VALUE"""),13.0)</f>
        <v>13</v>
      </c>
      <c r="G191" s="125">
        <f>IFERROR(__xludf.DUMMYFUNCTION("""COMPUTED_VALUE"""),2.0)</f>
        <v>2</v>
      </c>
    </row>
    <row r="192">
      <c r="A192" s="117">
        <f>IFERROR(__xludf.DUMMYFUNCTION("""COMPUTED_VALUE"""),3.0)</f>
        <v>3</v>
      </c>
      <c r="B192" s="33" t="str">
        <f>IFERROR(__xludf.DUMMYFUNCTION("""COMPUTED_VALUE"""),"David Shin")</f>
        <v>David Shin</v>
      </c>
      <c r="C192" s="122">
        <f>IFERROR(__xludf.DUMMYFUNCTION("""COMPUTED_VALUE"""),2.0)</f>
        <v>2</v>
      </c>
      <c r="D192" s="122">
        <f>IFERROR(__xludf.DUMMYFUNCTION("""COMPUTED_VALUE"""),6.0)</f>
        <v>6</v>
      </c>
      <c r="E192" s="122">
        <f>IFERROR(__xludf.DUMMYFUNCTION("""COMPUTED_VALUE"""),7.0)</f>
        <v>7</v>
      </c>
      <c r="F192" s="122">
        <f>IFERROR(__xludf.DUMMYFUNCTION("""COMPUTED_VALUE"""),15.0)</f>
        <v>15</v>
      </c>
      <c r="G192" s="122">
        <f>IFERROR(__xludf.DUMMYFUNCTION("""COMPUTED_VALUE"""),2.0)</f>
        <v>2</v>
      </c>
    </row>
    <row r="193">
      <c r="A193" s="117">
        <f>IFERROR(__xludf.DUMMYFUNCTION("""COMPUTED_VALUE"""),3.0)</f>
        <v>3</v>
      </c>
      <c r="B193" s="33" t="str">
        <f>IFERROR(__xludf.DUMMYFUNCTION("""COMPUTED_VALUE"""),"Jonathan Phan")</f>
        <v>Jonathan Phan</v>
      </c>
      <c r="C193" s="122">
        <f>IFERROR(__xludf.DUMMYFUNCTION("""COMPUTED_VALUE"""),6.0)</f>
        <v>6</v>
      </c>
      <c r="D193" s="122">
        <f>IFERROR(__xludf.DUMMYFUNCTION("""COMPUTED_VALUE"""),1.0)</f>
        <v>1</v>
      </c>
      <c r="E193" s="122">
        <f>IFERROR(__xludf.DUMMYFUNCTION("""COMPUTED_VALUE"""),7.0)</f>
        <v>7</v>
      </c>
      <c r="F193" s="122">
        <f>IFERROR(__xludf.DUMMYFUNCTION("""COMPUTED_VALUE"""),14.0)</f>
        <v>14</v>
      </c>
      <c r="G193" s="122">
        <f>IFERROR(__xludf.DUMMYFUNCTION("""COMPUTED_VALUE"""),2.0)</f>
        <v>2</v>
      </c>
    </row>
    <row r="194">
      <c r="A194" s="117">
        <f>IFERROR(__xludf.DUMMYFUNCTION("""COMPUTED_VALUE"""),3.0)</f>
        <v>3</v>
      </c>
      <c r="B194" s="33" t="str">
        <f>IFERROR(__xludf.DUMMYFUNCTION("""COMPUTED_VALUE"""),"Hongyuan Wen")</f>
        <v>Hongyuan Wen</v>
      </c>
      <c r="C194" s="122">
        <f>IFERROR(__xludf.DUMMYFUNCTION("""COMPUTED_VALUE"""),2.0)</f>
        <v>2</v>
      </c>
      <c r="D194" s="122">
        <f>IFERROR(__xludf.DUMMYFUNCTION("""COMPUTED_VALUE"""),1.0)</f>
        <v>1</v>
      </c>
      <c r="E194" s="122">
        <f>IFERROR(__xludf.DUMMYFUNCTION("""COMPUTED_VALUE"""),5.0)</f>
        <v>5</v>
      </c>
      <c r="F194" s="122">
        <f>IFERROR(__xludf.DUMMYFUNCTION("""COMPUTED_VALUE"""),8.0)</f>
        <v>8</v>
      </c>
      <c r="G194" s="122">
        <f>IFERROR(__xludf.DUMMYFUNCTION("""COMPUTED_VALUE"""),0.0)</f>
        <v>0</v>
      </c>
    </row>
    <row r="195">
      <c r="A195" s="117">
        <f>IFERROR(__xludf.DUMMYFUNCTION("""COMPUTED_VALUE"""),3.0)</f>
        <v>3</v>
      </c>
      <c r="B195" s="33" t="str">
        <f>IFERROR(__xludf.DUMMYFUNCTION("""COMPUTED_VALUE"""),"Scott Li")</f>
        <v>Scott Li</v>
      </c>
      <c r="C195" s="122">
        <f>IFERROR(__xludf.DUMMYFUNCTION("""COMPUTED_VALUE"""),6.0)</f>
        <v>6</v>
      </c>
      <c r="D195" s="122">
        <f>IFERROR(__xludf.DUMMYFUNCTION("""COMPUTED_VALUE"""),6.0)</f>
        <v>6</v>
      </c>
      <c r="E195" s="122">
        <f>IFERROR(__xludf.DUMMYFUNCTION("""COMPUTED_VALUE"""),5.0)</f>
        <v>5</v>
      </c>
      <c r="F195" s="122">
        <f>IFERROR(__xludf.DUMMYFUNCTION("""COMPUTED_VALUE"""),17.0)</f>
        <v>17</v>
      </c>
      <c r="G195" s="122">
        <f>IFERROR(__xludf.DUMMYFUNCTION("""COMPUTED_VALUE"""),2.0)</f>
        <v>2</v>
      </c>
    </row>
    <row r="196">
      <c r="A196" s="123">
        <f>IFERROR(__xludf.DUMMYFUNCTION("""COMPUTED_VALUE"""),4.0)</f>
        <v>4</v>
      </c>
      <c r="B196" s="124" t="str">
        <f>IFERROR(__xludf.DUMMYFUNCTION("""COMPUTED_VALUE"""),"Erik Hoeckmann")</f>
        <v>Erik Hoeckmann</v>
      </c>
      <c r="C196" s="125">
        <f>IFERROR(__xludf.DUMMYFUNCTION("""COMPUTED_VALUE"""),5.0)</f>
        <v>5</v>
      </c>
      <c r="D196" s="125">
        <f>IFERROR(__xludf.DUMMYFUNCTION("""COMPUTED_VALUE"""),6.0)</f>
        <v>6</v>
      </c>
      <c r="E196" s="125">
        <f>IFERROR(__xludf.DUMMYFUNCTION("""COMPUTED_VALUE"""),6.0)</f>
        <v>6</v>
      </c>
      <c r="F196" s="125">
        <f>IFERROR(__xludf.DUMMYFUNCTION("""COMPUTED_VALUE"""),17.0)</f>
        <v>17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IFERROR(__xludf.DUMMYFUNCTION("""COMPUTED_VALUE"""),"Sandeep Kamalon")</f>
        <v>Sandeep Kamalon</v>
      </c>
      <c r="C197" s="125">
        <f>IFERROR(__xludf.DUMMYFUNCTION("""COMPUTED_VALUE"""),7.0)</f>
        <v>7</v>
      </c>
      <c r="D197" s="125">
        <f>IFERROR(__xludf.DUMMYFUNCTION("""COMPUTED_VALUE"""),6.0)</f>
        <v>6</v>
      </c>
      <c r="E197" s="125">
        <f>IFERROR(__xludf.DUMMYFUNCTION("""COMPUTED_VALUE"""),1.0)</f>
        <v>1</v>
      </c>
      <c r="F197" s="125">
        <f>IFERROR(__xludf.DUMMYFUNCTION("""COMPUTED_VALUE"""),14.0)</f>
        <v>14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IFERROR(__xludf.DUMMYFUNCTION("""COMPUTED_VALUE"""),"Manish Anand")</f>
        <v>Manish Anand</v>
      </c>
      <c r="C198" s="125">
        <f>IFERROR(__xludf.DUMMYFUNCTION("""COMPUTED_VALUE"""),7.0)</f>
        <v>7</v>
      </c>
      <c r="D198" s="125">
        <f>IFERROR(__xludf.DUMMYFUNCTION("""COMPUTED_VALUE"""),2.0)</f>
        <v>2</v>
      </c>
      <c r="E198" s="125">
        <f>IFERROR(__xludf.DUMMYFUNCTION("""COMPUTED_VALUE"""),6.0)</f>
        <v>6</v>
      </c>
      <c r="F198" s="125">
        <f>IFERROR(__xludf.DUMMYFUNCTION("""COMPUTED_VALUE"""),15.0)</f>
        <v>15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IFERROR(__xludf.DUMMYFUNCTION("""COMPUTED_VALUE"""),"Eric Tan")</f>
        <v>Eric Tan</v>
      </c>
      <c r="C199" s="125">
        <f>IFERROR(__xludf.DUMMYFUNCTION("""COMPUTED_VALUE"""),5.0)</f>
        <v>5</v>
      </c>
      <c r="D199" s="125">
        <f>IFERROR(__xludf.DUMMYFUNCTION("""COMPUTED_VALUE"""),2.0)</f>
        <v>2</v>
      </c>
      <c r="E199" s="125">
        <f>IFERROR(__xludf.DUMMYFUNCTION("""COMPUTED_VALUE"""),1.0)</f>
        <v>1</v>
      </c>
      <c r="F199" s="125">
        <f>IFERROR(__xludf.DUMMYFUNCTION("""COMPUTED_VALUE"""),8.0)</f>
        <v>8</v>
      </c>
      <c r="G199" s="125">
        <f>IFERROR(__xludf.DUMMYFUNCTION("""COMPUTED_VALUE"""),0.0)</f>
        <v>0</v>
      </c>
    </row>
    <row r="200">
      <c r="A200" s="117">
        <f>IFERROR(__xludf.DUMMYFUNCTION("""COMPUTED_VALUE"""),5.0)</f>
        <v>5</v>
      </c>
      <c r="B200" s="33" t="str">
        <f>IFERROR(__xludf.DUMMYFUNCTION("""COMPUTED_VALUE"""),"Elayaraja Thangaraj")</f>
        <v>Elayaraja Thangaraj</v>
      </c>
      <c r="C200" s="122">
        <f>IFERROR(__xludf.DUMMYFUNCTION("""COMPUTED_VALUE"""),5.0)</f>
        <v>5</v>
      </c>
      <c r="D200" s="122">
        <f>IFERROR(__xludf.DUMMYFUNCTION("""COMPUTED_VALUE"""),6.0)</f>
        <v>6</v>
      </c>
      <c r="E200" s="122">
        <f>IFERROR(__xludf.DUMMYFUNCTION("""COMPUTED_VALUE"""),4.0)</f>
        <v>4</v>
      </c>
      <c r="F200" s="122">
        <f>IFERROR(__xludf.DUMMYFUNCTION("""COMPUTED_VALUE"""),15.0)</f>
        <v>15</v>
      </c>
      <c r="G200" s="122">
        <f>IFERROR(__xludf.DUMMYFUNCTION("""COMPUTED_VALUE"""),1.0)</f>
        <v>1</v>
      </c>
    </row>
    <row r="201">
      <c r="A201" s="117">
        <f>IFERROR(__xludf.DUMMYFUNCTION("""COMPUTED_VALUE"""),5.0)</f>
        <v>5</v>
      </c>
      <c r="B201" s="33" t="str">
        <f>IFERROR(__xludf.DUMMYFUNCTION("""COMPUTED_VALUE"""),"Matthew Huang")</f>
        <v>Matthew Huang</v>
      </c>
      <c r="C201" s="122">
        <f>IFERROR(__xludf.DUMMYFUNCTION("""COMPUTED_VALUE"""),7.0)</f>
        <v>7</v>
      </c>
      <c r="D201" s="122">
        <f>IFERROR(__xludf.DUMMYFUNCTION("""COMPUTED_VALUE"""),6.0)</f>
        <v>6</v>
      </c>
      <c r="E201" s="122">
        <f>IFERROR(__xludf.DUMMYFUNCTION("""COMPUTED_VALUE"""),6.0)</f>
        <v>6</v>
      </c>
      <c r="F201" s="122">
        <f>IFERROR(__xludf.DUMMYFUNCTION("""COMPUTED_VALUE"""),19.0)</f>
        <v>19</v>
      </c>
      <c r="G201" s="122">
        <f>IFERROR(__xludf.DUMMYFUNCTION("""COMPUTED_VALUE"""),3.0)</f>
        <v>3</v>
      </c>
    </row>
    <row r="202">
      <c r="A202" s="117">
        <f>IFERROR(__xludf.DUMMYFUNCTION("""COMPUTED_VALUE"""),5.0)</f>
        <v>5</v>
      </c>
      <c r="B202" s="33" t="str">
        <f>IFERROR(__xludf.DUMMYFUNCTION("""COMPUTED_VALUE"""),"Sean Chang")</f>
        <v>Sean Chang</v>
      </c>
      <c r="C202" s="122">
        <f>IFERROR(__xludf.DUMMYFUNCTION("""COMPUTED_VALUE"""),7.0)</f>
        <v>7</v>
      </c>
      <c r="D202" s="122">
        <f>IFERROR(__xludf.DUMMYFUNCTION("""COMPUTED_VALUE"""),0.0)</f>
        <v>0</v>
      </c>
      <c r="E202" s="122">
        <f>IFERROR(__xludf.DUMMYFUNCTION("""COMPUTED_VALUE"""),4.0)</f>
        <v>4</v>
      </c>
      <c r="F202" s="122">
        <f>IFERROR(__xludf.DUMMYFUNCTION("""COMPUTED_VALUE"""),11.0)</f>
        <v>11</v>
      </c>
      <c r="G202" s="122">
        <f>IFERROR(__xludf.DUMMYFUNCTION("""COMPUTED_VALUE"""),1.0)</f>
        <v>1</v>
      </c>
    </row>
    <row r="203">
      <c r="A203" s="117">
        <f>IFERROR(__xludf.DUMMYFUNCTION("""COMPUTED_VALUE"""),5.0)</f>
        <v>5</v>
      </c>
      <c r="B203" s="33" t="str">
        <f>IFERROR(__xludf.DUMMYFUNCTION("""COMPUTED_VALUE"""),"Jimmy Awolesi")</f>
        <v>Jimmy Awolesi</v>
      </c>
      <c r="C203" s="122">
        <f>IFERROR(__xludf.DUMMYFUNCTION("""COMPUTED_VALUE"""),5.0)</f>
        <v>5</v>
      </c>
      <c r="D203" s="122">
        <f>IFERROR(__xludf.DUMMYFUNCTION("""COMPUTED_VALUE"""),0.0)</f>
        <v>0</v>
      </c>
      <c r="E203" s="122">
        <f>IFERROR(__xludf.DUMMYFUNCTION("""COMPUTED_VALUE"""),6.0)</f>
        <v>6</v>
      </c>
      <c r="F203" s="122">
        <f>IFERROR(__xludf.DUMMYFUNCTION("""COMPUTED_VALUE"""),11.0)</f>
        <v>11</v>
      </c>
      <c r="G203" s="122">
        <f>IFERROR(__xludf.DUMMYFUNCTION("""COMPUTED_VALUE"""),1.0)</f>
        <v>1</v>
      </c>
    </row>
    <row r="204">
      <c r="A204" s="123">
        <f>IFERROR(__xludf.DUMMYFUNCTION("""COMPUTED_VALUE"""),6.0)</f>
        <v>6</v>
      </c>
      <c r="B204" s="124" t="str">
        <f>IFERROR(__xludf.DUMMYFUNCTION("""COMPUTED_VALUE"""),"Coco Yan")</f>
        <v>Coco Yan</v>
      </c>
      <c r="C204" s="125">
        <f>IFERROR(__xludf.DUMMYFUNCTION("""COMPUTED_VALUE"""),3.0)</f>
        <v>3</v>
      </c>
      <c r="D204" s="125">
        <f>IFERROR(__xludf.DUMMYFUNCTION("""COMPUTED_VALUE"""),4.0)</f>
        <v>4</v>
      </c>
      <c r="E204" s="125">
        <f>IFERROR(__xludf.DUMMYFUNCTION("""COMPUTED_VALUE"""),6.0)</f>
        <v>6</v>
      </c>
      <c r="F204" s="125">
        <f>IFERROR(__xludf.DUMMYFUNCTION("""COMPUTED_VALUE"""),13.0)</f>
        <v>13</v>
      </c>
      <c r="G204" s="125">
        <f>IFERROR(__xludf.DUMMYFUNCTION("""COMPUTED_VALUE"""),1.0)</f>
        <v>1</v>
      </c>
    </row>
    <row r="205">
      <c r="A205" s="123">
        <f>IFERROR(__xludf.DUMMYFUNCTION("""COMPUTED_VALUE"""),6.0)</f>
        <v>6</v>
      </c>
      <c r="B205" s="124" t="str">
        <f>IFERROR(__xludf.DUMMYFUNCTION("""COMPUTED_VALUE"""),"Pavan Akkimsetty")</f>
        <v>Pavan Akkimsetty</v>
      </c>
      <c r="C205" s="125">
        <f>IFERROR(__xludf.DUMMYFUNCTION("""COMPUTED_VALUE"""),6.0)</f>
        <v>6</v>
      </c>
      <c r="D205" s="125">
        <f>IFERROR(__xludf.DUMMYFUNCTION("""COMPUTED_VALUE"""),4.0)</f>
        <v>4</v>
      </c>
      <c r="E205" s="125">
        <f>IFERROR(__xludf.DUMMYFUNCTION("""COMPUTED_VALUE"""),4.0)</f>
        <v>4</v>
      </c>
      <c r="F205" s="125">
        <f>IFERROR(__xludf.DUMMYFUNCTION("""COMPUTED_VALUE"""),14.0)</f>
        <v>14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IFERROR(__xludf.DUMMYFUNCTION("""COMPUTED_VALUE"""),"Alejandro Mejia")</f>
        <v>Alejandro Mejia</v>
      </c>
      <c r="C206" s="125">
        <f>IFERROR(__xludf.DUMMYFUNCTION("""COMPUTED_VALUE"""),6.0)</f>
        <v>6</v>
      </c>
      <c r="D206" s="125">
        <f>IFERROR(__xludf.DUMMYFUNCTION("""COMPUTED_VALUE"""),6.0)</f>
        <v>6</v>
      </c>
      <c r="E206" s="125">
        <f>IFERROR(__xludf.DUMMYFUNCTION("""COMPUTED_VALUE"""),6.0)</f>
        <v>6</v>
      </c>
      <c r="F206" s="125">
        <f>IFERROR(__xludf.DUMMYFUNCTION("""COMPUTED_VALUE"""),18.0)</f>
        <v>18</v>
      </c>
      <c r="G206" s="125">
        <f>IFERROR(__xludf.DUMMYFUNCTION("""COMPUTED_VALUE"""),3.0)</f>
        <v>3</v>
      </c>
    </row>
    <row r="207">
      <c r="A207" s="123">
        <f>IFERROR(__xludf.DUMMYFUNCTION("""COMPUTED_VALUE"""),6.0)</f>
        <v>6</v>
      </c>
      <c r="B207" s="124" t="str">
        <f>IFERROR(__xludf.DUMMYFUNCTION("""COMPUTED_VALUE"""),"Tina Hanson")</f>
        <v>Tina Hanson</v>
      </c>
      <c r="C207" s="125">
        <f>IFERROR(__xludf.DUMMYFUNCTION("""COMPUTED_VALUE"""),3.0)</f>
        <v>3</v>
      </c>
      <c r="D207" s="125">
        <f>IFERROR(__xludf.DUMMYFUNCTION("""COMPUTED_VALUE"""),6.0)</f>
        <v>6</v>
      </c>
      <c r="E207" s="125">
        <f>IFERROR(__xludf.DUMMYFUNCTION("""COMPUTED_VALUE"""),4.0)</f>
        <v>4</v>
      </c>
      <c r="F207" s="125">
        <f>IFERROR(__xludf.DUMMYFUNCTION("""COMPUTED_VALUE"""),13.0)</f>
        <v>13</v>
      </c>
      <c r="G207" s="125">
        <f>IFERROR(__xludf.DUMMYFUNCTION("""COMPUTED_VALUE"""),1.0)</f>
        <v>1</v>
      </c>
    </row>
    <row r="208">
      <c r="A208" s="117">
        <f>IFERROR(__xludf.DUMMYFUNCTION("""COMPUTED_VALUE"""),7.0)</f>
        <v>7</v>
      </c>
      <c r="B208" s="33" t="str">
        <f>IFERROR(__xludf.DUMMYFUNCTION("""COMPUTED_VALUE"""),"Vinaya Kajla")</f>
        <v>Vinaya Kajla</v>
      </c>
      <c r="C208" s="122">
        <f>IFERROR(__xludf.DUMMYFUNCTION("""COMPUTED_VALUE"""),6.0)</f>
        <v>6</v>
      </c>
      <c r="D208" s="122">
        <f>IFERROR(__xludf.DUMMYFUNCTION("""COMPUTED_VALUE"""),2.0)</f>
        <v>2</v>
      </c>
      <c r="E208" s="122">
        <f>IFERROR(__xludf.DUMMYFUNCTION("""COMPUTED_VALUE"""),4.0)</f>
        <v>4</v>
      </c>
      <c r="F208" s="122">
        <f>IFERROR(__xludf.DUMMYFUNCTION("""COMPUTED_VALUE"""),12.0)</f>
        <v>12</v>
      </c>
      <c r="G208" s="122">
        <f>IFERROR(__xludf.DUMMYFUNCTION("""COMPUTED_VALUE"""),1.0)</f>
        <v>1</v>
      </c>
    </row>
    <row r="209">
      <c r="A209" s="117">
        <f>IFERROR(__xludf.DUMMYFUNCTION("""COMPUTED_VALUE"""),7.0)</f>
        <v>7</v>
      </c>
      <c r="B209" s="33" t="str">
        <f>IFERROR(__xludf.DUMMYFUNCTION("""COMPUTED_VALUE"""),"Naveen Raj")</f>
        <v>Naveen Raj</v>
      </c>
      <c r="C209" s="122">
        <f>IFERROR(__xludf.DUMMYFUNCTION("""COMPUTED_VALUE"""),6.0)</f>
        <v>6</v>
      </c>
      <c r="D209" s="122">
        <f>IFERROR(__xludf.DUMMYFUNCTION("""COMPUTED_VALUE"""),6.0)</f>
        <v>6</v>
      </c>
      <c r="E209" s="122">
        <f>IFERROR(__xludf.DUMMYFUNCTION("""COMPUTED_VALUE"""),6.0)</f>
        <v>6</v>
      </c>
      <c r="F209" s="122">
        <f>IFERROR(__xludf.DUMMYFUNCTION("""COMPUTED_VALUE"""),18.0)</f>
        <v>18</v>
      </c>
      <c r="G209" s="122">
        <f>IFERROR(__xludf.DUMMYFUNCTION("""COMPUTED_VALUE"""),3.0)</f>
        <v>3</v>
      </c>
    </row>
    <row r="210">
      <c r="A210" s="117">
        <f>IFERROR(__xludf.DUMMYFUNCTION("""COMPUTED_VALUE"""),7.0)</f>
        <v>7</v>
      </c>
      <c r="B210" s="33" t="str">
        <f>IFERROR(__xludf.DUMMYFUNCTION("""COMPUTED_VALUE"""),"Wayne Liu")</f>
        <v>Wayne Liu</v>
      </c>
      <c r="C210" s="122">
        <f>IFERROR(__xludf.DUMMYFUNCTION("""COMPUTED_VALUE"""),3.0)</f>
        <v>3</v>
      </c>
      <c r="D210" s="122">
        <f>IFERROR(__xludf.DUMMYFUNCTION("""COMPUTED_VALUE"""),2.0)</f>
        <v>2</v>
      </c>
      <c r="E210" s="122">
        <f>IFERROR(__xludf.DUMMYFUNCTION("""COMPUTED_VALUE"""),6.0)</f>
        <v>6</v>
      </c>
      <c r="F210" s="122">
        <f>IFERROR(__xludf.DUMMYFUNCTION("""COMPUTED_VALUE"""),11.0)</f>
        <v>11</v>
      </c>
      <c r="G210" s="122">
        <f>IFERROR(__xludf.DUMMYFUNCTION("""COMPUTED_VALUE"""),1.0)</f>
        <v>1</v>
      </c>
    </row>
    <row r="211">
      <c r="A211" s="117">
        <f>IFERROR(__xludf.DUMMYFUNCTION("""COMPUTED_VALUE"""),7.0)</f>
        <v>7</v>
      </c>
      <c r="B211" s="33" t="str">
        <f>IFERROR(__xludf.DUMMYFUNCTION("""COMPUTED_VALUE"""),"Saravanan Veerapandian")</f>
        <v>Saravanan Veerapandian</v>
      </c>
      <c r="C211" s="122">
        <f>IFERROR(__xludf.DUMMYFUNCTION("""COMPUTED_VALUE"""),3.0)</f>
        <v>3</v>
      </c>
      <c r="D211" s="122">
        <f>IFERROR(__xludf.DUMMYFUNCTION("""COMPUTED_VALUE"""),6.0)</f>
        <v>6</v>
      </c>
      <c r="E211" s="122">
        <f>IFERROR(__xludf.DUMMYFUNCTION("""COMPUTED_VALUE"""),4.0)</f>
        <v>4</v>
      </c>
      <c r="F211" s="122">
        <f>IFERROR(__xludf.DUMMYFUNCTION("""COMPUTED_VALUE"""),13.0)</f>
        <v>13</v>
      </c>
      <c r="G211" s="122">
        <f>IFERROR(__xludf.DUMMYFUNCTION("""COMPUTED_VALUE"""),1.0)</f>
        <v>1</v>
      </c>
    </row>
    <row r="212">
      <c r="A212" s="123">
        <f>IFERROR(__xludf.DUMMYFUNCTION("""COMPUTED_VALUE"""),8.0)</f>
        <v>8</v>
      </c>
      <c r="B212" s="124" t="str">
        <f>IFERROR(__xludf.DUMMYFUNCTION("""COMPUTED_VALUE"""),"Joyce Zhu")</f>
        <v>Joyce Zhu</v>
      </c>
      <c r="C212" s="125">
        <f>IFERROR(__xludf.DUMMYFUNCTION("""COMPUTED_VALUE"""),0.0)</f>
        <v>0</v>
      </c>
      <c r="D212" s="125">
        <f>IFERROR(__xludf.DUMMYFUNCTION("""COMPUTED_VALUE"""),1.0)</f>
        <v>1</v>
      </c>
      <c r="E212" s="125">
        <f>IFERROR(__xludf.DUMMYFUNCTION("""COMPUTED_VALUE"""),6.0)</f>
        <v>6</v>
      </c>
      <c r="F212" s="125">
        <f>IFERROR(__xludf.DUMMYFUNCTION("""COMPUTED_VALUE"""),7.0)</f>
        <v>7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IFERROR(__xludf.DUMMYFUNCTION("""COMPUTED_VALUE"""),"James Phan")</f>
        <v>James Phan</v>
      </c>
      <c r="C213" s="125">
        <f>IFERROR(__xludf.DUMMYFUNCTION("""COMPUTED_VALUE"""),6.0)</f>
        <v>6</v>
      </c>
      <c r="D213" s="125">
        <f>IFERROR(__xludf.DUMMYFUNCTION("""COMPUTED_VALUE"""),6.0)</f>
        <v>6</v>
      </c>
      <c r="E213" s="125">
        <f>IFERROR(__xludf.DUMMYFUNCTION("""COMPUTED_VALUE"""),6.0)</f>
        <v>6</v>
      </c>
      <c r="F213" s="125">
        <f>IFERROR(__xludf.DUMMYFUNCTION("""COMPUTED_VALUE"""),18.0)</f>
        <v>18</v>
      </c>
      <c r="G213" s="125">
        <f>IFERROR(__xludf.DUMMYFUNCTION("""COMPUTED_VALUE"""),3.0)</f>
        <v>3</v>
      </c>
    </row>
    <row r="214">
      <c r="A214" s="123">
        <f>IFERROR(__xludf.DUMMYFUNCTION("""COMPUTED_VALUE"""),8.0)</f>
        <v>8</v>
      </c>
      <c r="B214" s="124" t="str">
        <f>IFERROR(__xludf.DUMMYFUNCTION("""COMPUTED_VALUE"""),"Santosh Sundaresan")</f>
        <v>Santosh Sundaresan</v>
      </c>
      <c r="C214" s="125">
        <f>IFERROR(__xludf.DUMMYFUNCTION("""COMPUTED_VALUE"""),0.0)</f>
        <v>0</v>
      </c>
      <c r="D214" s="125">
        <f>IFERROR(__xludf.DUMMYFUNCTION("""COMPUTED_VALUE"""),6.0)</f>
        <v>6</v>
      </c>
      <c r="E214" s="125">
        <f>IFERROR(__xludf.DUMMYFUNCTION("""COMPUTED_VALUE"""),1.0)</f>
        <v>1</v>
      </c>
      <c r="F214" s="125">
        <f>IFERROR(__xludf.DUMMYFUNCTION("""COMPUTED_VALUE"""),7.0)</f>
        <v>7</v>
      </c>
      <c r="G214" s="125">
        <f>IFERROR(__xludf.DUMMYFUNCTION("""COMPUTED_VALUE"""),1.0)</f>
        <v>1</v>
      </c>
    </row>
    <row r="215">
      <c r="A215" s="123">
        <f>IFERROR(__xludf.DUMMYFUNCTION("""COMPUTED_VALUE"""),8.0)</f>
        <v>8</v>
      </c>
      <c r="B215" s="124" t="str">
        <f>IFERROR(__xludf.DUMMYFUNCTION("""COMPUTED_VALUE"""),"Vishnu Amarnath")</f>
        <v>Vishnu Amarnath</v>
      </c>
      <c r="C215" s="125">
        <f>IFERROR(__xludf.DUMMYFUNCTION("""COMPUTED_VALUE"""),6.0)</f>
        <v>6</v>
      </c>
      <c r="D215" s="125">
        <f>IFERROR(__xludf.DUMMYFUNCTION("""COMPUTED_VALUE"""),1.0)</f>
        <v>1</v>
      </c>
      <c r="E215" s="125">
        <f>IFERROR(__xludf.DUMMYFUNCTION("""COMPUTED_VALUE"""),1.0)</f>
        <v>1</v>
      </c>
      <c r="F215" s="125">
        <f>IFERROR(__xludf.DUMMYFUNCTION("""COMPUTED_VALUE"""),8.0)</f>
        <v>8</v>
      </c>
      <c r="G215" s="125">
        <f>IFERROR(__xludf.DUMMYFUNCTION("""COMPUTED_VALUE"""),1.0)</f>
        <v>1</v>
      </c>
    </row>
    <row r="216">
      <c r="A216" s="117">
        <f>IFERROR(__xludf.DUMMYFUNCTION("""COMPUTED_VALUE"""),9.0)</f>
        <v>9</v>
      </c>
      <c r="B216" s="33" t="str">
        <f>IFERROR(__xludf.DUMMYFUNCTION("""COMPUTED_VALUE"""),"Rajasekar Ramasamy")</f>
        <v>Rajasekar Ramasamy</v>
      </c>
      <c r="C216" s="122">
        <f>IFERROR(__xludf.DUMMYFUNCTION("""COMPUTED_VALUE"""),2.0)</f>
        <v>2</v>
      </c>
      <c r="D216" s="122">
        <f>IFERROR(__xludf.DUMMYFUNCTION("""COMPUTED_VALUE"""),4.0)</f>
        <v>4</v>
      </c>
      <c r="E216" s="122">
        <f>IFERROR(__xludf.DUMMYFUNCTION("""COMPUTED_VALUE"""),6.0)</f>
        <v>6</v>
      </c>
      <c r="F216" s="122">
        <f>IFERROR(__xludf.DUMMYFUNCTION("""COMPUTED_VALUE"""),12.0)</f>
        <v>12</v>
      </c>
      <c r="G216" s="122">
        <f>IFERROR(__xludf.DUMMYFUNCTION("""COMPUTED_VALUE"""),1.0)</f>
        <v>1</v>
      </c>
    </row>
    <row r="217">
      <c r="A217" s="117">
        <f>IFERROR(__xludf.DUMMYFUNCTION("""COMPUTED_VALUE"""),9.0)</f>
        <v>9</v>
      </c>
      <c r="B217" s="33" t="str">
        <f>IFERROR(__xludf.DUMMYFUNCTION("""COMPUTED_VALUE"""),"Frank Moon")</f>
        <v>Frank Moon</v>
      </c>
      <c r="C217" s="122">
        <f>IFERROR(__xludf.DUMMYFUNCTION("""COMPUTED_VALUE"""),6.0)</f>
        <v>6</v>
      </c>
      <c r="D217" s="122">
        <f>IFERROR(__xludf.DUMMYFUNCTION("""COMPUTED_VALUE"""),6.0)</f>
        <v>6</v>
      </c>
      <c r="E217" s="122">
        <f>IFERROR(__xludf.DUMMYFUNCTION("""COMPUTED_VALUE"""),6.0)</f>
        <v>6</v>
      </c>
      <c r="F217" s="122">
        <f>IFERROR(__xludf.DUMMYFUNCTION("""COMPUTED_VALUE"""),18.0)</f>
        <v>18</v>
      </c>
      <c r="G217" s="122">
        <f>IFERROR(__xludf.DUMMYFUNCTION("""COMPUTED_VALUE"""),3.0)</f>
        <v>3</v>
      </c>
    </row>
    <row r="218">
      <c r="A218" s="117">
        <f>IFERROR(__xludf.DUMMYFUNCTION("""COMPUTED_VALUE"""),9.0)</f>
        <v>9</v>
      </c>
      <c r="B218" s="33" t="str">
        <f>IFERROR(__xludf.DUMMYFUNCTION("""COMPUTED_VALUE"""),"Alex Hou")</f>
        <v>Alex Hou</v>
      </c>
      <c r="C218" s="122">
        <f>IFERROR(__xludf.DUMMYFUNCTION("""COMPUTED_VALUE"""),2.0)</f>
        <v>2</v>
      </c>
      <c r="D218" s="122">
        <f>IFERROR(__xludf.DUMMYFUNCTION("""COMPUTED_VALUE"""),6.0)</f>
        <v>6</v>
      </c>
      <c r="E218" s="122">
        <f>IFERROR(__xludf.DUMMYFUNCTION("""COMPUTED_VALUE"""),3.0)</f>
        <v>3</v>
      </c>
      <c r="F218" s="122">
        <f>IFERROR(__xludf.DUMMYFUNCTION("""COMPUTED_VALUE"""),11.0)</f>
        <v>11</v>
      </c>
      <c r="G218" s="122">
        <f>IFERROR(__xludf.DUMMYFUNCTION("""COMPUTED_VALUE"""),1.0)</f>
        <v>1</v>
      </c>
    </row>
    <row r="219">
      <c r="A219" s="117">
        <f>IFERROR(__xludf.DUMMYFUNCTION("""COMPUTED_VALUE"""),9.0)</f>
        <v>9</v>
      </c>
      <c r="B219" s="33" t="str">
        <f>IFERROR(__xludf.DUMMYFUNCTION("""COMPUTED_VALUE"""),"Chinna Ponnaganti")</f>
        <v>Chinna Ponnaganti</v>
      </c>
      <c r="C219" s="122">
        <f>IFERROR(__xludf.DUMMYFUNCTION("""COMPUTED_VALUE"""),6.0)</f>
        <v>6</v>
      </c>
      <c r="D219" s="122">
        <f>IFERROR(__xludf.DUMMYFUNCTION("""COMPUTED_VALUE"""),4.0)</f>
        <v>4</v>
      </c>
      <c r="E219" s="122">
        <f>IFERROR(__xludf.DUMMYFUNCTION("""COMPUTED_VALUE"""),3.0)</f>
        <v>3</v>
      </c>
      <c r="F219" s="122">
        <f>IFERROR(__xludf.DUMMYFUNCTION("""COMPUTED_VALUE"""),13.0)</f>
        <v>13</v>
      </c>
      <c r="G219" s="122">
        <f>IFERROR(__xludf.DUMMYFUNCTION("""COMPUTED_VALUE"""),1.0)</f>
        <v>1</v>
      </c>
    </row>
    <row r="220">
      <c r="A220" s="123">
        <f>IFERROR(__xludf.DUMMYFUNCTION("""COMPUTED_VALUE"""),10.0)</f>
        <v>10</v>
      </c>
      <c r="B220" s="124" t="str">
        <f>IFERROR(__xludf.DUMMYFUNCTION("""COMPUTED_VALUE"""),"Allen Zhang")</f>
        <v>Allen Zhang</v>
      </c>
      <c r="C220" s="125">
        <f>IFERROR(__xludf.DUMMYFUNCTION("""COMPUTED_VALUE"""),1.0)</f>
        <v>1</v>
      </c>
      <c r="D220" s="125">
        <f>IFERROR(__xludf.DUMMYFUNCTION("""COMPUTED_VALUE"""),7.0)</f>
        <v>7</v>
      </c>
      <c r="E220" s="125">
        <f>IFERROR(__xludf.DUMMYFUNCTION("""COMPUTED_VALUE"""),1.0)</f>
        <v>1</v>
      </c>
      <c r="F220" s="125">
        <f>IFERROR(__xludf.DUMMYFUNCTION("""COMPUTED_VALUE"""),9.0)</f>
        <v>9</v>
      </c>
      <c r="G220" s="125">
        <f>IFERROR(__xludf.DUMMYFUNCTION("""COMPUTED_VALUE"""),1.0)</f>
        <v>1</v>
      </c>
    </row>
    <row r="221">
      <c r="A221" s="123">
        <f>IFERROR(__xludf.DUMMYFUNCTION("""COMPUTED_VALUE"""),10.0)</f>
        <v>10</v>
      </c>
      <c r="B221" s="124" t="str">
        <f>IFERROR(__xludf.DUMMYFUNCTION("""COMPUTED_VALUE"""),"Ramesh Bandaru")</f>
        <v>Ramesh Bandaru</v>
      </c>
      <c r="C221" s="125">
        <f>IFERROR(__xludf.DUMMYFUNCTION("""COMPUTED_VALUE"""),6.0)</f>
        <v>6</v>
      </c>
      <c r="D221" s="125">
        <f>IFERROR(__xludf.DUMMYFUNCTION("""COMPUTED_VALUE"""),6.0)</f>
        <v>6</v>
      </c>
      <c r="E221" s="125">
        <f>IFERROR(__xludf.DUMMYFUNCTION("""COMPUTED_VALUE"""),1.0)</f>
        <v>1</v>
      </c>
      <c r="F221" s="125">
        <f>IFERROR(__xludf.DUMMYFUNCTION("""COMPUTED_VALUE"""),13.0)</f>
        <v>13</v>
      </c>
      <c r="G221" s="125">
        <f>IFERROR(__xludf.DUMMYFUNCTION("""COMPUTED_VALUE"""),1.0)</f>
        <v>1</v>
      </c>
    </row>
    <row r="222">
      <c r="A222" s="123">
        <f>IFERROR(__xludf.DUMMYFUNCTION("""COMPUTED_VALUE"""),10.0)</f>
        <v>10</v>
      </c>
      <c r="B222" s="124" t="str">
        <f>IFERROR(__xludf.DUMMYFUNCTION("""COMPUTED_VALUE"""),"Basudev Thoppai Vidyasankar")</f>
        <v>Basudev Thoppai Vidyasankar</v>
      </c>
      <c r="C222" s="125">
        <f>IFERROR(__xludf.DUMMYFUNCTION("""COMPUTED_VALUE"""),6.0)</f>
        <v>6</v>
      </c>
      <c r="D222" s="125">
        <f>IFERROR(__xludf.DUMMYFUNCTION("""COMPUTED_VALUE"""),7.0)</f>
        <v>7</v>
      </c>
      <c r="E222" s="125">
        <f>IFERROR(__xludf.DUMMYFUNCTION("""COMPUTED_VALUE"""),6.0)</f>
        <v>6</v>
      </c>
      <c r="F222" s="125">
        <f>IFERROR(__xludf.DUMMYFUNCTION("""COMPUTED_VALUE"""),19.0)</f>
        <v>19</v>
      </c>
      <c r="G222" s="125">
        <f>IFERROR(__xludf.DUMMYFUNCTION("""COMPUTED_VALUE"""),3.0)</f>
        <v>3</v>
      </c>
    </row>
    <row r="223">
      <c r="A223" s="123">
        <f>IFERROR(__xludf.DUMMYFUNCTION("""COMPUTED_VALUE"""),10.0)</f>
        <v>10</v>
      </c>
      <c r="B223" s="124" t="str">
        <f>IFERROR(__xludf.DUMMYFUNCTION("""COMPUTED_VALUE"""),"Nicole Ni")</f>
        <v>Nicole Ni</v>
      </c>
      <c r="C223" s="125">
        <f>IFERROR(__xludf.DUMMYFUNCTION("""COMPUTED_VALUE"""),1.0)</f>
        <v>1</v>
      </c>
      <c r="D223" s="125">
        <f>IFERROR(__xludf.DUMMYFUNCTION("""COMPUTED_VALUE"""),6.0)</f>
        <v>6</v>
      </c>
      <c r="E223" s="125">
        <f>IFERROR(__xludf.DUMMYFUNCTION("""COMPUTED_VALUE"""),6.0)</f>
        <v>6</v>
      </c>
      <c r="F223" s="125">
        <f>IFERROR(__xludf.DUMMYFUNCTION("""COMPUTED_VALUE"""),13.0)</f>
        <v>13</v>
      </c>
      <c r="G223" s="125">
        <f>IFERROR(__xludf.DUMMYFUNCTION("""COMPUTED_VALUE"""),1.0)</f>
        <v>1</v>
      </c>
    </row>
    <row r="224">
      <c r="A224" s="117"/>
      <c r="B224" s="33"/>
      <c r="C224" s="122"/>
      <c r="D224" s="122"/>
      <c r="E224" s="122"/>
      <c r="F224" s="122"/>
      <c r="G224" s="122"/>
    </row>
    <row r="225">
      <c r="A225" s="117"/>
      <c r="B225" s="33"/>
      <c r="C225" s="122"/>
      <c r="D225" s="122"/>
      <c r="E225" s="122"/>
      <c r="F225" s="122"/>
      <c r="G225" s="122"/>
    </row>
    <row r="226">
      <c r="A226" s="117"/>
      <c r="B226" s="33"/>
      <c r="C226" s="122"/>
      <c r="D226" s="122"/>
      <c r="E226" s="122"/>
      <c r="F226" s="122"/>
      <c r="G226" s="122"/>
    </row>
    <row r="227">
      <c r="A227" s="117"/>
      <c r="B227" s="33"/>
      <c r="C227" s="122"/>
      <c r="D227" s="122"/>
      <c r="E227" s="122"/>
      <c r="F227" s="122"/>
      <c r="G227" s="122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45892.0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8.0</v>
      </c>
      <c r="E2" s="1"/>
      <c r="F2" s="1"/>
      <c r="R2" s="17"/>
      <c r="AC2" s="21" t="str">
        <f>text(C1-7,"mm/dd/yy")</f>
        <v>08/16/25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Z4" s="29" t="s">
        <v>44</v>
      </c>
    </row>
    <row r="5">
      <c r="A5" s="32">
        <v>1.0</v>
      </c>
      <c r="B5" s="33" t="s">
        <v>83</v>
      </c>
      <c r="C5" s="34">
        <v>104.0</v>
      </c>
      <c r="D5" s="34">
        <v>12.0</v>
      </c>
      <c r="E5" s="35">
        <f t="shared" ref="E5:E69" si="2">if(S5&gt;0,(C5-(V5*9)-(T5*13))/S5,0)</f>
        <v>14.33333333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113</v>
      </c>
      <c r="O5" s="34">
        <f t="shared" si="1"/>
        <v>12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6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2</v>
      </c>
      <c r="W5" s="52">
        <f t="shared" ref="W5:W69" si="7">vlookup(B5,indirect("'" &amp; AC$2 &amp; "'!B5:x69"),23,false)-X5</f>
        <v>3</v>
      </c>
      <c r="X5" s="32">
        <v>1.0</v>
      </c>
      <c r="Z5" s="16" t="str">
        <f t="shared" ref="Z5:Z69" si="8">if($D$2=sum(S5:V5),"","Error")</f>
        <v/>
      </c>
    </row>
    <row r="6">
      <c r="A6" s="32">
        <f t="shared" ref="A6:A69" si="9">A5+1</f>
        <v>2</v>
      </c>
      <c r="B6" s="33" t="s">
        <v>67</v>
      </c>
      <c r="C6" s="34">
        <v>103.0</v>
      </c>
      <c r="D6" s="34">
        <v>13.0</v>
      </c>
      <c r="E6" s="35">
        <f t="shared" si="2"/>
        <v>14.16666667</v>
      </c>
      <c r="F6" s="95">
        <v>1.0</v>
      </c>
      <c r="G6" s="96">
        <v>1.0</v>
      </c>
      <c r="H6" s="97">
        <v>0.0</v>
      </c>
      <c r="I6" s="96">
        <v>6.0</v>
      </c>
      <c r="J6" s="96">
        <v>2.0</v>
      </c>
      <c r="K6" s="96">
        <v>6.0</v>
      </c>
      <c r="L6" s="98">
        <v>14.0</v>
      </c>
      <c r="M6" s="96">
        <v>2.0</v>
      </c>
      <c r="N6" s="34">
        <f t="shared" ref="N6:O6" si="3">C6+L6</f>
        <v>117</v>
      </c>
      <c r="O6" s="34">
        <f t="shared" si="3"/>
        <v>15</v>
      </c>
      <c r="P6" s="49" t="s">
        <v>58</v>
      </c>
      <c r="Q6" s="49" t="s">
        <v>58</v>
      </c>
      <c r="R6" s="49"/>
      <c r="S6" s="50">
        <f t="shared" si="4"/>
        <v>6</v>
      </c>
      <c r="T6" s="52">
        <f t="shared" si="5"/>
        <v>0</v>
      </c>
      <c r="U6" s="52"/>
      <c r="V6" s="50">
        <f t="shared" si="6"/>
        <v>2</v>
      </c>
      <c r="W6" s="52">
        <f t="shared" si="7"/>
        <v>-1</v>
      </c>
      <c r="X6" s="32">
        <f t="shared" ref="X6:X69" si="11">X5+1</f>
        <v>2</v>
      </c>
      <c r="Z6" s="16" t="str">
        <f t="shared" si="8"/>
        <v/>
      </c>
    </row>
    <row r="7">
      <c r="A7" s="32">
        <f t="shared" si="9"/>
        <v>3</v>
      </c>
      <c r="B7" s="33" t="s">
        <v>107</v>
      </c>
      <c r="C7" s="34">
        <v>102.0</v>
      </c>
      <c r="D7" s="34">
        <v>12.0</v>
      </c>
      <c r="E7" s="35">
        <f t="shared" si="2"/>
        <v>14</v>
      </c>
      <c r="F7" s="95">
        <v>2.0</v>
      </c>
      <c r="G7" s="96">
        <v>1.0</v>
      </c>
      <c r="H7" s="97">
        <v>0.0</v>
      </c>
      <c r="I7" s="96">
        <v>1.0</v>
      </c>
      <c r="J7" s="96">
        <v>2.0</v>
      </c>
      <c r="K7" s="96">
        <v>3.0</v>
      </c>
      <c r="L7" s="98">
        <v>6.0</v>
      </c>
      <c r="M7" s="96">
        <v>0.0</v>
      </c>
      <c r="N7" s="34">
        <f t="shared" ref="N7:O7" si="10">C7+L7</f>
        <v>108</v>
      </c>
      <c r="O7" s="34">
        <f t="shared" si="10"/>
        <v>12</v>
      </c>
      <c r="P7" s="49" t="s">
        <v>58</v>
      </c>
      <c r="Q7" s="49" t="s">
        <v>58</v>
      </c>
      <c r="R7" s="49"/>
      <c r="S7" s="50">
        <f t="shared" si="4"/>
        <v>6</v>
      </c>
      <c r="T7" s="52">
        <f t="shared" si="5"/>
        <v>0</v>
      </c>
      <c r="U7" s="52"/>
      <c r="V7" s="50">
        <f t="shared" si="6"/>
        <v>2</v>
      </c>
      <c r="W7" s="52">
        <f t="shared" si="7"/>
        <v>4</v>
      </c>
      <c r="X7" s="32">
        <f t="shared" si="11"/>
        <v>3</v>
      </c>
      <c r="Z7" s="16" t="str">
        <f t="shared" si="8"/>
        <v/>
      </c>
    </row>
    <row r="8">
      <c r="A8" s="32">
        <f t="shared" si="9"/>
        <v>4</v>
      </c>
      <c r="B8" s="33" t="s">
        <v>98</v>
      </c>
      <c r="C8" s="34">
        <v>98.0</v>
      </c>
      <c r="D8" s="34">
        <v>13.0</v>
      </c>
      <c r="E8" s="35">
        <f t="shared" si="2"/>
        <v>12.25</v>
      </c>
      <c r="F8" s="95">
        <v>1.0</v>
      </c>
      <c r="G8" s="96">
        <v>1.0</v>
      </c>
      <c r="H8" s="97">
        <v>0.0</v>
      </c>
      <c r="I8" s="96">
        <v>1.0</v>
      </c>
      <c r="J8" s="96">
        <v>6.0</v>
      </c>
      <c r="K8" s="96">
        <v>6.0</v>
      </c>
      <c r="L8" s="98">
        <v>13.0</v>
      </c>
      <c r="M8" s="96">
        <v>2.0</v>
      </c>
      <c r="N8" s="34">
        <f t="shared" ref="N8:O8" si="12">C8+L8</f>
        <v>111</v>
      </c>
      <c r="O8" s="34">
        <f t="shared" si="12"/>
        <v>15</v>
      </c>
      <c r="P8" s="49" t="s">
        <v>58</v>
      </c>
      <c r="Q8" s="49" t="s">
        <v>58</v>
      </c>
      <c r="R8" s="49"/>
      <c r="S8" s="50">
        <f t="shared" si="4"/>
        <v>8</v>
      </c>
      <c r="T8" s="52">
        <f t="shared" si="5"/>
        <v>0</v>
      </c>
      <c r="U8" s="52"/>
      <c r="V8" s="50">
        <f t="shared" si="6"/>
        <v>0</v>
      </c>
      <c r="W8" s="52">
        <f t="shared" si="7"/>
        <v>1</v>
      </c>
      <c r="X8" s="32">
        <f t="shared" si="11"/>
        <v>4</v>
      </c>
      <c r="Z8" s="16" t="str">
        <f t="shared" si="8"/>
        <v/>
      </c>
    </row>
    <row r="9">
      <c r="A9" s="32">
        <f t="shared" si="9"/>
        <v>5</v>
      </c>
      <c r="B9" s="33" t="s">
        <v>84</v>
      </c>
      <c r="C9" s="34">
        <v>98.0</v>
      </c>
      <c r="D9" s="34">
        <v>11.0</v>
      </c>
      <c r="E9" s="35">
        <f t="shared" si="2"/>
        <v>13.33333333</v>
      </c>
      <c r="F9" s="95">
        <v>2.0</v>
      </c>
      <c r="G9" s="96">
        <v>1.0</v>
      </c>
      <c r="H9" s="97">
        <v>0.0</v>
      </c>
      <c r="I9" s="96">
        <v>6.0</v>
      </c>
      <c r="J9" s="96">
        <v>6.0</v>
      </c>
      <c r="K9" s="96">
        <v>3.0</v>
      </c>
      <c r="L9" s="98">
        <v>15.0</v>
      </c>
      <c r="M9" s="96">
        <v>2.0</v>
      </c>
      <c r="N9" s="34">
        <f t="shared" ref="N9:O9" si="13">C9+L9</f>
        <v>113</v>
      </c>
      <c r="O9" s="34">
        <f t="shared" si="13"/>
        <v>13</v>
      </c>
      <c r="P9" s="49" t="s">
        <v>58</v>
      </c>
      <c r="Q9" s="49" t="s">
        <v>58</v>
      </c>
      <c r="R9" s="49"/>
      <c r="S9" s="50">
        <f t="shared" si="4"/>
        <v>6</v>
      </c>
      <c r="T9" s="52">
        <f t="shared" si="5"/>
        <v>0</v>
      </c>
      <c r="U9" s="52"/>
      <c r="V9" s="50">
        <f t="shared" si="6"/>
        <v>2</v>
      </c>
      <c r="W9" s="52">
        <f t="shared" si="7"/>
        <v>-3</v>
      </c>
      <c r="X9" s="32">
        <f t="shared" si="11"/>
        <v>5</v>
      </c>
      <c r="Z9" s="16" t="str">
        <f t="shared" si="8"/>
        <v/>
      </c>
    </row>
    <row r="10">
      <c r="A10" s="32">
        <f t="shared" si="9"/>
        <v>6</v>
      </c>
      <c r="B10" s="33" t="s">
        <v>97</v>
      </c>
      <c r="C10" s="34">
        <v>97.0</v>
      </c>
      <c r="D10" s="34">
        <v>11.0</v>
      </c>
      <c r="E10" s="35">
        <f t="shared" si="2"/>
        <v>13.16666667</v>
      </c>
      <c r="F10" s="95">
        <v>1.0</v>
      </c>
      <c r="G10" s="96">
        <v>2.0</v>
      </c>
      <c r="H10" s="97">
        <v>0.0</v>
      </c>
      <c r="I10" s="96">
        <v>6.0</v>
      </c>
      <c r="J10" s="96">
        <v>1.0</v>
      </c>
      <c r="K10" s="96">
        <v>6.0</v>
      </c>
      <c r="L10" s="98">
        <v>13.0</v>
      </c>
      <c r="M10" s="96">
        <v>2.0</v>
      </c>
      <c r="N10" s="34">
        <f t="shared" ref="N10:O10" si="14">C10+L10</f>
        <v>110</v>
      </c>
      <c r="O10" s="34">
        <f t="shared" si="14"/>
        <v>13</v>
      </c>
      <c r="P10" s="49" t="s">
        <v>58</v>
      </c>
      <c r="Q10" s="49" t="s">
        <v>58</v>
      </c>
      <c r="R10" s="49"/>
      <c r="S10" s="50">
        <f t="shared" si="4"/>
        <v>6</v>
      </c>
      <c r="T10" s="52">
        <f t="shared" si="5"/>
        <v>0</v>
      </c>
      <c r="U10" s="52"/>
      <c r="V10" s="50">
        <f t="shared" si="6"/>
        <v>2</v>
      </c>
      <c r="W10" s="52">
        <f t="shared" si="7"/>
        <v>11</v>
      </c>
      <c r="X10" s="32">
        <f t="shared" si="11"/>
        <v>6</v>
      </c>
      <c r="Z10" s="16" t="str">
        <f t="shared" si="8"/>
        <v/>
      </c>
    </row>
    <row r="11">
      <c r="A11" s="32">
        <f t="shared" si="9"/>
        <v>7</v>
      </c>
      <c r="B11" s="33" t="s">
        <v>73</v>
      </c>
      <c r="C11" s="34">
        <v>97.0</v>
      </c>
      <c r="D11" s="34">
        <v>10.0</v>
      </c>
      <c r="E11" s="35">
        <f t="shared" si="2"/>
        <v>13.16666667</v>
      </c>
      <c r="F11" s="95">
        <v>1.0</v>
      </c>
      <c r="G11" s="96">
        <v>2.0</v>
      </c>
      <c r="H11" s="97">
        <v>0.0</v>
      </c>
      <c r="I11" s="96">
        <v>6.0</v>
      </c>
      <c r="J11" s="96">
        <v>6.0</v>
      </c>
      <c r="K11" s="96">
        <v>4.0</v>
      </c>
      <c r="L11" s="98">
        <v>16.0</v>
      </c>
      <c r="M11" s="96">
        <v>2.0</v>
      </c>
      <c r="N11" s="34">
        <f t="shared" ref="N11:O11" si="15">C11+L11</f>
        <v>113</v>
      </c>
      <c r="O11" s="34">
        <f t="shared" si="15"/>
        <v>12</v>
      </c>
      <c r="P11" s="49" t="s">
        <v>58</v>
      </c>
      <c r="Q11" s="49" t="s">
        <v>58</v>
      </c>
      <c r="R11" s="49"/>
      <c r="S11" s="50">
        <f t="shared" si="4"/>
        <v>6</v>
      </c>
      <c r="T11" s="52">
        <f t="shared" si="5"/>
        <v>0</v>
      </c>
      <c r="U11" s="52"/>
      <c r="V11" s="50">
        <f t="shared" si="6"/>
        <v>2</v>
      </c>
      <c r="W11" s="52">
        <f t="shared" si="7"/>
        <v>-4</v>
      </c>
      <c r="X11" s="32">
        <f t="shared" si="11"/>
        <v>7</v>
      </c>
      <c r="Z11" s="16" t="str">
        <f t="shared" si="8"/>
        <v/>
      </c>
    </row>
    <row r="12">
      <c r="A12" s="32">
        <f t="shared" si="9"/>
        <v>8</v>
      </c>
      <c r="B12" s="33" t="s">
        <v>125</v>
      </c>
      <c r="C12" s="34">
        <v>97.0</v>
      </c>
      <c r="D12" s="34">
        <v>9.0</v>
      </c>
      <c r="E12" s="35">
        <f t="shared" si="2"/>
        <v>13.16666667</v>
      </c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6">C12+L12</f>
        <v>106</v>
      </c>
      <c r="O12" s="34">
        <f t="shared" si="16"/>
        <v>9</v>
      </c>
      <c r="P12" s="49" t="s">
        <v>58</v>
      </c>
      <c r="Q12" s="49" t="s">
        <v>58</v>
      </c>
      <c r="R12" s="49"/>
      <c r="S12" s="50">
        <f t="shared" si="4"/>
        <v>6</v>
      </c>
      <c r="T12" s="52">
        <f t="shared" si="5"/>
        <v>0</v>
      </c>
      <c r="U12" s="52"/>
      <c r="V12" s="50">
        <f t="shared" si="6"/>
        <v>2</v>
      </c>
      <c r="W12" s="52">
        <f t="shared" si="7"/>
        <v>5</v>
      </c>
      <c r="X12" s="32">
        <f t="shared" si="11"/>
        <v>8</v>
      </c>
      <c r="Z12" s="16" t="str">
        <f t="shared" si="8"/>
        <v/>
      </c>
    </row>
    <row r="13">
      <c r="A13" s="32">
        <f t="shared" si="9"/>
        <v>9</v>
      </c>
      <c r="B13" s="33" t="s">
        <v>111</v>
      </c>
      <c r="C13" s="34">
        <v>96.0</v>
      </c>
      <c r="D13" s="34">
        <v>7.0</v>
      </c>
      <c r="E13" s="35">
        <f t="shared" si="2"/>
        <v>12.33333333</v>
      </c>
      <c r="F13" s="95">
        <v>1.0</v>
      </c>
      <c r="G13" s="96">
        <v>2.0</v>
      </c>
      <c r="H13" s="97">
        <v>0.0</v>
      </c>
      <c r="I13" s="96">
        <v>1.0</v>
      </c>
      <c r="J13" s="96">
        <v>1.0</v>
      </c>
      <c r="K13" s="96">
        <v>4.0</v>
      </c>
      <c r="L13" s="98">
        <v>6.0</v>
      </c>
      <c r="M13" s="96">
        <v>0.0</v>
      </c>
      <c r="N13" s="34">
        <f t="shared" ref="N13:O13" si="17">C13+L13</f>
        <v>102</v>
      </c>
      <c r="O13" s="34">
        <f t="shared" si="17"/>
        <v>7</v>
      </c>
      <c r="P13" s="49" t="s">
        <v>58</v>
      </c>
      <c r="Q13" s="49" t="s">
        <v>58</v>
      </c>
      <c r="R13" s="49"/>
      <c r="S13" s="50">
        <f t="shared" si="4"/>
        <v>6</v>
      </c>
      <c r="T13" s="52">
        <f t="shared" si="5"/>
        <v>1</v>
      </c>
      <c r="U13" s="52"/>
      <c r="V13" s="50">
        <f t="shared" si="6"/>
        <v>1</v>
      </c>
      <c r="W13" s="52">
        <f t="shared" si="7"/>
        <v>3</v>
      </c>
      <c r="X13" s="32">
        <f t="shared" si="11"/>
        <v>9</v>
      </c>
      <c r="Z13" s="16" t="str">
        <f t="shared" si="8"/>
        <v/>
      </c>
    </row>
    <row r="14">
      <c r="A14" s="32">
        <f t="shared" si="9"/>
        <v>10</v>
      </c>
      <c r="B14" s="33" t="s">
        <v>65</v>
      </c>
      <c r="C14" s="34">
        <v>95.0</v>
      </c>
      <c r="D14" s="34">
        <v>11.0</v>
      </c>
      <c r="E14" s="35">
        <f t="shared" si="2"/>
        <v>13.6</v>
      </c>
      <c r="F14" s="95">
        <v>1.0</v>
      </c>
      <c r="G14" s="96">
        <v>2.0</v>
      </c>
      <c r="H14" s="97">
        <v>0.0</v>
      </c>
      <c r="I14" s="96">
        <v>1.0</v>
      </c>
      <c r="J14" s="96">
        <v>6.0</v>
      </c>
      <c r="K14" s="96">
        <v>6.0</v>
      </c>
      <c r="L14" s="98">
        <v>13.0</v>
      </c>
      <c r="M14" s="96">
        <v>2.0</v>
      </c>
      <c r="N14" s="34">
        <f t="shared" ref="N14:O14" si="18">C14+L14</f>
        <v>108</v>
      </c>
      <c r="O14" s="34">
        <f t="shared" si="18"/>
        <v>13</v>
      </c>
      <c r="P14" s="49" t="s">
        <v>58</v>
      </c>
      <c r="Q14" s="49" t="s">
        <v>58</v>
      </c>
      <c r="R14" s="49"/>
      <c r="S14" s="50">
        <f t="shared" si="4"/>
        <v>5</v>
      </c>
      <c r="T14" s="52">
        <f t="shared" si="5"/>
        <v>0</v>
      </c>
      <c r="U14" s="52"/>
      <c r="V14" s="50">
        <f t="shared" si="6"/>
        <v>3</v>
      </c>
      <c r="W14" s="52">
        <f t="shared" si="7"/>
        <v>9</v>
      </c>
      <c r="X14" s="32">
        <f t="shared" si="11"/>
        <v>10</v>
      </c>
      <c r="Z14" s="16" t="str">
        <f t="shared" si="8"/>
        <v/>
      </c>
    </row>
    <row r="15">
      <c r="A15" s="32">
        <f t="shared" si="9"/>
        <v>11</v>
      </c>
      <c r="B15" s="33" t="s">
        <v>94</v>
      </c>
      <c r="C15" s="34">
        <v>95.0</v>
      </c>
      <c r="D15" s="34">
        <v>8.0</v>
      </c>
      <c r="E15" s="35">
        <f t="shared" si="2"/>
        <v>11.875</v>
      </c>
      <c r="F15" s="95">
        <v>1.0</v>
      </c>
      <c r="G15" s="96">
        <v>3.0</v>
      </c>
      <c r="H15" s="97">
        <v>0.0</v>
      </c>
      <c r="I15" s="96">
        <v>2.0</v>
      </c>
      <c r="J15" s="96">
        <v>6.0</v>
      </c>
      <c r="K15" s="96">
        <v>7.0</v>
      </c>
      <c r="L15" s="98">
        <v>15.0</v>
      </c>
      <c r="M15" s="96">
        <v>2.0</v>
      </c>
      <c r="N15" s="34">
        <f t="shared" ref="N15:O15" si="19">C15+L15</f>
        <v>110</v>
      </c>
      <c r="O15" s="34">
        <f t="shared" si="19"/>
        <v>10</v>
      </c>
      <c r="P15" s="49" t="s">
        <v>58</v>
      </c>
      <c r="Q15" s="49" t="s">
        <v>58</v>
      </c>
      <c r="R15" s="49"/>
      <c r="S15" s="50">
        <f t="shared" si="4"/>
        <v>8</v>
      </c>
      <c r="T15" s="52">
        <f t="shared" si="5"/>
        <v>0</v>
      </c>
      <c r="U15" s="52"/>
      <c r="V15" s="50">
        <f t="shared" si="6"/>
        <v>0</v>
      </c>
      <c r="W15" s="52">
        <f t="shared" si="7"/>
        <v>3</v>
      </c>
      <c r="X15" s="32">
        <f t="shared" si="11"/>
        <v>11</v>
      </c>
      <c r="Z15" s="16" t="str">
        <f t="shared" si="8"/>
        <v/>
      </c>
    </row>
    <row r="16">
      <c r="A16" s="32">
        <f t="shared" si="9"/>
        <v>12</v>
      </c>
      <c r="B16" s="33" t="s">
        <v>45</v>
      </c>
      <c r="C16" s="34">
        <v>94.0</v>
      </c>
      <c r="D16" s="34">
        <v>10.0</v>
      </c>
      <c r="E16" s="35">
        <f t="shared" si="2"/>
        <v>14.5</v>
      </c>
      <c r="F16" s="95">
        <v>3.0</v>
      </c>
      <c r="G16" s="96">
        <v>0.0</v>
      </c>
      <c r="H16" s="97">
        <v>9.0</v>
      </c>
      <c r="I16" s="96">
        <v>0.0</v>
      </c>
      <c r="J16" s="96">
        <v>0.0</v>
      </c>
      <c r="K16" s="96">
        <v>0.0</v>
      </c>
      <c r="L16" s="98">
        <v>9.0</v>
      </c>
      <c r="M16" s="96">
        <v>0.0</v>
      </c>
      <c r="N16" s="34">
        <f t="shared" ref="N16:O16" si="20">C16+L16</f>
        <v>103</v>
      </c>
      <c r="O16" s="34">
        <f t="shared" si="20"/>
        <v>10</v>
      </c>
      <c r="P16" s="49" t="s">
        <v>58</v>
      </c>
      <c r="Q16" s="49" t="s">
        <v>58</v>
      </c>
      <c r="R16" s="49"/>
      <c r="S16" s="50">
        <f t="shared" si="4"/>
        <v>4</v>
      </c>
      <c r="T16" s="52">
        <f t="shared" si="5"/>
        <v>0</v>
      </c>
      <c r="U16" s="52"/>
      <c r="V16" s="50">
        <f t="shared" si="6"/>
        <v>4</v>
      </c>
      <c r="W16" s="52">
        <f t="shared" si="7"/>
        <v>11</v>
      </c>
      <c r="X16" s="32">
        <f t="shared" si="11"/>
        <v>12</v>
      </c>
      <c r="Z16" s="16" t="str">
        <f t="shared" si="8"/>
        <v/>
      </c>
    </row>
    <row r="17">
      <c r="A17" s="32">
        <f t="shared" si="9"/>
        <v>13</v>
      </c>
      <c r="B17" s="33" t="s">
        <v>128</v>
      </c>
      <c r="C17" s="34">
        <v>92.0</v>
      </c>
      <c r="D17" s="34">
        <v>8.0</v>
      </c>
      <c r="E17" s="35">
        <f t="shared" si="2"/>
        <v>12.33333333</v>
      </c>
      <c r="F17" s="95">
        <v>2.0</v>
      </c>
      <c r="G17" s="96">
        <v>3.0</v>
      </c>
      <c r="H17" s="97">
        <v>0.0</v>
      </c>
      <c r="I17" s="96">
        <v>6.0</v>
      </c>
      <c r="J17" s="96">
        <v>1.0</v>
      </c>
      <c r="K17" s="96">
        <v>7.0</v>
      </c>
      <c r="L17" s="98">
        <v>14.0</v>
      </c>
      <c r="M17" s="96">
        <v>2.0</v>
      </c>
      <c r="N17" s="34">
        <f t="shared" ref="N17:O17" si="21">C17+L17</f>
        <v>106</v>
      </c>
      <c r="O17" s="34">
        <f t="shared" si="21"/>
        <v>10</v>
      </c>
      <c r="P17" s="49" t="s">
        <v>58</v>
      </c>
      <c r="Q17" s="49" t="s">
        <v>58</v>
      </c>
      <c r="R17" s="49"/>
      <c r="S17" s="50">
        <f t="shared" si="4"/>
        <v>6</v>
      </c>
      <c r="T17" s="52">
        <f t="shared" si="5"/>
        <v>0</v>
      </c>
      <c r="U17" s="52"/>
      <c r="V17" s="50">
        <f t="shared" si="6"/>
        <v>2</v>
      </c>
      <c r="W17" s="52">
        <f t="shared" si="7"/>
        <v>5</v>
      </c>
      <c r="X17" s="32">
        <f t="shared" si="11"/>
        <v>13</v>
      </c>
      <c r="Z17" s="16" t="str">
        <f t="shared" si="8"/>
        <v/>
      </c>
    </row>
    <row r="18">
      <c r="A18" s="32">
        <f t="shared" si="9"/>
        <v>14</v>
      </c>
      <c r="B18" s="33" t="s">
        <v>114</v>
      </c>
      <c r="C18" s="34">
        <v>92.0</v>
      </c>
      <c r="D18" s="34">
        <v>6.0</v>
      </c>
      <c r="E18" s="35">
        <f t="shared" si="2"/>
        <v>11.85714286</v>
      </c>
      <c r="F18" s="95">
        <v>1.0</v>
      </c>
      <c r="G18" s="96">
        <v>3.0</v>
      </c>
      <c r="H18" s="97">
        <v>0.0</v>
      </c>
      <c r="I18" s="96">
        <v>2.0</v>
      </c>
      <c r="J18" s="96">
        <v>1.0</v>
      </c>
      <c r="K18" s="96">
        <v>5.0</v>
      </c>
      <c r="L18" s="98">
        <v>8.0</v>
      </c>
      <c r="M18" s="96">
        <v>0.0</v>
      </c>
      <c r="N18" s="34">
        <f t="shared" ref="N18:O18" si="22">C18+L18</f>
        <v>100</v>
      </c>
      <c r="O18" s="34">
        <f t="shared" si="22"/>
        <v>6</v>
      </c>
      <c r="P18" s="49" t="s">
        <v>58</v>
      </c>
      <c r="Q18" s="49" t="s">
        <v>58</v>
      </c>
      <c r="R18" s="49"/>
      <c r="S18" s="50">
        <f t="shared" si="4"/>
        <v>7</v>
      </c>
      <c r="T18" s="52">
        <f t="shared" si="5"/>
        <v>0</v>
      </c>
      <c r="U18" s="52"/>
      <c r="V18" s="50">
        <f t="shared" si="6"/>
        <v>1</v>
      </c>
      <c r="W18" s="52">
        <f t="shared" si="7"/>
        <v>-3</v>
      </c>
      <c r="X18" s="32">
        <f t="shared" si="11"/>
        <v>14</v>
      </c>
      <c r="Z18" s="16" t="str">
        <f t="shared" si="8"/>
        <v/>
      </c>
    </row>
    <row r="19">
      <c r="A19" s="32">
        <f t="shared" si="9"/>
        <v>15</v>
      </c>
      <c r="B19" s="33" t="s">
        <v>87</v>
      </c>
      <c r="C19" s="34">
        <v>91.0</v>
      </c>
      <c r="D19" s="34">
        <v>11.0</v>
      </c>
      <c r="E19" s="35">
        <f t="shared" si="2"/>
        <v>11.71428571</v>
      </c>
      <c r="F19" s="95">
        <v>1.0</v>
      </c>
      <c r="G19" s="96">
        <v>3.0</v>
      </c>
      <c r="H19" s="97">
        <v>0.0</v>
      </c>
      <c r="I19" s="96">
        <v>6.0</v>
      </c>
      <c r="J19" s="96">
        <v>6.0</v>
      </c>
      <c r="K19" s="96">
        <v>5.0</v>
      </c>
      <c r="L19" s="98">
        <v>17.0</v>
      </c>
      <c r="M19" s="96">
        <v>2.0</v>
      </c>
      <c r="N19" s="34">
        <f t="shared" ref="N19:O19" si="23">C19+L19</f>
        <v>108</v>
      </c>
      <c r="O19" s="34">
        <f t="shared" si="23"/>
        <v>13</v>
      </c>
      <c r="P19" s="49" t="s">
        <v>58</v>
      </c>
      <c r="Q19" s="49" t="s">
        <v>58</v>
      </c>
      <c r="R19" s="49"/>
      <c r="S19" s="50">
        <f t="shared" si="4"/>
        <v>7</v>
      </c>
      <c r="T19" s="52">
        <f t="shared" si="5"/>
        <v>0</v>
      </c>
      <c r="U19" s="52"/>
      <c r="V19" s="50">
        <f t="shared" si="6"/>
        <v>1</v>
      </c>
      <c r="W19" s="52">
        <f t="shared" si="7"/>
        <v>-6</v>
      </c>
      <c r="X19" s="32">
        <f t="shared" si="11"/>
        <v>15</v>
      </c>
      <c r="Z19" s="16" t="str">
        <f t="shared" si="8"/>
        <v/>
      </c>
    </row>
    <row r="20">
      <c r="A20" s="32">
        <f t="shared" si="9"/>
        <v>16</v>
      </c>
      <c r="B20" s="33" t="s">
        <v>91</v>
      </c>
      <c r="C20" s="34">
        <v>91.0</v>
      </c>
      <c r="D20" s="34">
        <v>11.0</v>
      </c>
      <c r="E20" s="35">
        <f t="shared" si="2"/>
        <v>11.375</v>
      </c>
      <c r="F20" s="95">
        <v>2.0</v>
      </c>
      <c r="G20" s="96">
        <v>9.0</v>
      </c>
      <c r="H20" s="97">
        <v>0.0</v>
      </c>
      <c r="I20" s="96">
        <v>2.0</v>
      </c>
      <c r="J20" s="96">
        <v>4.0</v>
      </c>
      <c r="K20" s="96">
        <v>6.0</v>
      </c>
      <c r="L20" s="98">
        <v>12.0</v>
      </c>
      <c r="M20" s="96">
        <v>1.0</v>
      </c>
      <c r="N20" s="34">
        <f t="shared" ref="N20:O20" si="24">C20+L20</f>
        <v>103</v>
      </c>
      <c r="O20" s="34">
        <f t="shared" si="24"/>
        <v>12</v>
      </c>
      <c r="P20" s="49" t="s">
        <v>58</v>
      </c>
      <c r="Q20" s="49" t="s">
        <v>58</v>
      </c>
      <c r="R20" s="49"/>
      <c r="S20" s="50">
        <f t="shared" si="4"/>
        <v>8</v>
      </c>
      <c r="T20" s="52">
        <f t="shared" si="5"/>
        <v>0</v>
      </c>
      <c r="U20" s="52"/>
      <c r="V20" s="50">
        <f t="shared" si="6"/>
        <v>0</v>
      </c>
      <c r="W20" s="52">
        <f t="shared" si="7"/>
        <v>-8</v>
      </c>
      <c r="X20" s="32">
        <f t="shared" si="11"/>
        <v>16</v>
      </c>
      <c r="Z20" s="16" t="str">
        <f t="shared" si="8"/>
        <v/>
      </c>
    </row>
    <row r="21">
      <c r="A21" s="32">
        <f t="shared" si="9"/>
        <v>17</v>
      </c>
      <c r="B21" s="33" t="s">
        <v>110</v>
      </c>
      <c r="C21" s="34">
        <v>91.0</v>
      </c>
      <c r="D21" s="34">
        <v>10.0</v>
      </c>
      <c r="E21" s="35">
        <f t="shared" si="2"/>
        <v>11.375</v>
      </c>
      <c r="F21" s="95">
        <v>1.0</v>
      </c>
      <c r="G21" s="96">
        <v>9.0</v>
      </c>
      <c r="H21" s="97">
        <v>0.0</v>
      </c>
      <c r="I21" s="96">
        <v>6.0</v>
      </c>
      <c r="J21" s="96">
        <v>6.0</v>
      </c>
      <c r="K21" s="96">
        <v>6.0</v>
      </c>
      <c r="L21" s="98">
        <v>18.0</v>
      </c>
      <c r="M21" s="96">
        <v>3.0</v>
      </c>
      <c r="N21" s="34">
        <f t="shared" ref="N21:O21" si="25">C21+L21</f>
        <v>109</v>
      </c>
      <c r="O21" s="34">
        <f t="shared" si="25"/>
        <v>13</v>
      </c>
      <c r="P21" s="49" t="s">
        <v>58</v>
      </c>
      <c r="Q21" s="49" t="s">
        <v>58</v>
      </c>
      <c r="R21" s="49"/>
      <c r="S21" s="50">
        <f t="shared" si="4"/>
        <v>8</v>
      </c>
      <c r="T21" s="52">
        <f t="shared" si="5"/>
        <v>0</v>
      </c>
      <c r="U21" s="52"/>
      <c r="V21" s="50">
        <f t="shared" si="6"/>
        <v>0</v>
      </c>
      <c r="W21" s="52">
        <f t="shared" si="7"/>
        <v>-11</v>
      </c>
      <c r="X21" s="32">
        <f t="shared" si="11"/>
        <v>17</v>
      </c>
      <c r="Z21" s="16" t="str">
        <f t="shared" si="8"/>
        <v/>
      </c>
    </row>
    <row r="22">
      <c r="A22" s="32">
        <f t="shared" si="9"/>
        <v>18</v>
      </c>
      <c r="B22" s="33" t="s">
        <v>60</v>
      </c>
      <c r="C22" s="34">
        <v>90.0</v>
      </c>
      <c r="D22" s="34">
        <v>9.0</v>
      </c>
      <c r="E22" s="35">
        <f t="shared" si="2"/>
        <v>11.25</v>
      </c>
      <c r="F22" s="95">
        <v>1.0</v>
      </c>
      <c r="G22" s="96">
        <v>9.0</v>
      </c>
      <c r="H22" s="97">
        <v>0.0</v>
      </c>
      <c r="I22" s="96">
        <v>2.0</v>
      </c>
      <c r="J22" s="96">
        <v>6.0</v>
      </c>
      <c r="K22" s="96">
        <v>3.0</v>
      </c>
      <c r="L22" s="98">
        <v>11.0</v>
      </c>
      <c r="M22" s="96">
        <v>1.0</v>
      </c>
      <c r="N22" s="34">
        <f t="shared" ref="N22:O22" si="26">C22+L22</f>
        <v>101</v>
      </c>
      <c r="O22" s="34">
        <f t="shared" si="26"/>
        <v>10</v>
      </c>
      <c r="P22" s="49" t="s">
        <v>58</v>
      </c>
      <c r="Q22" s="49" t="s">
        <v>58</v>
      </c>
      <c r="R22" s="49"/>
      <c r="S22" s="50">
        <f t="shared" si="4"/>
        <v>8</v>
      </c>
      <c r="T22" s="52">
        <f t="shared" si="5"/>
        <v>0</v>
      </c>
      <c r="U22" s="52"/>
      <c r="V22" s="50">
        <f t="shared" si="6"/>
        <v>0</v>
      </c>
      <c r="W22" s="52">
        <f t="shared" si="7"/>
        <v>-2</v>
      </c>
      <c r="X22" s="32">
        <f t="shared" si="11"/>
        <v>18</v>
      </c>
      <c r="Z22" s="16" t="str">
        <f t="shared" si="8"/>
        <v/>
      </c>
    </row>
    <row r="23">
      <c r="A23" s="32">
        <f t="shared" si="9"/>
        <v>19</v>
      </c>
      <c r="B23" s="33" t="s">
        <v>50</v>
      </c>
      <c r="C23" s="34">
        <v>89.0</v>
      </c>
      <c r="D23" s="34">
        <v>9.0</v>
      </c>
      <c r="E23" s="35">
        <f t="shared" si="2"/>
        <v>11.125</v>
      </c>
      <c r="F23" s="95">
        <v>1.0</v>
      </c>
      <c r="G23" s="96">
        <v>9.0</v>
      </c>
      <c r="H23" s="97">
        <v>0.0</v>
      </c>
      <c r="I23" s="96">
        <v>6.0</v>
      </c>
      <c r="J23" s="96">
        <v>4.0</v>
      </c>
      <c r="K23" s="96">
        <v>3.0</v>
      </c>
      <c r="L23" s="98">
        <v>13.0</v>
      </c>
      <c r="M23" s="96">
        <v>1.0</v>
      </c>
      <c r="N23" s="34">
        <f t="shared" ref="N23:O23" si="27">C23+L23</f>
        <v>102</v>
      </c>
      <c r="O23" s="34">
        <f t="shared" si="27"/>
        <v>10</v>
      </c>
      <c r="P23" s="49" t="s">
        <v>58</v>
      </c>
      <c r="Q23" s="49" t="s">
        <v>58</v>
      </c>
      <c r="R23" s="49"/>
      <c r="S23" s="50">
        <f t="shared" si="4"/>
        <v>8</v>
      </c>
      <c r="T23" s="52">
        <f t="shared" si="5"/>
        <v>0</v>
      </c>
      <c r="U23" s="52"/>
      <c r="V23" s="50">
        <f t="shared" si="6"/>
        <v>0</v>
      </c>
      <c r="W23" s="52">
        <f t="shared" si="7"/>
        <v>-4</v>
      </c>
      <c r="X23" s="32">
        <f t="shared" si="11"/>
        <v>19</v>
      </c>
      <c r="Z23" s="16" t="str">
        <f t="shared" si="8"/>
        <v/>
      </c>
    </row>
    <row r="24">
      <c r="A24" s="32">
        <f t="shared" si="9"/>
        <v>20</v>
      </c>
      <c r="B24" s="33" t="s">
        <v>109</v>
      </c>
      <c r="C24" s="34">
        <v>89.0</v>
      </c>
      <c r="D24" s="34">
        <v>7.0</v>
      </c>
      <c r="E24" s="35">
        <f t="shared" si="2"/>
        <v>11.83333333</v>
      </c>
      <c r="F24" s="95">
        <v>1.0</v>
      </c>
      <c r="G24" s="96">
        <v>4.0</v>
      </c>
      <c r="H24" s="97">
        <v>0.0</v>
      </c>
      <c r="I24" s="96">
        <v>5.0</v>
      </c>
      <c r="J24" s="96">
        <v>6.0</v>
      </c>
      <c r="K24" s="96">
        <v>6.0</v>
      </c>
      <c r="L24" s="98">
        <v>17.0</v>
      </c>
      <c r="M24" s="96">
        <v>2.0</v>
      </c>
      <c r="N24" s="34">
        <f t="shared" ref="N24:O24" si="28">C24+L24</f>
        <v>106</v>
      </c>
      <c r="O24" s="34">
        <f t="shared" si="28"/>
        <v>9</v>
      </c>
      <c r="P24" s="49" t="s">
        <v>58</v>
      </c>
      <c r="Q24" s="49" t="s">
        <v>58</v>
      </c>
      <c r="R24" s="49"/>
      <c r="S24" s="50">
        <f t="shared" si="4"/>
        <v>6</v>
      </c>
      <c r="T24" s="52">
        <f t="shared" si="5"/>
        <v>0</v>
      </c>
      <c r="U24" s="52"/>
      <c r="V24" s="50">
        <f t="shared" si="6"/>
        <v>2</v>
      </c>
      <c r="W24" s="52">
        <f t="shared" si="7"/>
        <v>12</v>
      </c>
      <c r="X24" s="32">
        <f t="shared" si="11"/>
        <v>20</v>
      </c>
      <c r="Z24" s="16" t="str">
        <f t="shared" si="8"/>
        <v/>
      </c>
    </row>
    <row r="25">
      <c r="A25" s="32">
        <f t="shared" si="9"/>
        <v>21</v>
      </c>
      <c r="B25" s="33" t="s">
        <v>90</v>
      </c>
      <c r="C25" s="34">
        <v>88.0</v>
      </c>
      <c r="D25" s="34">
        <v>10.0</v>
      </c>
      <c r="E25" s="35">
        <f t="shared" si="2"/>
        <v>10.71428571</v>
      </c>
      <c r="F25" s="95">
        <v>1.0</v>
      </c>
      <c r="G25" s="96">
        <v>4.0</v>
      </c>
      <c r="H25" s="97">
        <v>0.0</v>
      </c>
      <c r="I25" s="96">
        <v>7.0</v>
      </c>
      <c r="J25" s="96">
        <v>6.0</v>
      </c>
      <c r="K25" s="96">
        <v>1.0</v>
      </c>
      <c r="L25" s="98">
        <v>14.0</v>
      </c>
      <c r="M25" s="96">
        <v>2.0</v>
      </c>
      <c r="N25" s="34">
        <f t="shared" ref="N25:O25" si="29">C25+L25</f>
        <v>102</v>
      </c>
      <c r="O25" s="34">
        <f t="shared" si="29"/>
        <v>12</v>
      </c>
      <c r="P25" s="49" t="s">
        <v>58</v>
      </c>
      <c r="Q25" s="49" t="s">
        <v>58</v>
      </c>
      <c r="R25" s="49"/>
      <c r="S25" s="50">
        <f t="shared" si="4"/>
        <v>7</v>
      </c>
      <c r="T25" s="52">
        <f t="shared" si="5"/>
        <v>1</v>
      </c>
      <c r="U25" s="52"/>
      <c r="V25" s="50">
        <f t="shared" si="6"/>
        <v>0</v>
      </c>
      <c r="W25" s="52">
        <f t="shared" si="7"/>
        <v>-11</v>
      </c>
      <c r="X25" s="32">
        <f t="shared" si="11"/>
        <v>21</v>
      </c>
      <c r="Z25" s="16" t="str">
        <f t="shared" si="8"/>
        <v/>
      </c>
    </row>
    <row r="26">
      <c r="A26" s="32">
        <f t="shared" si="9"/>
        <v>22</v>
      </c>
      <c r="B26" s="33" t="s">
        <v>132</v>
      </c>
      <c r="C26" s="34">
        <v>88.0</v>
      </c>
      <c r="D26" s="34">
        <v>8.0</v>
      </c>
      <c r="E26" s="35">
        <f t="shared" si="2"/>
        <v>11.66666667</v>
      </c>
      <c r="F26" s="95">
        <v>1.0</v>
      </c>
      <c r="G26" s="96">
        <v>4.0</v>
      </c>
      <c r="H26" s="97">
        <v>0.0</v>
      </c>
      <c r="I26" s="96">
        <v>7.0</v>
      </c>
      <c r="J26" s="96">
        <v>2.0</v>
      </c>
      <c r="K26" s="96">
        <v>6.0</v>
      </c>
      <c r="L26" s="98">
        <v>15.0</v>
      </c>
      <c r="M26" s="96">
        <v>2.0</v>
      </c>
      <c r="N26" s="34">
        <f t="shared" ref="N26:O26" si="30">C26+L26</f>
        <v>103</v>
      </c>
      <c r="O26" s="34">
        <f t="shared" si="30"/>
        <v>10</v>
      </c>
      <c r="P26" s="49" t="s">
        <v>58</v>
      </c>
      <c r="Q26" s="49" t="s">
        <v>58</v>
      </c>
      <c r="R26" s="49"/>
      <c r="S26" s="50">
        <f t="shared" si="4"/>
        <v>6</v>
      </c>
      <c r="T26" s="52">
        <f t="shared" si="5"/>
        <v>0</v>
      </c>
      <c r="U26" s="52"/>
      <c r="V26" s="50">
        <f t="shared" si="6"/>
        <v>2</v>
      </c>
      <c r="W26" s="52">
        <f t="shared" si="7"/>
        <v>-1</v>
      </c>
      <c r="X26" s="32">
        <f t="shared" si="11"/>
        <v>22</v>
      </c>
      <c r="Z26" s="16" t="str">
        <f t="shared" si="8"/>
        <v/>
      </c>
    </row>
    <row r="27">
      <c r="A27" s="32">
        <f t="shared" si="9"/>
        <v>23</v>
      </c>
      <c r="B27" s="33" t="s">
        <v>100</v>
      </c>
      <c r="C27" s="34">
        <v>88.0</v>
      </c>
      <c r="D27" s="34">
        <v>8.0</v>
      </c>
      <c r="E27" s="35">
        <f t="shared" si="2"/>
        <v>13</v>
      </c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1">C27+L27</f>
        <v>97</v>
      </c>
      <c r="O27" s="34">
        <f t="shared" si="31"/>
        <v>8</v>
      </c>
      <c r="P27" s="49" t="s">
        <v>58</v>
      </c>
      <c r="Q27" s="49" t="s">
        <v>58</v>
      </c>
      <c r="R27" s="49"/>
      <c r="S27" s="50">
        <f t="shared" si="4"/>
        <v>4</v>
      </c>
      <c r="T27" s="52">
        <f t="shared" si="5"/>
        <v>0</v>
      </c>
      <c r="U27" s="52"/>
      <c r="V27" s="50">
        <f t="shared" si="6"/>
        <v>4</v>
      </c>
      <c r="W27" s="52">
        <f t="shared" si="7"/>
        <v>6</v>
      </c>
      <c r="X27" s="32">
        <f t="shared" si="11"/>
        <v>23</v>
      </c>
      <c r="Z27" s="16" t="str">
        <f t="shared" si="8"/>
        <v/>
      </c>
    </row>
    <row r="28">
      <c r="A28" s="32">
        <f t="shared" si="9"/>
        <v>24</v>
      </c>
      <c r="B28" s="33" t="s">
        <v>108</v>
      </c>
      <c r="C28" s="34">
        <v>88.0</v>
      </c>
      <c r="D28" s="34">
        <v>6.0</v>
      </c>
      <c r="E28" s="35">
        <f t="shared" si="2"/>
        <v>11.28571429</v>
      </c>
      <c r="F28" s="95">
        <v>1.0</v>
      </c>
      <c r="G28" s="96">
        <v>4.0</v>
      </c>
      <c r="H28" s="97">
        <v>0.0</v>
      </c>
      <c r="I28" s="96">
        <v>5.0</v>
      </c>
      <c r="J28" s="96">
        <v>2.0</v>
      </c>
      <c r="K28" s="96">
        <v>1.0</v>
      </c>
      <c r="L28" s="98">
        <v>8.0</v>
      </c>
      <c r="M28" s="96">
        <v>0.0</v>
      </c>
      <c r="N28" s="34">
        <f t="shared" ref="N28:O28" si="32">C28+L28</f>
        <v>96</v>
      </c>
      <c r="O28" s="34">
        <f t="shared" si="32"/>
        <v>6</v>
      </c>
      <c r="P28" s="49" t="s">
        <v>58</v>
      </c>
      <c r="Q28" s="49" t="s">
        <v>58</v>
      </c>
      <c r="R28" s="49"/>
      <c r="S28" s="50">
        <f t="shared" si="4"/>
        <v>7</v>
      </c>
      <c r="T28" s="52">
        <f t="shared" si="5"/>
        <v>0</v>
      </c>
      <c r="U28" s="52"/>
      <c r="V28" s="50">
        <f t="shared" si="6"/>
        <v>1</v>
      </c>
      <c r="W28" s="52">
        <f t="shared" si="7"/>
        <v>4</v>
      </c>
      <c r="X28" s="32">
        <f t="shared" si="11"/>
        <v>24</v>
      </c>
      <c r="Z28" s="16" t="str">
        <f t="shared" si="8"/>
        <v/>
      </c>
    </row>
    <row r="29">
      <c r="A29" s="32">
        <f t="shared" si="9"/>
        <v>25</v>
      </c>
      <c r="B29" s="33" t="s">
        <v>66</v>
      </c>
      <c r="C29" s="34">
        <v>87.0</v>
      </c>
      <c r="D29" s="34">
        <v>7.0</v>
      </c>
      <c r="E29" s="35">
        <f t="shared" si="2"/>
        <v>10.875</v>
      </c>
      <c r="F29" s="95">
        <v>1.0</v>
      </c>
      <c r="G29" s="96">
        <v>10.0</v>
      </c>
      <c r="H29" s="97">
        <v>0.0</v>
      </c>
      <c r="I29" s="96">
        <v>1.0</v>
      </c>
      <c r="J29" s="96">
        <v>7.0</v>
      </c>
      <c r="K29" s="96">
        <v>1.0</v>
      </c>
      <c r="L29" s="98">
        <v>9.0</v>
      </c>
      <c r="M29" s="96">
        <v>1.0</v>
      </c>
      <c r="N29" s="34">
        <f t="shared" ref="N29:O29" si="33">C29+L29</f>
        <v>96</v>
      </c>
      <c r="O29" s="34">
        <f t="shared" si="33"/>
        <v>8</v>
      </c>
      <c r="P29" s="49" t="s">
        <v>58</v>
      </c>
      <c r="Q29" s="49" t="s">
        <v>58</v>
      </c>
      <c r="R29" s="49"/>
      <c r="S29" s="50">
        <f t="shared" si="4"/>
        <v>8</v>
      </c>
      <c r="T29" s="52">
        <f t="shared" si="5"/>
        <v>0</v>
      </c>
      <c r="U29" s="52"/>
      <c r="V29" s="50">
        <f t="shared" si="6"/>
        <v>0</v>
      </c>
      <c r="W29" s="52">
        <f t="shared" si="7"/>
        <v>8</v>
      </c>
      <c r="X29" s="32">
        <f t="shared" si="11"/>
        <v>25</v>
      </c>
      <c r="Z29" s="16" t="str">
        <f t="shared" si="8"/>
        <v/>
      </c>
    </row>
    <row r="30">
      <c r="A30" s="32">
        <f t="shared" si="9"/>
        <v>26</v>
      </c>
      <c r="B30" s="33" t="s">
        <v>138</v>
      </c>
      <c r="C30" s="34">
        <v>86.0</v>
      </c>
      <c r="D30" s="34">
        <v>8.0</v>
      </c>
      <c r="E30" s="35">
        <f t="shared" si="2"/>
        <v>11.33333333</v>
      </c>
      <c r="F30" s="95">
        <v>1.0</v>
      </c>
      <c r="G30" s="96">
        <v>10.0</v>
      </c>
      <c r="H30" s="97">
        <v>0.0</v>
      </c>
      <c r="I30" s="96">
        <v>6.0</v>
      </c>
      <c r="J30" s="96">
        <v>6.0</v>
      </c>
      <c r="K30" s="96">
        <v>1.0</v>
      </c>
      <c r="L30" s="98">
        <v>13.0</v>
      </c>
      <c r="M30" s="96">
        <v>1.0</v>
      </c>
      <c r="N30" s="34">
        <f t="shared" ref="N30:O30" si="34">C30+L30</f>
        <v>99</v>
      </c>
      <c r="O30" s="34">
        <f t="shared" si="34"/>
        <v>9</v>
      </c>
      <c r="P30" s="49" t="s">
        <v>58</v>
      </c>
      <c r="Q30" s="49" t="s">
        <v>58</v>
      </c>
      <c r="R30" s="49"/>
      <c r="S30" s="50">
        <f t="shared" si="4"/>
        <v>6</v>
      </c>
      <c r="T30" s="52">
        <f t="shared" si="5"/>
        <v>0</v>
      </c>
      <c r="U30" s="52"/>
      <c r="V30" s="50">
        <f t="shared" si="6"/>
        <v>2</v>
      </c>
      <c r="W30" s="52">
        <f t="shared" si="7"/>
        <v>-6</v>
      </c>
      <c r="X30" s="32">
        <f t="shared" si="11"/>
        <v>26</v>
      </c>
      <c r="Z30" s="16" t="str">
        <f t="shared" si="8"/>
        <v/>
      </c>
    </row>
    <row r="31">
      <c r="A31" s="32">
        <f t="shared" si="9"/>
        <v>27</v>
      </c>
      <c r="B31" s="33" t="s">
        <v>89</v>
      </c>
      <c r="C31" s="34">
        <v>86.0</v>
      </c>
      <c r="D31" s="34">
        <v>8.0</v>
      </c>
      <c r="E31" s="35">
        <f t="shared" si="2"/>
        <v>11.33333333</v>
      </c>
      <c r="F31" s="95">
        <v>1.0</v>
      </c>
      <c r="G31" s="96">
        <v>10.0</v>
      </c>
      <c r="H31" s="97">
        <v>0.0</v>
      </c>
      <c r="I31" s="96">
        <v>6.0</v>
      </c>
      <c r="J31" s="96">
        <v>7.0</v>
      </c>
      <c r="K31" s="96">
        <v>6.0</v>
      </c>
      <c r="L31" s="98">
        <v>19.0</v>
      </c>
      <c r="M31" s="96">
        <v>3.0</v>
      </c>
      <c r="N31" s="34">
        <f t="shared" ref="N31:O31" si="35">C31+L31</f>
        <v>105</v>
      </c>
      <c r="O31" s="34">
        <f t="shared" si="35"/>
        <v>11</v>
      </c>
      <c r="P31" s="49" t="s">
        <v>58</v>
      </c>
      <c r="Q31" s="49" t="s">
        <v>58</v>
      </c>
      <c r="R31" s="49"/>
      <c r="S31" s="50">
        <f t="shared" si="4"/>
        <v>6</v>
      </c>
      <c r="T31" s="52">
        <f t="shared" si="5"/>
        <v>0</v>
      </c>
      <c r="U31" s="52"/>
      <c r="V31" s="50">
        <f t="shared" si="6"/>
        <v>2</v>
      </c>
      <c r="W31" s="52">
        <f t="shared" si="7"/>
        <v>0</v>
      </c>
      <c r="X31" s="32">
        <f t="shared" si="11"/>
        <v>27</v>
      </c>
      <c r="Z31" s="16" t="str">
        <f t="shared" si="8"/>
        <v/>
      </c>
    </row>
    <row r="32">
      <c r="A32" s="32">
        <f t="shared" si="9"/>
        <v>28</v>
      </c>
      <c r="B32" s="33" t="s">
        <v>136</v>
      </c>
      <c r="C32" s="34">
        <v>86.0</v>
      </c>
      <c r="D32" s="34">
        <v>7.0</v>
      </c>
      <c r="E32" s="35">
        <f t="shared" si="2"/>
        <v>10.75</v>
      </c>
      <c r="F32" s="95">
        <v>1.0</v>
      </c>
      <c r="G32" s="96">
        <v>10.0</v>
      </c>
      <c r="H32" s="97">
        <v>0.0</v>
      </c>
      <c r="I32" s="96">
        <v>1.0</v>
      </c>
      <c r="J32" s="96">
        <v>6.0</v>
      </c>
      <c r="K32" s="96">
        <v>6.0</v>
      </c>
      <c r="L32" s="98">
        <v>13.0</v>
      </c>
      <c r="M32" s="96">
        <v>1.0</v>
      </c>
      <c r="N32" s="34">
        <f t="shared" ref="N32:O32" si="36">C32+L32</f>
        <v>99</v>
      </c>
      <c r="O32" s="34">
        <f t="shared" si="36"/>
        <v>8</v>
      </c>
      <c r="P32" s="49" t="s">
        <v>58</v>
      </c>
      <c r="Q32" s="49" t="s">
        <v>58</v>
      </c>
      <c r="R32" s="49"/>
      <c r="S32" s="50">
        <f t="shared" si="4"/>
        <v>8</v>
      </c>
      <c r="T32" s="52">
        <f t="shared" si="5"/>
        <v>0</v>
      </c>
      <c r="U32" s="52"/>
      <c r="V32" s="50">
        <f t="shared" si="6"/>
        <v>0</v>
      </c>
      <c r="W32" s="52">
        <f t="shared" si="7"/>
        <v>-2</v>
      </c>
      <c r="X32" s="32">
        <f t="shared" si="11"/>
        <v>28</v>
      </c>
      <c r="Z32" s="16" t="str">
        <f t="shared" si="8"/>
        <v/>
      </c>
    </row>
    <row r="33">
      <c r="A33" s="32">
        <f t="shared" si="9"/>
        <v>29</v>
      </c>
      <c r="B33" s="33" t="s">
        <v>99</v>
      </c>
      <c r="C33" s="34">
        <v>85.0</v>
      </c>
      <c r="D33" s="34">
        <v>8.0</v>
      </c>
      <c r="E33" s="35">
        <f t="shared" si="2"/>
        <v>11.16666667</v>
      </c>
      <c r="F33" s="95">
        <v>2.0</v>
      </c>
      <c r="G33" s="96">
        <v>5.0</v>
      </c>
      <c r="H33" s="97">
        <v>0.0</v>
      </c>
      <c r="I33" s="96">
        <v>5.0</v>
      </c>
      <c r="J33" s="96">
        <v>6.0</v>
      </c>
      <c r="K33" s="96">
        <v>4.0</v>
      </c>
      <c r="L33" s="98">
        <v>15.0</v>
      </c>
      <c r="M33" s="96">
        <v>1.0</v>
      </c>
      <c r="N33" s="34">
        <f t="shared" ref="N33:O33" si="37">C33+L33</f>
        <v>100</v>
      </c>
      <c r="O33" s="34">
        <f t="shared" si="37"/>
        <v>9</v>
      </c>
      <c r="P33" s="49" t="s">
        <v>58</v>
      </c>
      <c r="Q33" s="49" t="s">
        <v>58</v>
      </c>
      <c r="R33" s="49"/>
      <c r="S33" s="50">
        <f t="shared" si="4"/>
        <v>6</v>
      </c>
      <c r="T33" s="52">
        <f t="shared" si="5"/>
        <v>0</v>
      </c>
      <c r="U33" s="52"/>
      <c r="V33" s="50">
        <f t="shared" si="6"/>
        <v>2</v>
      </c>
      <c r="W33" s="52">
        <f t="shared" si="7"/>
        <v>1</v>
      </c>
      <c r="X33" s="32">
        <f t="shared" si="11"/>
        <v>29</v>
      </c>
      <c r="Z33" s="16" t="str">
        <f t="shared" si="8"/>
        <v/>
      </c>
    </row>
    <row r="34">
      <c r="A34" s="32">
        <f t="shared" si="9"/>
        <v>30</v>
      </c>
      <c r="B34" s="33" t="s">
        <v>134</v>
      </c>
      <c r="C34" s="34">
        <v>85.0</v>
      </c>
      <c r="D34" s="34">
        <v>7.0</v>
      </c>
      <c r="E34" s="35">
        <f t="shared" si="2"/>
        <v>12.25</v>
      </c>
      <c r="F34" s="95">
        <v>2.0</v>
      </c>
      <c r="G34" s="96">
        <v>5.0</v>
      </c>
      <c r="H34" s="97">
        <v>0.0</v>
      </c>
      <c r="I34" s="96">
        <v>7.0</v>
      </c>
      <c r="J34" s="96">
        <v>6.0</v>
      </c>
      <c r="K34" s="96">
        <v>6.0</v>
      </c>
      <c r="L34" s="98">
        <v>19.0</v>
      </c>
      <c r="M34" s="96">
        <v>3.0</v>
      </c>
      <c r="N34" s="34">
        <f t="shared" ref="N34:O34" si="38">C34+L34</f>
        <v>104</v>
      </c>
      <c r="O34" s="34">
        <f t="shared" si="38"/>
        <v>10</v>
      </c>
      <c r="P34" s="49" t="s">
        <v>58</v>
      </c>
      <c r="Q34" s="49" t="s">
        <v>58</v>
      </c>
      <c r="R34" s="49"/>
      <c r="S34" s="50">
        <f t="shared" si="4"/>
        <v>4</v>
      </c>
      <c r="T34" s="52">
        <f t="shared" si="5"/>
        <v>0</v>
      </c>
      <c r="U34" s="52"/>
      <c r="V34" s="50">
        <f t="shared" si="6"/>
        <v>4</v>
      </c>
      <c r="W34" s="52">
        <f t="shared" si="7"/>
        <v>8</v>
      </c>
      <c r="X34" s="32">
        <f t="shared" si="11"/>
        <v>30</v>
      </c>
      <c r="Z34" s="16" t="str">
        <f t="shared" si="8"/>
        <v/>
      </c>
    </row>
    <row r="35">
      <c r="A35" s="32">
        <f t="shared" si="9"/>
        <v>31</v>
      </c>
      <c r="B35" s="33" t="s">
        <v>106</v>
      </c>
      <c r="C35" s="34">
        <v>85.0</v>
      </c>
      <c r="D35" s="34">
        <v>7.0</v>
      </c>
      <c r="E35" s="35">
        <f t="shared" si="2"/>
        <v>10.8</v>
      </c>
      <c r="F35" s="95">
        <v>1.0</v>
      </c>
      <c r="G35" s="96">
        <v>5.0</v>
      </c>
      <c r="H35" s="97">
        <v>0.0</v>
      </c>
      <c r="I35" s="96">
        <v>7.0</v>
      </c>
      <c r="J35" s="96">
        <v>0.0</v>
      </c>
      <c r="K35" s="96">
        <v>4.0</v>
      </c>
      <c r="L35" s="98">
        <v>11.0</v>
      </c>
      <c r="M35" s="96">
        <v>1.0</v>
      </c>
      <c r="N35" s="34">
        <f t="shared" ref="N35:O35" si="39">C35+L35</f>
        <v>96</v>
      </c>
      <c r="O35" s="34">
        <f t="shared" si="39"/>
        <v>8</v>
      </c>
      <c r="P35" s="49" t="s">
        <v>58</v>
      </c>
      <c r="Q35" s="49" t="s">
        <v>58</v>
      </c>
      <c r="R35" s="49"/>
      <c r="S35" s="50">
        <f t="shared" si="4"/>
        <v>5</v>
      </c>
      <c r="T35" s="52">
        <f t="shared" si="5"/>
        <v>1</v>
      </c>
      <c r="U35" s="52"/>
      <c r="V35" s="50">
        <f t="shared" si="6"/>
        <v>2</v>
      </c>
      <c r="W35" s="52">
        <f t="shared" si="7"/>
        <v>-6</v>
      </c>
      <c r="X35" s="32">
        <f t="shared" si="11"/>
        <v>31</v>
      </c>
      <c r="Z35" s="16" t="str">
        <f t="shared" si="8"/>
        <v/>
      </c>
    </row>
    <row r="36">
      <c r="A36" s="32">
        <f t="shared" si="9"/>
        <v>32</v>
      </c>
      <c r="B36" s="33" t="s">
        <v>103</v>
      </c>
      <c r="C36" s="34">
        <v>85.0</v>
      </c>
      <c r="D36" s="34">
        <v>7.0</v>
      </c>
      <c r="E36" s="35">
        <f t="shared" si="2"/>
        <v>10.5</v>
      </c>
      <c r="F36" s="95">
        <v>5.0</v>
      </c>
      <c r="G36" s="96">
        <v>0.0</v>
      </c>
      <c r="H36" s="97">
        <v>13.0</v>
      </c>
      <c r="I36" s="96">
        <v>0.0</v>
      </c>
      <c r="J36" s="96">
        <v>0.0</v>
      </c>
      <c r="K36" s="96">
        <v>0.0</v>
      </c>
      <c r="L36" s="98">
        <v>13.0</v>
      </c>
      <c r="M36" s="96">
        <v>0.0</v>
      </c>
      <c r="N36" s="34">
        <f t="shared" ref="N36:O36" si="40">C36+L36</f>
        <v>98</v>
      </c>
      <c r="O36" s="34">
        <f t="shared" si="40"/>
        <v>7</v>
      </c>
      <c r="P36" s="49" t="s">
        <v>58</v>
      </c>
      <c r="Q36" s="49" t="s">
        <v>58</v>
      </c>
      <c r="R36" s="49"/>
      <c r="S36" s="50">
        <f t="shared" si="4"/>
        <v>6</v>
      </c>
      <c r="T36" s="52">
        <f t="shared" si="5"/>
        <v>1</v>
      </c>
      <c r="U36" s="52"/>
      <c r="V36" s="50">
        <f t="shared" si="6"/>
        <v>1</v>
      </c>
      <c r="W36" s="52">
        <f t="shared" si="7"/>
        <v>5</v>
      </c>
      <c r="X36" s="32">
        <f t="shared" si="11"/>
        <v>32</v>
      </c>
      <c r="Z36" s="16" t="str">
        <f t="shared" si="8"/>
        <v/>
      </c>
    </row>
    <row r="37">
      <c r="A37" s="32">
        <f t="shared" si="9"/>
        <v>33</v>
      </c>
      <c r="B37" s="33" t="s">
        <v>49</v>
      </c>
      <c r="C37" s="34">
        <v>84.0</v>
      </c>
      <c r="D37" s="34">
        <v>10.0</v>
      </c>
      <c r="E37" s="35">
        <f t="shared" si="2"/>
        <v>10.71428571</v>
      </c>
      <c r="F37" s="95">
        <v>1.0</v>
      </c>
      <c r="G37" s="96">
        <v>5.0</v>
      </c>
      <c r="H37" s="97">
        <v>0.0</v>
      </c>
      <c r="I37" s="96">
        <v>5.0</v>
      </c>
      <c r="J37" s="96">
        <v>0.0</v>
      </c>
      <c r="K37" s="96">
        <v>6.0</v>
      </c>
      <c r="L37" s="98">
        <v>11.0</v>
      </c>
      <c r="M37" s="96">
        <v>1.0</v>
      </c>
      <c r="N37" s="34">
        <f t="shared" ref="N37:O37" si="41">C37+L37</f>
        <v>95</v>
      </c>
      <c r="O37" s="34">
        <f t="shared" si="41"/>
        <v>11</v>
      </c>
      <c r="P37" s="49" t="s">
        <v>58</v>
      </c>
      <c r="Q37" s="49" t="s">
        <v>58</v>
      </c>
      <c r="R37" s="49"/>
      <c r="S37" s="50">
        <f t="shared" si="4"/>
        <v>7</v>
      </c>
      <c r="T37" s="52">
        <f t="shared" si="5"/>
        <v>0</v>
      </c>
      <c r="U37" s="52"/>
      <c r="V37" s="50">
        <f t="shared" si="6"/>
        <v>1</v>
      </c>
      <c r="W37" s="52">
        <f t="shared" si="7"/>
        <v>-11</v>
      </c>
      <c r="X37" s="32">
        <f t="shared" si="11"/>
        <v>33</v>
      </c>
      <c r="Z37" s="16" t="str">
        <f t="shared" si="8"/>
        <v/>
      </c>
    </row>
    <row r="38">
      <c r="A38" s="32">
        <f t="shared" si="9"/>
        <v>34</v>
      </c>
      <c r="B38" s="33" t="s">
        <v>137</v>
      </c>
      <c r="C38" s="34">
        <v>84.0</v>
      </c>
      <c r="D38" s="34">
        <v>7.0</v>
      </c>
      <c r="E38" s="35">
        <f t="shared" si="2"/>
        <v>11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2">C38+L38</f>
        <v>93</v>
      </c>
      <c r="O38" s="34">
        <f t="shared" si="42"/>
        <v>7</v>
      </c>
      <c r="P38" s="49" t="s">
        <v>58</v>
      </c>
      <c r="Q38" s="49" t="s">
        <v>58</v>
      </c>
      <c r="R38" s="49"/>
      <c r="S38" s="50">
        <f t="shared" si="4"/>
        <v>6</v>
      </c>
      <c r="T38" s="52">
        <f t="shared" si="5"/>
        <v>0</v>
      </c>
      <c r="U38" s="52"/>
      <c r="V38" s="50">
        <f t="shared" si="6"/>
        <v>2</v>
      </c>
      <c r="W38" s="52">
        <f t="shared" si="7"/>
        <v>-10</v>
      </c>
      <c r="X38" s="32">
        <f t="shared" si="11"/>
        <v>34</v>
      </c>
      <c r="Z38" s="16" t="str">
        <f t="shared" si="8"/>
        <v/>
      </c>
    </row>
    <row r="39">
      <c r="A39" s="32">
        <f t="shared" si="9"/>
        <v>35</v>
      </c>
      <c r="B39" s="33" t="s">
        <v>143</v>
      </c>
      <c r="C39" s="34">
        <v>81.0</v>
      </c>
      <c r="D39" s="34">
        <v>5.0</v>
      </c>
      <c r="E39" s="35">
        <f t="shared" si="2"/>
        <v>12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3">C39+L39</f>
        <v>90</v>
      </c>
      <c r="O39" s="34">
        <f t="shared" si="43"/>
        <v>5</v>
      </c>
      <c r="P39" s="49" t="s">
        <v>58</v>
      </c>
      <c r="Q39" s="49" t="s">
        <v>58</v>
      </c>
      <c r="R39" s="49"/>
      <c r="S39" s="50">
        <f t="shared" si="4"/>
        <v>3</v>
      </c>
      <c r="T39" s="52">
        <f t="shared" si="5"/>
        <v>0</v>
      </c>
      <c r="U39" s="52"/>
      <c r="V39" s="50">
        <f t="shared" si="6"/>
        <v>5</v>
      </c>
      <c r="W39" s="52">
        <f t="shared" si="7"/>
        <v>7</v>
      </c>
      <c r="X39" s="32">
        <f t="shared" si="11"/>
        <v>35</v>
      </c>
      <c r="Z39" s="16" t="str">
        <f t="shared" si="8"/>
        <v/>
      </c>
    </row>
    <row r="40">
      <c r="A40" s="32">
        <f t="shared" si="9"/>
        <v>36</v>
      </c>
      <c r="B40" s="33" t="s">
        <v>96</v>
      </c>
      <c r="C40" s="34">
        <v>80.0</v>
      </c>
      <c r="D40" s="34">
        <v>6.0</v>
      </c>
      <c r="E40" s="35">
        <f t="shared" si="2"/>
        <v>10.33333333</v>
      </c>
      <c r="F40" s="95">
        <v>2.0</v>
      </c>
      <c r="G40" s="96">
        <v>6.0</v>
      </c>
      <c r="H40" s="97">
        <v>0.0</v>
      </c>
      <c r="I40" s="96">
        <v>3.0</v>
      </c>
      <c r="J40" s="96">
        <v>4.0</v>
      </c>
      <c r="K40" s="96">
        <v>6.0</v>
      </c>
      <c r="L40" s="98">
        <v>13.0</v>
      </c>
      <c r="M40" s="96">
        <v>1.0</v>
      </c>
      <c r="N40" s="34">
        <f t="shared" ref="N40:O40" si="44">C40+L40</f>
        <v>93</v>
      </c>
      <c r="O40" s="34">
        <f t="shared" si="44"/>
        <v>7</v>
      </c>
      <c r="P40" s="49" t="s">
        <v>58</v>
      </c>
      <c r="Q40" s="49" t="s">
        <v>58</v>
      </c>
      <c r="R40" s="49"/>
      <c r="S40" s="50">
        <f t="shared" si="4"/>
        <v>6</v>
      </c>
      <c r="T40" s="52">
        <f t="shared" si="5"/>
        <v>0</v>
      </c>
      <c r="U40" s="52"/>
      <c r="V40" s="50">
        <f t="shared" si="6"/>
        <v>2</v>
      </c>
      <c r="W40" s="52">
        <f t="shared" si="7"/>
        <v>-5</v>
      </c>
      <c r="X40" s="32">
        <f t="shared" si="11"/>
        <v>36</v>
      </c>
      <c r="Z40" s="16" t="str">
        <f t="shared" si="8"/>
        <v/>
      </c>
    </row>
    <row r="41">
      <c r="A41" s="32">
        <f t="shared" si="9"/>
        <v>37</v>
      </c>
      <c r="B41" s="33" t="s">
        <v>113</v>
      </c>
      <c r="C41" s="34">
        <v>80.0</v>
      </c>
      <c r="D41" s="34">
        <v>5.0</v>
      </c>
      <c r="E41" s="35">
        <f t="shared" si="2"/>
        <v>11</v>
      </c>
      <c r="F41" s="95">
        <v>1.0</v>
      </c>
      <c r="G41" s="96">
        <v>6.0</v>
      </c>
      <c r="H41" s="97">
        <v>0.0</v>
      </c>
      <c r="I41" s="96">
        <v>6.0</v>
      </c>
      <c r="J41" s="96">
        <v>4.0</v>
      </c>
      <c r="K41" s="96">
        <v>4.0</v>
      </c>
      <c r="L41" s="98">
        <v>14.0</v>
      </c>
      <c r="M41" s="96">
        <v>1.0</v>
      </c>
      <c r="N41" s="34">
        <f t="shared" ref="N41:O41" si="45">C41+L41</f>
        <v>94</v>
      </c>
      <c r="O41" s="34">
        <f t="shared" si="45"/>
        <v>6</v>
      </c>
      <c r="P41" s="49" t="s">
        <v>58</v>
      </c>
      <c r="Q41" s="49" t="s">
        <v>58</v>
      </c>
      <c r="R41" s="49"/>
      <c r="S41" s="50">
        <f t="shared" si="4"/>
        <v>4</v>
      </c>
      <c r="T41" s="52">
        <f t="shared" si="5"/>
        <v>0</v>
      </c>
      <c r="U41" s="52"/>
      <c r="V41" s="50">
        <f t="shared" si="6"/>
        <v>4</v>
      </c>
      <c r="W41" s="52">
        <f t="shared" si="7"/>
        <v>6</v>
      </c>
      <c r="X41" s="32">
        <f t="shared" si="11"/>
        <v>37</v>
      </c>
      <c r="Z41" s="16" t="str">
        <f t="shared" si="8"/>
        <v/>
      </c>
    </row>
    <row r="42">
      <c r="A42" s="32">
        <f t="shared" si="9"/>
        <v>38</v>
      </c>
      <c r="B42" s="33" t="s">
        <v>72</v>
      </c>
      <c r="C42" s="34">
        <v>79.0</v>
      </c>
      <c r="D42" s="34">
        <v>7.0</v>
      </c>
      <c r="E42" s="35">
        <f t="shared" si="2"/>
        <v>9.5</v>
      </c>
      <c r="F42" s="95">
        <v>5.0</v>
      </c>
      <c r="G42" s="96">
        <v>0.0</v>
      </c>
      <c r="H42" s="97">
        <v>13.0</v>
      </c>
      <c r="I42" s="96">
        <v>0.0</v>
      </c>
      <c r="J42" s="96">
        <v>0.0</v>
      </c>
      <c r="K42" s="96">
        <v>0.0</v>
      </c>
      <c r="L42" s="98">
        <v>13.0</v>
      </c>
      <c r="M42" s="96">
        <v>0.0</v>
      </c>
      <c r="N42" s="34">
        <f t="shared" ref="N42:O42" si="46">C42+L42</f>
        <v>92</v>
      </c>
      <c r="O42" s="34">
        <f t="shared" si="46"/>
        <v>7</v>
      </c>
      <c r="P42" s="49" t="s">
        <v>58</v>
      </c>
      <c r="Q42" s="49" t="s">
        <v>58</v>
      </c>
      <c r="R42" s="49"/>
      <c r="S42" s="50">
        <f t="shared" si="4"/>
        <v>6</v>
      </c>
      <c r="T42" s="52">
        <f t="shared" si="5"/>
        <v>1</v>
      </c>
      <c r="U42" s="52"/>
      <c r="V42" s="50">
        <f t="shared" si="6"/>
        <v>1</v>
      </c>
      <c r="W42" s="52">
        <f t="shared" si="7"/>
        <v>-4</v>
      </c>
      <c r="X42" s="32">
        <f t="shared" si="11"/>
        <v>38</v>
      </c>
      <c r="Z42" s="16" t="str">
        <f t="shared" si="8"/>
        <v/>
      </c>
    </row>
    <row r="43">
      <c r="A43" s="32">
        <f t="shared" si="9"/>
        <v>39</v>
      </c>
      <c r="B43" s="33" t="s">
        <v>129</v>
      </c>
      <c r="C43" s="34">
        <v>79.0</v>
      </c>
      <c r="D43" s="34">
        <v>7.0</v>
      </c>
      <c r="E43" s="35">
        <f t="shared" si="2"/>
        <v>10.16666667</v>
      </c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7">C43+L43</f>
        <v>88</v>
      </c>
      <c r="O43" s="34">
        <f t="shared" si="47"/>
        <v>7</v>
      </c>
      <c r="P43" s="49" t="s">
        <v>58</v>
      </c>
      <c r="Q43" s="49" t="s">
        <v>58</v>
      </c>
      <c r="R43" s="49"/>
      <c r="S43" s="50">
        <f t="shared" si="4"/>
        <v>6</v>
      </c>
      <c r="T43" s="52">
        <f t="shared" si="5"/>
        <v>0</v>
      </c>
      <c r="U43" s="52"/>
      <c r="V43" s="50">
        <f t="shared" si="6"/>
        <v>2</v>
      </c>
      <c r="W43" s="52">
        <f t="shared" si="7"/>
        <v>-4</v>
      </c>
      <c r="X43" s="32">
        <f t="shared" si="11"/>
        <v>39</v>
      </c>
      <c r="Z43" s="16" t="str">
        <f t="shared" si="8"/>
        <v/>
      </c>
    </row>
    <row r="44">
      <c r="A44" s="32">
        <f t="shared" si="9"/>
        <v>40</v>
      </c>
      <c r="B44" s="33" t="s">
        <v>105</v>
      </c>
      <c r="C44" s="34">
        <v>79.0</v>
      </c>
      <c r="D44" s="34">
        <v>6.0</v>
      </c>
      <c r="E44" s="35">
        <f t="shared" si="2"/>
        <v>11.33333333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8">C44+L44</f>
        <v>88</v>
      </c>
      <c r="O44" s="34">
        <f t="shared" si="48"/>
        <v>6</v>
      </c>
      <c r="P44" s="49" t="s">
        <v>58</v>
      </c>
      <c r="Q44" s="49" t="s">
        <v>58</v>
      </c>
      <c r="R44" s="49"/>
      <c r="S44" s="50">
        <f t="shared" si="4"/>
        <v>3</v>
      </c>
      <c r="T44" s="52">
        <f t="shared" si="5"/>
        <v>0</v>
      </c>
      <c r="U44" s="52"/>
      <c r="V44" s="50">
        <f t="shared" si="6"/>
        <v>5</v>
      </c>
      <c r="W44" s="52">
        <f t="shared" si="7"/>
        <v>-4</v>
      </c>
      <c r="X44" s="32">
        <f t="shared" si="11"/>
        <v>40</v>
      </c>
      <c r="Z44" s="16" t="str">
        <f t="shared" si="8"/>
        <v/>
      </c>
    </row>
    <row r="45">
      <c r="A45" s="32">
        <f t="shared" si="9"/>
        <v>41</v>
      </c>
      <c r="B45" s="33" t="s">
        <v>47</v>
      </c>
      <c r="C45" s="34">
        <v>79.0</v>
      </c>
      <c r="D45" s="34">
        <v>5.0</v>
      </c>
      <c r="E45" s="35">
        <f t="shared" si="2"/>
        <v>11.33333333</v>
      </c>
      <c r="F45" s="95">
        <v>1.0</v>
      </c>
      <c r="G45" s="96">
        <v>6.0</v>
      </c>
      <c r="H45" s="97">
        <v>0.0</v>
      </c>
      <c r="I45" s="96">
        <v>6.0</v>
      </c>
      <c r="J45" s="96">
        <v>6.0</v>
      </c>
      <c r="K45" s="96">
        <v>6.0</v>
      </c>
      <c r="L45" s="98">
        <v>18.0</v>
      </c>
      <c r="M45" s="96">
        <v>3.0</v>
      </c>
      <c r="N45" s="34">
        <f t="shared" ref="N45:O45" si="49">C45+L45</f>
        <v>97</v>
      </c>
      <c r="O45" s="34">
        <f t="shared" si="49"/>
        <v>8</v>
      </c>
      <c r="P45" s="49" t="s">
        <v>58</v>
      </c>
      <c r="Q45" s="49" t="s">
        <v>58</v>
      </c>
      <c r="R45" s="49"/>
      <c r="S45" s="50">
        <f t="shared" si="4"/>
        <v>3</v>
      </c>
      <c r="T45" s="52">
        <f t="shared" si="5"/>
        <v>0</v>
      </c>
      <c r="U45" s="52"/>
      <c r="V45" s="50">
        <f t="shared" si="6"/>
        <v>5</v>
      </c>
      <c r="W45" s="52">
        <f t="shared" si="7"/>
        <v>7</v>
      </c>
      <c r="X45" s="32">
        <f t="shared" si="11"/>
        <v>41</v>
      </c>
      <c r="Z45" s="16" t="str">
        <f t="shared" si="8"/>
        <v/>
      </c>
    </row>
    <row r="46">
      <c r="A46" s="32">
        <f t="shared" si="9"/>
        <v>42</v>
      </c>
      <c r="B46" s="33" t="s">
        <v>139</v>
      </c>
      <c r="C46" s="34">
        <v>77.0</v>
      </c>
      <c r="D46" s="34">
        <v>5.0</v>
      </c>
      <c r="E46" s="35">
        <f t="shared" si="2"/>
        <v>10.25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0">C46+L46</f>
        <v>86</v>
      </c>
      <c r="O46" s="34">
        <f t="shared" si="50"/>
        <v>5</v>
      </c>
      <c r="P46" s="49" t="s">
        <v>58</v>
      </c>
      <c r="Q46" s="49" t="s">
        <v>58</v>
      </c>
      <c r="R46" s="49"/>
      <c r="S46" s="50">
        <f t="shared" si="4"/>
        <v>4</v>
      </c>
      <c r="T46" s="52">
        <f t="shared" si="5"/>
        <v>0</v>
      </c>
      <c r="U46" s="52"/>
      <c r="V46" s="50">
        <f t="shared" si="6"/>
        <v>4</v>
      </c>
      <c r="W46" s="52">
        <f t="shared" si="7"/>
        <v>-1</v>
      </c>
      <c r="X46" s="32">
        <f t="shared" si="11"/>
        <v>42</v>
      </c>
      <c r="Z46" s="16" t="str">
        <f t="shared" si="8"/>
        <v/>
      </c>
    </row>
    <row r="47">
      <c r="A47" s="32">
        <f t="shared" si="9"/>
        <v>43</v>
      </c>
      <c r="B47" s="33" t="s">
        <v>133</v>
      </c>
      <c r="C47" s="34">
        <v>76.0</v>
      </c>
      <c r="D47" s="34">
        <v>5.0</v>
      </c>
      <c r="E47" s="35">
        <f t="shared" si="2"/>
        <v>10</v>
      </c>
      <c r="F47" s="95">
        <v>1.0</v>
      </c>
      <c r="G47" s="96">
        <v>6.0</v>
      </c>
      <c r="H47" s="97">
        <v>0.0</v>
      </c>
      <c r="I47" s="96">
        <v>3.0</v>
      </c>
      <c r="J47" s="96">
        <v>6.0</v>
      </c>
      <c r="K47" s="96">
        <v>4.0</v>
      </c>
      <c r="L47" s="98">
        <v>13.0</v>
      </c>
      <c r="M47" s="96">
        <v>1.0</v>
      </c>
      <c r="N47" s="34">
        <f t="shared" ref="N47:O47" si="51">C47+L47</f>
        <v>89</v>
      </c>
      <c r="O47" s="34">
        <f t="shared" si="51"/>
        <v>6</v>
      </c>
      <c r="P47" s="49" t="s">
        <v>58</v>
      </c>
      <c r="Q47" s="49" t="s">
        <v>58</v>
      </c>
      <c r="R47" s="49"/>
      <c r="S47" s="50">
        <f t="shared" si="4"/>
        <v>4</v>
      </c>
      <c r="T47" s="52">
        <f t="shared" si="5"/>
        <v>0</v>
      </c>
      <c r="U47" s="52"/>
      <c r="V47" s="50">
        <f t="shared" si="6"/>
        <v>4</v>
      </c>
      <c r="W47" s="52">
        <f t="shared" si="7"/>
        <v>-3</v>
      </c>
      <c r="X47" s="32">
        <f t="shared" si="11"/>
        <v>43</v>
      </c>
      <c r="Z47" s="16" t="str">
        <f t="shared" si="8"/>
        <v/>
      </c>
    </row>
    <row r="48">
      <c r="A48" s="32">
        <f t="shared" si="9"/>
        <v>44</v>
      </c>
      <c r="B48" s="33" t="s">
        <v>144</v>
      </c>
      <c r="C48" s="34">
        <v>76.0</v>
      </c>
      <c r="D48" s="34">
        <v>5.0</v>
      </c>
      <c r="E48" s="35">
        <f t="shared" si="2"/>
        <v>9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2">C48+L48</f>
        <v>85</v>
      </c>
      <c r="O48" s="34">
        <f t="shared" si="52"/>
        <v>5</v>
      </c>
      <c r="P48" s="49" t="s">
        <v>58</v>
      </c>
      <c r="Q48" s="49" t="s">
        <v>58</v>
      </c>
      <c r="R48" s="49"/>
      <c r="S48" s="50">
        <f t="shared" si="4"/>
        <v>4</v>
      </c>
      <c r="T48" s="52">
        <f t="shared" si="5"/>
        <v>1</v>
      </c>
      <c r="U48" s="52"/>
      <c r="V48" s="50">
        <f t="shared" si="6"/>
        <v>3</v>
      </c>
      <c r="W48" s="52">
        <f t="shared" si="7"/>
        <v>-5</v>
      </c>
      <c r="X48" s="32">
        <f t="shared" si="11"/>
        <v>44</v>
      </c>
      <c r="Z48" s="16" t="str">
        <f t="shared" si="8"/>
        <v/>
      </c>
    </row>
    <row r="49">
      <c r="A49" s="32">
        <f t="shared" si="9"/>
        <v>45</v>
      </c>
      <c r="B49" s="33" t="s">
        <v>122</v>
      </c>
      <c r="C49" s="34">
        <v>76.0</v>
      </c>
      <c r="D49" s="34">
        <v>4.0</v>
      </c>
      <c r="E49" s="35">
        <f t="shared" si="2"/>
        <v>10.33333333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3">C49+L49</f>
        <v>85</v>
      </c>
      <c r="O49" s="34">
        <f t="shared" si="53"/>
        <v>4</v>
      </c>
      <c r="P49" s="49" t="s">
        <v>58</v>
      </c>
      <c r="Q49" s="49" t="s">
        <v>58</v>
      </c>
      <c r="R49" s="49"/>
      <c r="S49" s="50">
        <f t="shared" si="4"/>
        <v>3</v>
      </c>
      <c r="T49" s="52">
        <f t="shared" si="5"/>
        <v>0</v>
      </c>
      <c r="U49" s="52"/>
      <c r="V49" s="50">
        <f t="shared" si="6"/>
        <v>5</v>
      </c>
      <c r="W49" s="52">
        <f t="shared" si="7"/>
        <v>0</v>
      </c>
      <c r="X49" s="32">
        <f t="shared" si="11"/>
        <v>45</v>
      </c>
      <c r="Z49" s="16" t="str">
        <f t="shared" si="8"/>
        <v/>
      </c>
    </row>
    <row r="50">
      <c r="A50" s="32">
        <f t="shared" si="9"/>
        <v>46</v>
      </c>
      <c r="B50" s="33" t="s">
        <v>54</v>
      </c>
      <c r="C50" s="34">
        <v>75.0</v>
      </c>
      <c r="D50" s="34">
        <v>10.0</v>
      </c>
      <c r="E50" s="35">
        <f t="shared" si="2"/>
        <v>9.375</v>
      </c>
      <c r="F50" s="95">
        <v>1.0</v>
      </c>
      <c r="G50" s="96">
        <v>7.0</v>
      </c>
      <c r="H50" s="97">
        <v>0.0</v>
      </c>
      <c r="I50" s="96">
        <v>6.0</v>
      </c>
      <c r="J50" s="96">
        <v>2.0</v>
      </c>
      <c r="K50" s="96">
        <v>4.0</v>
      </c>
      <c r="L50" s="98">
        <v>12.0</v>
      </c>
      <c r="M50" s="96">
        <v>1.0</v>
      </c>
      <c r="N50" s="34">
        <f t="shared" ref="N50:O50" si="54">C50+L50</f>
        <v>87</v>
      </c>
      <c r="O50" s="34">
        <f t="shared" si="54"/>
        <v>11</v>
      </c>
      <c r="P50" s="49" t="s">
        <v>58</v>
      </c>
      <c r="Q50" s="49" t="s">
        <v>58</v>
      </c>
      <c r="R50" s="49"/>
      <c r="S50" s="50">
        <f t="shared" si="4"/>
        <v>8</v>
      </c>
      <c r="T50" s="52">
        <f t="shared" si="5"/>
        <v>0</v>
      </c>
      <c r="U50" s="52"/>
      <c r="V50" s="50">
        <f t="shared" si="6"/>
        <v>0</v>
      </c>
      <c r="W50" s="52">
        <f t="shared" si="7"/>
        <v>-2</v>
      </c>
      <c r="X50" s="32">
        <f t="shared" si="11"/>
        <v>46</v>
      </c>
      <c r="Z50" s="16" t="str">
        <f t="shared" si="8"/>
        <v/>
      </c>
    </row>
    <row r="51">
      <c r="A51" s="32">
        <f t="shared" si="9"/>
        <v>47</v>
      </c>
      <c r="B51" s="33" t="s">
        <v>135</v>
      </c>
      <c r="C51" s="34">
        <v>69.0</v>
      </c>
      <c r="D51" s="34">
        <v>4.0</v>
      </c>
      <c r="E51" s="35">
        <f t="shared" si="2"/>
        <v>8.25</v>
      </c>
      <c r="F51" s="95">
        <v>1.0</v>
      </c>
      <c r="G51" s="96">
        <v>7.0</v>
      </c>
      <c r="H51" s="97">
        <v>0.0</v>
      </c>
      <c r="I51" s="96">
        <v>6.0</v>
      </c>
      <c r="J51" s="96">
        <v>6.0</v>
      </c>
      <c r="K51" s="96">
        <v>6.0</v>
      </c>
      <c r="L51" s="98">
        <v>18.0</v>
      </c>
      <c r="M51" s="96">
        <v>3.0</v>
      </c>
      <c r="N51" s="34">
        <f t="shared" ref="N51:O51" si="55">C51+L51</f>
        <v>87</v>
      </c>
      <c r="O51" s="34">
        <f t="shared" si="55"/>
        <v>7</v>
      </c>
      <c r="P51" s="49" t="s">
        <v>58</v>
      </c>
      <c r="Q51" s="49" t="s">
        <v>58</v>
      </c>
      <c r="R51" s="49"/>
      <c r="S51" s="50">
        <f t="shared" si="4"/>
        <v>4</v>
      </c>
      <c r="T51" s="52">
        <f t="shared" si="5"/>
        <v>0</v>
      </c>
      <c r="U51" s="52"/>
      <c r="V51" s="50">
        <f t="shared" si="6"/>
        <v>4</v>
      </c>
      <c r="W51" s="52">
        <f t="shared" si="7"/>
        <v>0</v>
      </c>
      <c r="X51" s="32">
        <f t="shared" si="11"/>
        <v>47</v>
      </c>
      <c r="Z51" s="16" t="str">
        <f t="shared" si="8"/>
        <v/>
      </c>
    </row>
    <row r="52">
      <c r="A52" s="32">
        <f t="shared" si="9"/>
        <v>48</v>
      </c>
      <c r="B52" s="33" t="s">
        <v>93</v>
      </c>
      <c r="C52" s="34">
        <v>69.0</v>
      </c>
      <c r="D52" s="34">
        <v>2.0</v>
      </c>
      <c r="E52" s="35">
        <f t="shared" si="2"/>
        <v>6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6">C52+L52</f>
        <v>78</v>
      </c>
      <c r="O52" s="34">
        <f t="shared" si="56"/>
        <v>2</v>
      </c>
      <c r="P52" s="49" t="s">
        <v>58</v>
      </c>
      <c r="Q52" s="49" t="s">
        <v>58</v>
      </c>
      <c r="R52" s="49"/>
      <c r="S52" s="50">
        <f t="shared" si="4"/>
        <v>1</v>
      </c>
      <c r="T52" s="52">
        <f t="shared" si="5"/>
        <v>0</v>
      </c>
      <c r="U52" s="52"/>
      <c r="V52" s="50">
        <f t="shared" si="6"/>
        <v>7</v>
      </c>
      <c r="W52" s="52">
        <f t="shared" si="7"/>
        <v>1</v>
      </c>
      <c r="X52" s="32">
        <f t="shared" si="11"/>
        <v>48</v>
      </c>
      <c r="Z52" s="16" t="str">
        <f t="shared" si="8"/>
        <v/>
      </c>
    </row>
    <row r="53">
      <c r="A53" s="32">
        <f t="shared" si="9"/>
        <v>49</v>
      </c>
      <c r="B53" s="33" t="s">
        <v>145</v>
      </c>
      <c r="C53" s="34">
        <v>68.0</v>
      </c>
      <c r="D53" s="34">
        <v>6.0</v>
      </c>
      <c r="E53" s="35">
        <f t="shared" si="2"/>
        <v>8.428571429</v>
      </c>
      <c r="F53" s="95">
        <v>1.0</v>
      </c>
      <c r="G53" s="96">
        <v>7.0</v>
      </c>
      <c r="H53" s="97">
        <v>0.0</v>
      </c>
      <c r="I53" s="96">
        <v>3.0</v>
      </c>
      <c r="J53" s="96">
        <v>2.0</v>
      </c>
      <c r="K53" s="96">
        <v>6.0</v>
      </c>
      <c r="L53" s="98">
        <v>11.0</v>
      </c>
      <c r="M53" s="96">
        <v>1.0</v>
      </c>
      <c r="N53" s="34">
        <f t="shared" ref="N53:O53" si="57">C53+L53</f>
        <v>79</v>
      </c>
      <c r="O53" s="34">
        <f t="shared" si="57"/>
        <v>7</v>
      </c>
      <c r="P53" s="49" t="s">
        <v>58</v>
      </c>
      <c r="Q53" s="49" t="s">
        <v>58</v>
      </c>
      <c r="R53" s="49"/>
      <c r="S53" s="50">
        <f t="shared" si="4"/>
        <v>7</v>
      </c>
      <c r="T53" s="52">
        <f t="shared" si="5"/>
        <v>0</v>
      </c>
      <c r="U53" s="52"/>
      <c r="V53" s="50">
        <f t="shared" si="6"/>
        <v>1</v>
      </c>
      <c r="W53" s="52">
        <f t="shared" si="7"/>
        <v>1</v>
      </c>
      <c r="X53" s="32">
        <f t="shared" si="11"/>
        <v>49</v>
      </c>
      <c r="Z53" s="16" t="str">
        <f t="shared" si="8"/>
        <v/>
      </c>
    </row>
    <row r="54">
      <c r="A54" s="32">
        <f t="shared" si="9"/>
        <v>50</v>
      </c>
      <c r="B54" s="33" t="s">
        <v>148</v>
      </c>
      <c r="C54" s="34">
        <v>67.0</v>
      </c>
      <c r="D54" s="34">
        <v>1.0</v>
      </c>
      <c r="E54" s="35">
        <f t="shared" si="2"/>
        <v>7.75</v>
      </c>
      <c r="F54" s="95">
        <v>4.0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8">C54+L54</f>
        <v>76</v>
      </c>
      <c r="O54" s="34">
        <f t="shared" si="58"/>
        <v>1</v>
      </c>
      <c r="P54" s="49" t="s">
        <v>58</v>
      </c>
      <c r="Q54" s="49" t="s">
        <v>58</v>
      </c>
      <c r="R54" s="49"/>
      <c r="S54" s="50">
        <f t="shared" si="4"/>
        <v>4</v>
      </c>
      <c r="T54" s="52">
        <f t="shared" si="5"/>
        <v>0</v>
      </c>
      <c r="U54" s="52"/>
      <c r="V54" s="50">
        <f t="shared" si="6"/>
        <v>4</v>
      </c>
      <c r="W54" s="52">
        <f t="shared" si="7"/>
        <v>-4</v>
      </c>
      <c r="X54" s="32">
        <f t="shared" si="11"/>
        <v>50</v>
      </c>
      <c r="Z54" s="16" t="str">
        <f t="shared" si="8"/>
        <v/>
      </c>
    </row>
    <row r="55">
      <c r="A55" s="32">
        <f t="shared" si="9"/>
        <v>51</v>
      </c>
      <c r="B55" s="33" t="s">
        <v>95</v>
      </c>
      <c r="C55" s="34">
        <v>67.0</v>
      </c>
      <c r="D55" s="34">
        <v>1.0</v>
      </c>
      <c r="E55" s="35">
        <f t="shared" si="2"/>
        <v>0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9">C55+L55</f>
        <v>76</v>
      </c>
      <c r="O55" s="34">
        <f t="shared" si="59"/>
        <v>1</v>
      </c>
      <c r="P55" s="49" t="s">
        <v>58</v>
      </c>
      <c r="Q55" s="49" t="s">
        <v>58</v>
      </c>
      <c r="R55" s="49"/>
      <c r="S55" s="50">
        <f t="shared" si="4"/>
        <v>1</v>
      </c>
      <c r="T55" s="52">
        <f t="shared" si="5"/>
        <v>1</v>
      </c>
      <c r="U55" s="52"/>
      <c r="V55" s="50">
        <f t="shared" si="6"/>
        <v>6</v>
      </c>
      <c r="W55" s="52">
        <f t="shared" si="7"/>
        <v>0</v>
      </c>
      <c r="X55" s="32">
        <f t="shared" si="11"/>
        <v>51</v>
      </c>
      <c r="Z55" s="16" t="str">
        <f t="shared" si="8"/>
        <v/>
      </c>
    </row>
    <row r="56">
      <c r="A56" s="32">
        <f t="shared" si="9"/>
        <v>52</v>
      </c>
      <c r="B56" s="33" t="s">
        <v>142</v>
      </c>
      <c r="C56" s="34">
        <v>65.0</v>
      </c>
      <c r="D56" s="34">
        <v>6.0</v>
      </c>
      <c r="E56" s="35">
        <f t="shared" si="2"/>
        <v>7.833333333</v>
      </c>
      <c r="F56" s="95">
        <v>1.0</v>
      </c>
      <c r="G56" s="96">
        <v>7.0</v>
      </c>
      <c r="H56" s="97">
        <v>0.0</v>
      </c>
      <c r="I56" s="96">
        <v>3.0</v>
      </c>
      <c r="J56" s="96">
        <v>6.0</v>
      </c>
      <c r="K56" s="96">
        <v>4.0</v>
      </c>
      <c r="L56" s="98">
        <v>13.0</v>
      </c>
      <c r="M56" s="96">
        <v>1.0</v>
      </c>
      <c r="N56" s="34">
        <f t="shared" ref="N56:O56" si="60">C56+L56</f>
        <v>78</v>
      </c>
      <c r="O56" s="34">
        <f t="shared" si="60"/>
        <v>7</v>
      </c>
      <c r="P56" s="49" t="s">
        <v>58</v>
      </c>
      <c r="Q56" s="49" t="s">
        <v>58</v>
      </c>
      <c r="R56" s="49"/>
      <c r="S56" s="50">
        <f t="shared" si="4"/>
        <v>6</v>
      </c>
      <c r="T56" s="52">
        <f t="shared" si="5"/>
        <v>0</v>
      </c>
      <c r="U56" s="52"/>
      <c r="V56" s="50">
        <f t="shared" si="6"/>
        <v>2</v>
      </c>
      <c r="W56" s="52">
        <f t="shared" si="7"/>
        <v>0</v>
      </c>
      <c r="X56" s="32">
        <f t="shared" si="11"/>
        <v>52</v>
      </c>
      <c r="Z56" s="16" t="str">
        <f t="shared" si="8"/>
        <v/>
      </c>
    </row>
    <row r="57">
      <c r="A57" s="32">
        <f t="shared" si="9"/>
        <v>53</v>
      </c>
      <c r="B57" s="33" t="s">
        <v>147</v>
      </c>
      <c r="C57" s="34">
        <v>65.0</v>
      </c>
      <c r="D57" s="34">
        <v>2.0</v>
      </c>
      <c r="E57" s="35">
        <f t="shared" si="2"/>
        <v>5.5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1">C57+L57</f>
        <v>74</v>
      </c>
      <c r="O57" s="34">
        <f t="shared" si="61"/>
        <v>2</v>
      </c>
      <c r="P57" s="49" t="s">
        <v>58</v>
      </c>
      <c r="Q57" s="49" t="s">
        <v>58</v>
      </c>
      <c r="R57" s="49"/>
      <c r="S57" s="50">
        <f t="shared" si="4"/>
        <v>2</v>
      </c>
      <c r="T57" s="52">
        <f t="shared" si="5"/>
        <v>0</v>
      </c>
      <c r="U57" s="52"/>
      <c r="V57" s="50">
        <f t="shared" si="6"/>
        <v>6</v>
      </c>
      <c r="W57" s="52">
        <f t="shared" si="7"/>
        <v>0</v>
      </c>
      <c r="X57" s="32">
        <f t="shared" si="11"/>
        <v>53</v>
      </c>
      <c r="Z57" s="16" t="str">
        <f t="shared" si="8"/>
        <v/>
      </c>
    </row>
    <row r="58">
      <c r="A58" s="32">
        <f t="shared" si="9"/>
        <v>54</v>
      </c>
      <c r="B58" s="33" t="s">
        <v>101</v>
      </c>
      <c r="C58" s="34">
        <v>65.0</v>
      </c>
      <c r="D58" s="34">
        <v>1.0</v>
      </c>
      <c r="E58" s="35">
        <f t="shared" si="2"/>
        <v>7.25</v>
      </c>
      <c r="F58" s="95">
        <v>1.0</v>
      </c>
      <c r="G58" s="96">
        <v>8.0</v>
      </c>
      <c r="H58" s="97">
        <v>0.0</v>
      </c>
      <c r="I58" s="96">
        <v>0.0</v>
      </c>
      <c r="J58" s="96">
        <v>1.0</v>
      </c>
      <c r="K58" s="96">
        <v>6.0</v>
      </c>
      <c r="L58" s="98">
        <v>7.0</v>
      </c>
      <c r="M58" s="96">
        <v>1.0</v>
      </c>
      <c r="N58" s="34">
        <f t="shared" ref="N58:O58" si="62">C58+L58</f>
        <v>72</v>
      </c>
      <c r="O58" s="34">
        <f t="shared" si="62"/>
        <v>2</v>
      </c>
      <c r="P58" s="49" t="s">
        <v>58</v>
      </c>
      <c r="Q58" s="49" t="s">
        <v>58</v>
      </c>
      <c r="R58" s="49"/>
      <c r="S58" s="50">
        <f t="shared" si="4"/>
        <v>4</v>
      </c>
      <c r="T58" s="52">
        <f t="shared" si="5"/>
        <v>0</v>
      </c>
      <c r="U58" s="52"/>
      <c r="V58" s="50">
        <f t="shared" si="6"/>
        <v>4</v>
      </c>
      <c r="W58" s="52">
        <f t="shared" si="7"/>
        <v>0</v>
      </c>
      <c r="X58" s="32">
        <f t="shared" si="11"/>
        <v>54</v>
      </c>
      <c r="Z58" s="16" t="str">
        <f t="shared" si="8"/>
        <v/>
      </c>
    </row>
    <row r="59">
      <c r="A59" s="32">
        <f t="shared" si="9"/>
        <v>55</v>
      </c>
      <c r="B59" s="33" t="s">
        <v>130</v>
      </c>
      <c r="C59" s="34">
        <v>63.0</v>
      </c>
      <c r="D59" s="34">
        <v>0.0</v>
      </c>
      <c r="E59" s="35">
        <f t="shared" si="2"/>
        <v>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3">C59+L59</f>
        <v>72</v>
      </c>
      <c r="O59" s="34">
        <f t="shared" si="63"/>
        <v>0</v>
      </c>
      <c r="P59" s="49" t="s">
        <v>58</v>
      </c>
      <c r="Q59" s="49" t="s">
        <v>58</v>
      </c>
      <c r="R59" s="49"/>
      <c r="S59" s="50">
        <f t="shared" si="4"/>
        <v>0</v>
      </c>
      <c r="T59" s="52">
        <f t="shared" si="5"/>
        <v>0</v>
      </c>
      <c r="U59" s="52"/>
      <c r="V59" s="50">
        <f t="shared" si="6"/>
        <v>8</v>
      </c>
      <c r="W59" s="52">
        <f t="shared" si="7"/>
        <v>0</v>
      </c>
      <c r="X59" s="32">
        <f t="shared" si="11"/>
        <v>55</v>
      </c>
      <c r="Z59" s="16" t="str">
        <f t="shared" si="8"/>
        <v/>
      </c>
    </row>
    <row r="60">
      <c r="A60" s="32">
        <f t="shared" si="9"/>
        <v>56</v>
      </c>
      <c r="B60" s="33" t="s">
        <v>140</v>
      </c>
      <c r="C60" s="34">
        <v>63.0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4">C60+L60</f>
        <v>72</v>
      </c>
      <c r="O60" s="34">
        <f t="shared" si="64"/>
        <v>0</v>
      </c>
      <c r="P60" s="49" t="s">
        <v>58</v>
      </c>
      <c r="Q60" s="49" t="s">
        <v>58</v>
      </c>
      <c r="R60" s="49"/>
      <c r="S60" s="50">
        <f t="shared" si="4"/>
        <v>0</v>
      </c>
      <c r="T60" s="52">
        <f t="shared" si="5"/>
        <v>0</v>
      </c>
      <c r="U60" s="52"/>
      <c r="V60" s="50">
        <f t="shared" si="6"/>
        <v>8</v>
      </c>
      <c r="W60" s="52">
        <f t="shared" si="7"/>
        <v>0</v>
      </c>
      <c r="X60" s="32">
        <f t="shared" si="11"/>
        <v>56</v>
      </c>
      <c r="Z60" s="16" t="str">
        <f t="shared" si="8"/>
        <v/>
      </c>
    </row>
    <row r="61">
      <c r="A61" s="32">
        <f t="shared" si="9"/>
        <v>57</v>
      </c>
      <c r="B61" s="33" t="s">
        <v>75</v>
      </c>
      <c r="C61" s="34">
        <v>63.0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5">C61+L61</f>
        <v>72</v>
      </c>
      <c r="O61" s="34">
        <f t="shared" si="65"/>
        <v>0</v>
      </c>
      <c r="P61" s="49" t="s">
        <v>58</v>
      </c>
      <c r="Q61" s="49" t="s">
        <v>58</v>
      </c>
      <c r="R61" s="49"/>
      <c r="S61" s="50">
        <f t="shared" si="4"/>
        <v>0</v>
      </c>
      <c r="T61" s="52">
        <f t="shared" si="5"/>
        <v>0</v>
      </c>
      <c r="U61" s="52"/>
      <c r="V61" s="50">
        <f t="shared" si="6"/>
        <v>8</v>
      </c>
      <c r="W61" s="52">
        <f t="shared" si="7"/>
        <v>0</v>
      </c>
      <c r="X61" s="32">
        <f t="shared" si="11"/>
        <v>57</v>
      </c>
      <c r="Z61" s="16" t="str">
        <f t="shared" si="8"/>
        <v/>
      </c>
    </row>
    <row r="62">
      <c r="A62" s="32">
        <f t="shared" si="9"/>
        <v>58</v>
      </c>
      <c r="B62" s="33" t="s">
        <v>121</v>
      </c>
      <c r="C62" s="34">
        <v>63.0</v>
      </c>
      <c r="D62" s="34">
        <v>0.0</v>
      </c>
      <c r="E62" s="35">
        <f t="shared" si="2"/>
        <v>0</v>
      </c>
      <c r="F62" s="95">
        <v>2.0</v>
      </c>
      <c r="G62" s="96">
        <v>8.0</v>
      </c>
      <c r="H62" s="97">
        <v>0.0</v>
      </c>
      <c r="I62" s="96">
        <v>6.0</v>
      </c>
      <c r="J62" s="96">
        <v>6.0</v>
      </c>
      <c r="K62" s="96">
        <v>6.0</v>
      </c>
      <c r="L62" s="98">
        <v>18.0</v>
      </c>
      <c r="M62" s="96">
        <v>3.0</v>
      </c>
      <c r="N62" s="34">
        <f t="shared" ref="N62:O62" si="66">C62+L62</f>
        <v>81</v>
      </c>
      <c r="O62" s="34">
        <f t="shared" si="66"/>
        <v>3</v>
      </c>
      <c r="P62" s="49" t="s">
        <v>58</v>
      </c>
      <c r="Q62" s="49" t="s">
        <v>58</v>
      </c>
      <c r="R62" s="49"/>
      <c r="S62" s="50">
        <f t="shared" si="4"/>
        <v>1</v>
      </c>
      <c r="T62" s="52">
        <f t="shared" si="5"/>
        <v>0</v>
      </c>
      <c r="U62" s="52"/>
      <c r="V62" s="50">
        <f t="shared" si="6"/>
        <v>7</v>
      </c>
      <c r="W62" s="52">
        <f t="shared" si="7"/>
        <v>0</v>
      </c>
      <c r="X62" s="32">
        <f t="shared" si="11"/>
        <v>58</v>
      </c>
      <c r="Z62" s="16" t="str">
        <f t="shared" si="8"/>
        <v/>
      </c>
    </row>
    <row r="63">
      <c r="A63" s="32">
        <f t="shared" si="9"/>
        <v>59</v>
      </c>
      <c r="B63" s="33" t="s">
        <v>141</v>
      </c>
      <c r="C63" s="34">
        <v>63.0</v>
      </c>
      <c r="D63" s="34">
        <v>0.0</v>
      </c>
      <c r="E63" s="35">
        <f t="shared" si="2"/>
        <v>0</v>
      </c>
      <c r="F63" s="95">
        <v>2.0</v>
      </c>
      <c r="G63" s="96">
        <v>8.0</v>
      </c>
      <c r="H63" s="97">
        <v>0.0</v>
      </c>
      <c r="I63" s="96">
        <v>0.0</v>
      </c>
      <c r="J63" s="96">
        <v>6.0</v>
      </c>
      <c r="K63" s="96">
        <v>1.0</v>
      </c>
      <c r="L63" s="98">
        <v>7.0</v>
      </c>
      <c r="M63" s="96">
        <v>1.0</v>
      </c>
      <c r="N63" s="34">
        <f t="shared" ref="N63:O63" si="67">C63+L63</f>
        <v>70</v>
      </c>
      <c r="O63" s="34">
        <f t="shared" si="67"/>
        <v>1</v>
      </c>
      <c r="P63" s="49" t="s">
        <v>58</v>
      </c>
      <c r="Q63" s="49" t="s">
        <v>58</v>
      </c>
      <c r="R63" s="49"/>
      <c r="S63" s="50">
        <f t="shared" si="4"/>
        <v>1</v>
      </c>
      <c r="T63" s="52">
        <f t="shared" si="5"/>
        <v>0</v>
      </c>
      <c r="U63" s="52"/>
      <c r="V63" s="50">
        <f t="shared" si="6"/>
        <v>7</v>
      </c>
      <c r="W63" s="52">
        <f t="shared" si="7"/>
        <v>0</v>
      </c>
      <c r="X63" s="32">
        <f t="shared" si="11"/>
        <v>59</v>
      </c>
      <c r="Z63" s="16" t="str">
        <f t="shared" si="8"/>
        <v/>
      </c>
    </row>
    <row r="64">
      <c r="A64" s="32">
        <f t="shared" si="9"/>
        <v>60</v>
      </c>
      <c r="B64" s="33" t="s">
        <v>69</v>
      </c>
      <c r="C64" s="34">
        <v>63.0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8">C64+L64</f>
        <v>72</v>
      </c>
      <c r="O64" s="34">
        <f t="shared" si="68"/>
        <v>0</v>
      </c>
      <c r="P64" s="49" t="s">
        <v>58</v>
      </c>
      <c r="Q64" s="49" t="s">
        <v>58</v>
      </c>
      <c r="R64" s="49"/>
      <c r="S64" s="50">
        <f t="shared" si="4"/>
        <v>0</v>
      </c>
      <c r="T64" s="52">
        <f t="shared" si="5"/>
        <v>0</v>
      </c>
      <c r="U64" s="52"/>
      <c r="V64" s="50">
        <f t="shared" si="6"/>
        <v>8</v>
      </c>
      <c r="W64" s="52">
        <f t="shared" si="7"/>
        <v>1</v>
      </c>
      <c r="X64" s="32">
        <f t="shared" si="11"/>
        <v>60</v>
      </c>
      <c r="Z64" s="16" t="str">
        <f t="shared" si="8"/>
        <v/>
      </c>
    </row>
    <row r="65">
      <c r="A65" s="32">
        <f t="shared" si="9"/>
        <v>61</v>
      </c>
      <c r="B65" s="33" t="s">
        <v>104</v>
      </c>
      <c r="C65" s="34">
        <v>63.0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9">C65+L65</f>
        <v>72</v>
      </c>
      <c r="O65" s="34">
        <f t="shared" si="69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8</v>
      </c>
      <c r="W65" s="52">
        <f t="shared" si="7"/>
        <v>1</v>
      </c>
      <c r="X65" s="32">
        <f t="shared" si="11"/>
        <v>61</v>
      </c>
      <c r="Z65" s="16" t="str">
        <f t="shared" si="8"/>
        <v/>
      </c>
    </row>
    <row r="66">
      <c r="A66" s="32">
        <f t="shared" si="9"/>
        <v>62</v>
      </c>
      <c r="B66" s="33" t="s">
        <v>131</v>
      </c>
      <c r="C66" s="34">
        <v>63.0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0">C66+L66</f>
        <v>72</v>
      </c>
      <c r="O66" s="34">
        <f t="shared" si="70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8</v>
      </c>
      <c r="W66" s="52">
        <f t="shared" si="7"/>
        <v>1</v>
      </c>
      <c r="X66" s="32">
        <f t="shared" si="11"/>
        <v>62</v>
      </c>
      <c r="Z66" s="16" t="str">
        <f t="shared" si="8"/>
        <v/>
      </c>
    </row>
    <row r="67">
      <c r="A67" s="32">
        <f t="shared" si="9"/>
        <v>63</v>
      </c>
      <c r="B67" s="33" t="s">
        <v>146</v>
      </c>
      <c r="C67" s="34">
        <v>61.0</v>
      </c>
      <c r="D67" s="34">
        <v>1.0</v>
      </c>
      <c r="E67" s="35">
        <f t="shared" si="2"/>
        <v>3.5</v>
      </c>
      <c r="F67" s="95">
        <v>1.0</v>
      </c>
      <c r="G67" s="96">
        <v>8.0</v>
      </c>
      <c r="H67" s="97">
        <v>0.0</v>
      </c>
      <c r="I67" s="96">
        <v>6.0</v>
      </c>
      <c r="J67" s="96">
        <v>1.0</v>
      </c>
      <c r="K67" s="96">
        <v>1.0</v>
      </c>
      <c r="L67" s="98">
        <v>8.0</v>
      </c>
      <c r="M67" s="96">
        <v>1.0</v>
      </c>
      <c r="N67" s="34">
        <f t="shared" ref="N67:O67" si="71">C67+L67</f>
        <v>69</v>
      </c>
      <c r="O67" s="34">
        <f t="shared" si="71"/>
        <v>2</v>
      </c>
      <c r="P67" s="49" t="s">
        <v>58</v>
      </c>
      <c r="Q67" s="49" t="s">
        <v>58</v>
      </c>
      <c r="R67" s="49"/>
      <c r="S67" s="50">
        <f t="shared" si="4"/>
        <v>2</v>
      </c>
      <c r="T67" s="52">
        <f t="shared" si="5"/>
        <v>0</v>
      </c>
      <c r="U67" s="52"/>
      <c r="V67" s="50">
        <f t="shared" si="6"/>
        <v>6</v>
      </c>
      <c r="W67" s="52">
        <f t="shared" si="7"/>
        <v>-3</v>
      </c>
      <c r="X67" s="32">
        <f t="shared" si="11"/>
        <v>63</v>
      </c>
      <c r="Z67" s="16" t="str">
        <f t="shared" si="8"/>
        <v/>
      </c>
    </row>
    <row r="68">
      <c r="A68" s="32">
        <f t="shared" si="9"/>
        <v>64</v>
      </c>
      <c r="B68" s="33" t="s">
        <v>118</v>
      </c>
      <c r="C68" s="34">
        <v>61.0</v>
      </c>
      <c r="D68" s="34">
        <v>1.0</v>
      </c>
      <c r="E68" s="35">
        <f t="shared" si="2"/>
        <v>-2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2">C68+L68</f>
        <v>70</v>
      </c>
      <c r="O68" s="34">
        <f t="shared" si="72"/>
        <v>1</v>
      </c>
      <c r="P68" s="49" t="s">
        <v>58</v>
      </c>
      <c r="Q68" s="49" t="s">
        <v>58</v>
      </c>
      <c r="R68" s="49"/>
      <c r="S68" s="50">
        <f t="shared" si="4"/>
        <v>1</v>
      </c>
      <c r="T68" s="52">
        <f t="shared" si="5"/>
        <v>0</v>
      </c>
      <c r="U68" s="52"/>
      <c r="V68" s="50">
        <f t="shared" si="6"/>
        <v>7</v>
      </c>
      <c r="W68" s="52">
        <f t="shared" si="7"/>
        <v>0</v>
      </c>
      <c r="X68" s="32">
        <f t="shared" si="11"/>
        <v>64</v>
      </c>
      <c r="Z68" s="16" t="str">
        <f t="shared" si="8"/>
        <v/>
      </c>
    </row>
    <row r="69">
      <c r="A69" s="32">
        <f t="shared" si="9"/>
        <v>65</v>
      </c>
      <c r="B69" s="33" t="s">
        <v>86</v>
      </c>
      <c r="C69" s="34">
        <v>55.0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3">C69+L69</f>
        <v>64</v>
      </c>
      <c r="O69" s="34">
        <f t="shared" si="73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5</v>
      </c>
      <c r="W69" s="52">
        <f t="shared" si="7"/>
        <v>0</v>
      </c>
      <c r="X69" s="32">
        <f t="shared" si="11"/>
        <v>65</v>
      </c>
      <c r="Z69" s="16" t="str">
        <f t="shared" si="8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08/16/25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desc"",0)"),"Ted Shen")</f>
        <v>Ted Shen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IFERROR(__xludf.DUMMYFUNCTION("""COMPUTED_VALUE"""),1.0)</f>
        <v>1</v>
      </c>
      <c r="F81" s="1"/>
    </row>
    <row r="82">
      <c r="A82" s="1"/>
      <c r="B82" s="33" t="str">
        <f>IFERROR(__xludf.DUMMYFUNCTION("""COMPUTED_VALUE"""),"Adrian Tay")</f>
        <v>Adrian Tay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IFERROR(__xludf.DUMMYFUNCTION("""COMPUTED_VALUE"""),3.0)</f>
        <v>3</v>
      </c>
      <c r="F82" s="1"/>
    </row>
    <row r="83">
      <c r="A83" s="1"/>
      <c r="B83" s="33" t="str">
        <f>IFERROR(__xludf.DUMMYFUNCTION("""COMPUTED_VALUE"""),"Tom Le")</f>
        <v>Tom Le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IFERROR(__xludf.DUMMYFUNCTION("""COMPUTED_VALUE"""),10.0)</f>
        <v>10</v>
      </c>
      <c r="F83" s="1"/>
    </row>
    <row r="84">
      <c r="A84" s="1"/>
      <c r="B84" s="33" t="str">
        <f>IFERROR(__xludf.DUMMYFUNCTION("""COMPUTED_VALUE"""),"Suleman Alidina")</f>
        <v>Suleman Alidina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IFERROR(__xludf.DUMMYFUNCTION("""COMPUTED_VALUE"""),2.0)</f>
        <v>2</v>
      </c>
      <c r="F84" s="1"/>
    </row>
    <row r="85">
      <c r="A85" s="1"/>
      <c r="B85" s="33" t="str">
        <f>IFERROR(__xludf.DUMMYFUNCTION("""COMPUTED_VALUE"""),"Alejandro Mejia")</f>
        <v>Alejandro Mejia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IFERROR(__xludf.DUMMYFUNCTION("""COMPUTED_VALUE"""),8.0)</f>
        <v>8</v>
      </c>
      <c r="F85" s="1"/>
    </row>
    <row r="86">
      <c r="A86" s="1"/>
      <c r="B86" s="33" t="str">
        <f>IFERROR(__xludf.DUMMYFUNCTION("""COMPUTED_VALUE"""),"Oscar Bonilla")</f>
        <v>Oscar Bonilla</v>
      </c>
      <c r="C86" s="117">
        <f>IFERROR(__xludf.DUMMYFUNCTION("""COMPUTED_VALUE"""),18.0)</f>
        <v>18</v>
      </c>
      <c r="D86" s="117">
        <f>IFERROR(__xludf.DUMMYFUNCTION("""COMPUTED_VALUE"""),2.0)</f>
        <v>2</v>
      </c>
      <c r="E86" s="117">
        <f>IFERROR(__xludf.DUMMYFUNCTION("""COMPUTED_VALUE"""),11.0)</f>
        <v>11</v>
      </c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10"")"),"Erik Hoeckmann")</f>
        <v>Erik Hoeckmann</v>
      </c>
      <c r="C100" s="117">
        <f>IFERROR(__xludf.DUMMYFUNCTION("""COMPUTED_VALUE"""),12.0)</f>
        <v>12</v>
      </c>
      <c r="D100" s="117">
        <f t="shared" ref="D100:D109" si="74">VLOOKUP(B100,indirect($AC$2&amp;"!B$5:X$69"),23, false)</f>
        <v>32</v>
      </c>
      <c r="E100" s="117">
        <f t="shared" ref="E100:E109" si="75">VLOOKUP(B100,B$5:X$69,23, false)</f>
        <v>20</v>
      </c>
      <c r="F100" s="117">
        <f t="shared" ref="F100:F109" si="76">VLOOKUP(B100,indirect($AC$2&amp;"!B$5:U$70"),11, false)</f>
        <v>17</v>
      </c>
      <c r="G100" s="117">
        <f t="shared" ref="G100:G109" si="77">VLOOKUP(B100,indirect($AC$2&amp;"!B$5:U$70"),6, false)</f>
        <v>5</v>
      </c>
      <c r="L100" s="117" t="str">
        <f t="shared" ref="L100:L109" si="78">if(D100-E100=C100,"ok","Error")</f>
        <v>ok</v>
      </c>
    </row>
    <row r="101">
      <c r="A101" s="1"/>
      <c r="B101" s="33" t="str">
        <f>IFERROR(__xludf.DUMMYFUNCTION("""COMPUTED_VALUE"""),"Ted Shen")</f>
        <v>Ted Shen</v>
      </c>
      <c r="C101" s="117">
        <f>IFERROR(__xludf.DUMMYFUNCTION("""COMPUTED_VALUE"""),11.0)</f>
        <v>11</v>
      </c>
      <c r="D101" s="117">
        <f t="shared" si="74"/>
        <v>17</v>
      </c>
      <c r="E101" s="117">
        <f t="shared" si="75"/>
        <v>6</v>
      </c>
      <c r="F101" s="117">
        <f t="shared" si="76"/>
        <v>19</v>
      </c>
      <c r="G101" s="117">
        <f t="shared" si="77"/>
        <v>1</v>
      </c>
      <c r="L101" s="117" t="str">
        <f t="shared" si="78"/>
        <v>ok</v>
      </c>
    </row>
    <row r="102">
      <c r="A102" s="1"/>
      <c r="B102" s="33" t="str">
        <f>IFERROR(__xludf.DUMMYFUNCTION("""COMPUTED_VALUE"""),"Adrian Tay")</f>
        <v>Adrian Tay</v>
      </c>
      <c r="C102" s="117">
        <f>IFERROR(__xludf.DUMMYFUNCTION("""COMPUTED_VALUE"""),11.0)</f>
        <v>11</v>
      </c>
      <c r="D102" s="117">
        <f t="shared" si="74"/>
        <v>23</v>
      </c>
      <c r="E102" s="117">
        <f t="shared" si="75"/>
        <v>12</v>
      </c>
      <c r="F102" s="117">
        <f t="shared" si="76"/>
        <v>19</v>
      </c>
      <c r="G102" s="117">
        <f t="shared" si="77"/>
        <v>3</v>
      </c>
      <c r="L102" s="117" t="str">
        <f t="shared" si="78"/>
        <v>ok</v>
      </c>
    </row>
    <row r="103">
      <c r="A103" s="1"/>
      <c r="B103" s="33" t="str">
        <f>IFERROR(__xludf.DUMMYFUNCTION("""COMPUTED_VALUE"""),"Suleman Alidina")</f>
        <v>Suleman Alidina</v>
      </c>
      <c r="C103" s="117">
        <f>IFERROR(__xludf.DUMMYFUNCTION("""COMPUTED_VALUE"""),9.0)</f>
        <v>9</v>
      </c>
      <c r="D103" s="117">
        <f t="shared" si="74"/>
        <v>19</v>
      </c>
      <c r="E103" s="117">
        <f t="shared" si="75"/>
        <v>10</v>
      </c>
      <c r="F103" s="117">
        <f t="shared" si="76"/>
        <v>18</v>
      </c>
      <c r="G103" s="117">
        <f t="shared" si="77"/>
        <v>2</v>
      </c>
      <c r="L103" s="117" t="str">
        <f t="shared" si="78"/>
        <v>ok</v>
      </c>
    </row>
    <row r="104">
      <c r="A104" s="1"/>
      <c r="B104" s="33" t="str">
        <f>IFERROR(__xludf.DUMMYFUNCTION("""COMPUTED_VALUE"""),"Allen Zhang")</f>
        <v>Allen Zhang</v>
      </c>
      <c r="C104" s="117">
        <f>IFERROR(__xludf.DUMMYFUNCTION("""COMPUTED_VALUE"""),8.0)</f>
        <v>8</v>
      </c>
      <c r="D104" s="117">
        <f t="shared" si="74"/>
        <v>33</v>
      </c>
      <c r="E104" s="117">
        <f t="shared" si="75"/>
        <v>25</v>
      </c>
      <c r="F104" s="117">
        <f t="shared" si="76"/>
        <v>15</v>
      </c>
      <c r="G104" s="117">
        <f t="shared" si="77"/>
        <v>5</v>
      </c>
      <c r="L104" s="117" t="str">
        <f t="shared" si="78"/>
        <v>ok</v>
      </c>
    </row>
    <row r="105">
      <c r="A105" s="1"/>
      <c r="B105" s="33" t="str">
        <f>IFERROR(__xludf.DUMMYFUNCTION("""COMPUTED_VALUE"""),"Matthew Huang")</f>
        <v>Matthew Huang</v>
      </c>
      <c r="C105" s="117">
        <f>IFERROR(__xludf.DUMMYFUNCTION("""COMPUTED_VALUE"""),8.0)</f>
        <v>8</v>
      </c>
      <c r="D105" s="117">
        <f t="shared" si="74"/>
        <v>38</v>
      </c>
      <c r="E105" s="117">
        <f t="shared" si="75"/>
        <v>30</v>
      </c>
      <c r="F105" s="117">
        <f t="shared" si="76"/>
        <v>15</v>
      </c>
      <c r="G105" s="117">
        <f t="shared" si="77"/>
        <v>6</v>
      </c>
      <c r="L105" s="117" t="str">
        <f t="shared" si="78"/>
        <v>ok</v>
      </c>
    </row>
    <row r="106">
      <c r="A106" s="1"/>
      <c r="B106" s="33" t="str">
        <f>IFERROR(__xludf.DUMMYFUNCTION("""COMPUTED_VALUE"""),"Troy Wong")</f>
        <v>Troy Wong</v>
      </c>
      <c r="C106" s="117">
        <f>IFERROR(__xludf.DUMMYFUNCTION("""COMPUTED_VALUE"""),7.0)</f>
        <v>7</v>
      </c>
      <c r="D106" s="117">
        <f t="shared" si="74"/>
        <v>42</v>
      </c>
      <c r="E106" s="117">
        <f t="shared" si="75"/>
        <v>35</v>
      </c>
      <c r="F106" s="117">
        <f t="shared" si="76"/>
        <v>16</v>
      </c>
      <c r="G106" s="117">
        <f t="shared" si="77"/>
        <v>6</v>
      </c>
      <c r="L106" s="117" t="str">
        <f t="shared" si="78"/>
        <v>ok</v>
      </c>
    </row>
    <row r="107">
      <c r="A107" s="1"/>
      <c r="B107" s="33" t="str">
        <f>IFERROR(__xludf.DUMMYFUNCTION("""COMPUTED_VALUE"""),"Alejandro Mejia")</f>
        <v>Alejandro Mejia</v>
      </c>
      <c r="C107" s="117">
        <f>IFERROR(__xludf.DUMMYFUNCTION("""COMPUTED_VALUE"""),7.0)</f>
        <v>7</v>
      </c>
      <c r="D107" s="117">
        <f t="shared" si="74"/>
        <v>48</v>
      </c>
      <c r="E107" s="117">
        <f t="shared" si="75"/>
        <v>41</v>
      </c>
      <c r="F107" s="117">
        <f t="shared" si="76"/>
        <v>18</v>
      </c>
      <c r="G107" s="117">
        <f t="shared" si="77"/>
        <v>8</v>
      </c>
      <c r="L107" s="117" t="str">
        <f t="shared" si="78"/>
        <v>ok</v>
      </c>
    </row>
    <row r="108">
      <c r="A108" s="1"/>
      <c r="B108" s="33" t="str">
        <f>IFERROR(__xludf.DUMMYFUNCTION("""COMPUTED_VALUE"""),"Mauricio Palacios")</f>
        <v>Mauricio Palacios</v>
      </c>
      <c r="C108" s="117">
        <f>IFERROR(__xludf.DUMMYFUNCTION("""COMPUTED_VALUE"""),6.0)</f>
        <v>6</v>
      </c>
      <c r="D108" s="117">
        <f t="shared" si="74"/>
        <v>29</v>
      </c>
      <c r="E108" s="117">
        <f t="shared" si="75"/>
        <v>23</v>
      </c>
      <c r="F108" s="117">
        <f t="shared" si="76"/>
        <v>16</v>
      </c>
      <c r="G108" s="117">
        <f t="shared" si="77"/>
        <v>4</v>
      </c>
      <c r="L108" s="117" t="str">
        <f t="shared" si="78"/>
        <v>ok</v>
      </c>
    </row>
    <row r="109">
      <c r="A109" s="1"/>
      <c r="B109" s="33" t="str">
        <f>IFERROR(__xludf.DUMMYFUNCTION("""COMPUTED_VALUE"""),"Pavan Akkimsetty")</f>
        <v>Pavan Akkimsetty</v>
      </c>
      <c r="C109" s="117">
        <f>IFERROR(__xludf.DUMMYFUNCTION("""COMPUTED_VALUE"""),6.0)</f>
        <v>6</v>
      </c>
      <c r="D109" s="117">
        <f t="shared" si="74"/>
        <v>43</v>
      </c>
      <c r="E109" s="117">
        <f t="shared" si="75"/>
        <v>37</v>
      </c>
      <c r="F109" s="117">
        <f t="shared" si="76"/>
        <v>16</v>
      </c>
      <c r="G109" s="117">
        <f t="shared" si="77"/>
        <v>7</v>
      </c>
      <c r="L109" s="117" t="str">
        <f t="shared" si="78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8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79">A5</f>
        <v>1</v>
      </c>
      <c r="B118" s="33" t="str">
        <f t="shared" si="79"/>
        <v>Eric Pan</v>
      </c>
      <c r="C118" s="117">
        <f t="shared" si="79"/>
        <v>104</v>
      </c>
      <c r="D118" s="117">
        <f t="shared" si="79"/>
        <v>12</v>
      </c>
      <c r="E118" s="117">
        <f t="shared" si="79"/>
        <v>14.33333333</v>
      </c>
      <c r="F118" s="1"/>
    </row>
    <row r="119">
      <c r="A119" s="117">
        <f t="shared" ref="A119:E119" si="80">A6</f>
        <v>2</v>
      </c>
      <c r="B119" s="33" t="str">
        <f t="shared" si="80"/>
        <v>Darren Wong</v>
      </c>
      <c r="C119" s="117">
        <f t="shared" si="80"/>
        <v>103</v>
      </c>
      <c r="D119" s="117">
        <f t="shared" si="80"/>
        <v>13</v>
      </c>
      <c r="E119" s="117">
        <f t="shared" si="80"/>
        <v>14.16666667</v>
      </c>
      <c r="F119" s="1"/>
    </row>
    <row r="120">
      <c r="A120" s="117">
        <f t="shared" ref="A120:E120" si="81">A7</f>
        <v>3</v>
      </c>
      <c r="B120" s="33" t="str">
        <f t="shared" si="81"/>
        <v>Tom Le</v>
      </c>
      <c r="C120" s="117">
        <f t="shared" si="81"/>
        <v>102</v>
      </c>
      <c r="D120" s="117">
        <f t="shared" si="81"/>
        <v>12</v>
      </c>
      <c r="E120" s="117">
        <f t="shared" si="81"/>
        <v>14</v>
      </c>
      <c r="F120" s="1"/>
    </row>
    <row r="121">
      <c r="A121" s="117">
        <f t="shared" ref="A121:E121" si="82">A8</f>
        <v>4</v>
      </c>
      <c r="B121" s="33" t="str">
        <f t="shared" si="82"/>
        <v>Ethan Gu</v>
      </c>
      <c r="C121" s="117">
        <f t="shared" si="82"/>
        <v>98</v>
      </c>
      <c r="D121" s="117">
        <f t="shared" si="82"/>
        <v>13</v>
      </c>
      <c r="E121" s="117">
        <f t="shared" si="82"/>
        <v>12.25</v>
      </c>
      <c r="F121" s="1"/>
    </row>
    <row r="122">
      <c r="A122" s="117">
        <f t="shared" ref="A122:E122" si="83">A9</f>
        <v>5</v>
      </c>
      <c r="B122" s="33" t="str">
        <f t="shared" si="83"/>
        <v>Pulkit Mathur</v>
      </c>
      <c r="C122" s="117">
        <f t="shared" si="83"/>
        <v>98</v>
      </c>
      <c r="D122" s="117">
        <f t="shared" si="83"/>
        <v>11</v>
      </c>
      <c r="E122" s="117">
        <f t="shared" si="83"/>
        <v>13.33333333</v>
      </c>
      <c r="F122" s="1"/>
    </row>
    <row r="123">
      <c r="A123" s="117">
        <f t="shared" ref="A123:E123" si="84">A10</f>
        <v>6</v>
      </c>
      <c r="B123" s="33" t="str">
        <f t="shared" si="84"/>
        <v>Ted Shen</v>
      </c>
      <c r="C123" s="117">
        <f t="shared" si="84"/>
        <v>97</v>
      </c>
      <c r="D123" s="117">
        <f t="shared" si="84"/>
        <v>11</v>
      </c>
      <c r="E123" s="117">
        <f t="shared" si="84"/>
        <v>13.16666667</v>
      </c>
      <c r="F123" s="1"/>
    </row>
    <row r="124">
      <c r="A124" s="117">
        <f t="shared" ref="A124:E124" si="85">A11</f>
        <v>7</v>
      </c>
      <c r="B124" s="33" t="str">
        <f t="shared" si="85"/>
        <v>Lam Bui</v>
      </c>
      <c r="C124" s="117">
        <f t="shared" si="85"/>
        <v>97</v>
      </c>
      <c r="D124" s="117">
        <f t="shared" si="85"/>
        <v>10</v>
      </c>
      <c r="E124" s="117">
        <f t="shared" si="85"/>
        <v>13.16666667</v>
      </c>
      <c r="F124" s="1"/>
    </row>
    <row r="125">
      <c r="A125" s="117">
        <f t="shared" ref="A125:E125" si="86">A12</f>
        <v>8</v>
      </c>
      <c r="B125" s="33" t="str">
        <f t="shared" si="86"/>
        <v>Oscar Bonilla</v>
      </c>
      <c r="C125" s="117">
        <f t="shared" si="86"/>
        <v>97</v>
      </c>
      <c r="D125" s="117">
        <f t="shared" si="86"/>
        <v>9</v>
      </c>
      <c r="E125" s="117">
        <f t="shared" si="86"/>
        <v>13.16666667</v>
      </c>
      <c r="F125" s="1"/>
    </row>
    <row r="126">
      <c r="A126" s="117">
        <f t="shared" ref="A126:E126" si="87">A13</f>
        <v>9</v>
      </c>
      <c r="B126" s="33" t="str">
        <f t="shared" si="87"/>
        <v>Herman Au</v>
      </c>
      <c r="C126" s="117">
        <f t="shared" si="87"/>
        <v>96</v>
      </c>
      <c r="D126" s="117">
        <f t="shared" si="87"/>
        <v>7</v>
      </c>
      <c r="E126" s="117">
        <f t="shared" si="87"/>
        <v>12.33333333</v>
      </c>
      <c r="F126" s="1"/>
    </row>
    <row r="127">
      <c r="A127" s="117">
        <f t="shared" ref="A127:E127" si="88">A14</f>
        <v>10</v>
      </c>
      <c r="B127" s="33" t="str">
        <f t="shared" si="88"/>
        <v>Suleman Alidina</v>
      </c>
      <c r="C127" s="117">
        <f t="shared" si="88"/>
        <v>95</v>
      </c>
      <c r="D127" s="117">
        <f t="shared" si="88"/>
        <v>11</v>
      </c>
      <c r="E127" s="117">
        <f t="shared" si="88"/>
        <v>13.6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Data!F91</f>
        <v>Adrian Tay</v>
      </c>
      <c r="C134" s="117">
        <f>Data!G91</f>
        <v>12</v>
      </c>
      <c r="D134" s="1"/>
      <c r="E134" s="1"/>
      <c r="F134" s="1"/>
    </row>
    <row r="135">
      <c r="A135" s="1"/>
      <c r="B135" s="33" t="str">
        <f>Data!F92</f>
        <v>Darren Wong</v>
      </c>
      <c r="C135" s="117">
        <f>Data!G92</f>
        <v>4</v>
      </c>
      <c r="D135" s="1"/>
      <c r="E135" s="1"/>
      <c r="F135" s="1"/>
    </row>
    <row r="136">
      <c r="A136" s="1"/>
      <c r="B136" s="33" t="str">
        <f>Data!F93</f>
        <v>Eric Pan</v>
      </c>
      <c r="C136" s="117">
        <f>Data!G93</f>
        <v>1</v>
      </c>
      <c r="D136" s="1"/>
      <c r="E136" s="1"/>
      <c r="F136" s="1"/>
    </row>
    <row r="137">
      <c r="A137" s="1"/>
      <c r="B137" s="33" t="str">
        <f>Data!F94</f>
        <v>Frank Moon</v>
      </c>
      <c r="C137" s="117">
        <f>Data!G94</f>
        <v>1</v>
      </c>
      <c r="D137" s="1"/>
      <c r="E137" s="1"/>
      <c r="F137" s="1"/>
    </row>
    <row r="138">
      <c r="A138" s="1"/>
      <c r="B138" s="33" t="str">
        <f>Data!F95</f>
        <v>Lam Bui</v>
      </c>
      <c r="C138" s="117">
        <f>Data!G95</f>
        <v>1</v>
      </c>
      <c r="D138" s="1"/>
      <c r="E138" s="1"/>
      <c r="F138" s="1"/>
    </row>
    <row r="139">
      <c r="A139" s="1"/>
      <c r="B139" s="33" t="str">
        <f>Data!F96</f>
        <v>Pulkit Mathur</v>
      </c>
      <c r="C139" s="117">
        <f>Data!G96</f>
        <v>4</v>
      </c>
      <c r="D139" s="1"/>
      <c r="E139" s="1"/>
      <c r="F139" s="1"/>
    </row>
    <row r="140">
      <c r="A140" s="1"/>
      <c r="B140" s="33" t="str">
        <f>Data!F97</f>
        <v>Robert Chang</v>
      </c>
      <c r="C140" s="117">
        <f>Data!G97</f>
        <v>1</v>
      </c>
      <c r="D140" s="1"/>
      <c r="E140" s="1"/>
      <c r="F140" s="1"/>
    </row>
    <row r="141">
      <c r="A141" s="1"/>
      <c r="B141" s="33" t="str">
        <f>Data!F98</f>
        <v/>
      </c>
      <c r="C141" s="117" t="str">
        <f>Data!G98</f>
        <v/>
      </c>
      <c r="D141" s="1"/>
      <c r="E141" s="1"/>
      <c r="F141" s="1"/>
    </row>
    <row r="142">
      <c r="A142" s="1"/>
      <c r="B142" s="33" t="str">
        <f>Data!F99</f>
        <v/>
      </c>
      <c r="C142" s="117" t="str">
        <f>Data!G99</f>
        <v/>
      </c>
      <c r="D142" s="1"/>
      <c r="E142" s="1"/>
      <c r="F142" s="1"/>
    </row>
    <row r="143">
      <c r="A143" s="1"/>
      <c r="B143" s="33" t="str">
        <f>Data!F100</f>
        <v/>
      </c>
      <c r="C143" s="117" t="str">
        <f>Data!G100</f>
        <v/>
      </c>
      <c r="D143" s="1"/>
      <c r="E143" s="1"/>
      <c r="F143" s="1"/>
    </row>
    <row r="144">
      <c r="A144" s="1"/>
      <c r="B144" s="33" t="str">
        <f>Data!F101</f>
        <v/>
      </c>
      <c r="C144" s="117" t="str">
        <f>Data!G101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IFERROR(__xludf.DUMMYFUNCTION("query(B5:V69,""select B where V = 0 order by B ASC"")"),"Alex Hou")</f>
        <v>Alex Hou</v>
      </c>
      <c r="C153" s="1"/>
      <c r="D153" s="1"/>
      <c r="E153" s="1"/>
      <c r="F153" s="1"/>
    </row>
    <row r="154">
      <c r="A154" s="117">
        <f t="shared" ref="A154:A168" si="89">if(B154&lt;&gt;"",A153+1,0)</f>
        <v>2</v>
      </c>
      <c r="B154" s="33" t="str">
        <f>IFERROR(__xludf.DUMMYFUNCTION("""COMPUTED_VALUE"""),"Allen Zhang")</f>
        <v>Allen Zhang</v>
      </c>
      <c r="C154" s="1"/>
      <c r="D154" s="1"/>
      <c r="E154" s="1"/>
      <c r="F154" s="1"/>
    </row>
    <row r="155">
      <c r="A155" s="117">
        <f t="shared" si="89"/>
        <v>3</v>
      </c>
      <c r="B155" s="33" t="str">
        <f>IFERROR(__xludf.DUMMYFUNCTION("""COMPUTED_VALUE"""),"Chinna Ponnaganti")</f>
        <v>Chinna Ponnaganti</v>
      </c>
      <c r="C155" s="1"/>
      <c r="D155" s="1"/>
      <c r="E155" s="1"/>
      <c r="F155" s="1"/>
    </row>
    <row r="156">
      <c r="A156" s="117">
        <f t="shared" si="89"/>
        <v>4</v>
      </c>
      <c r="B156" s="33" t="str">
        <f>IFERROR(__xludf.DUMMYFUNCTION("""COMPUTED_VALUE"""),"David Shin")</f>
        <v>David Shin</v>
      </c>
      <c r="C156" s="1"/>
      <c r="D156" s="1"/>
      <c r="E156" s="1"/>
      <c r="F156" s="1"/>
    </row>
    <row r="157">
      <c r="A157" s="117">
        <f t="shared" si="89"/>
        <v>5</v>
      </c>
      <c r="B157" s="33" t="str">
        <f>IFERROR(__xludf.DUMMYFUNCTION("""COMPUTED_VALUE"""),"Ethan Gu")</f>
        <v>Ethan Gu</v>
      </c>
      <c r="C157" s="1"/>
      <c r="D157" s="1"/>
      <c r="E157" s="1"/>
      <c r="F157" s="1"/>
    </row>
    <row r="158">
      <c r="A158" s="117">
        <f t="shared" si="89"/>
        <v>6</v>
      </c>
      <c r="B158" s="33" t="str">
        <f>IFERROR(__xludf.DUMMYFUNCTION("""COMPUTED_VALUE"""),"Frank Moon")</f>
        <v>Frank Moon</v>
      </c>
      <c r="C158" s="1"/>
      <c r="D158" s="1"/>
      <c r="E158" s="1"/>
      <c r="F158" s="1"/>
    </row>
    <row r="159">
      <c r="A159" s="117">
        <f t="shared" si="89"/>
        <v>7</v>
      </c>
      <c r="B159" s="33" t="str">
        <f>IFERROR(__xludf.DUMMYFUNCTION("""COMPUTED_VALUE"""),"Nicole Ni")</f>
        <v>Nicole Ni</v>
      </c>
      <c r="C159" s="1"/>
      <c r="D159" s="1"/>
      <c r="E159" s="1"/>
      <c r="F159" s="1"/>
    </row>
    <row r="160">
      <c r="A160" s="117">
        <f t="shared" si="89"/>
        <v>8</v>
      </c>
      <c r="B160" s="33" t="str">
        <f>IFERROR(__xludf.DUMMYFUNCTION("""COMPUTED_VALUE"""),"Rajasekar Ramasamy")</f>
        <v>Rajasekar Ramasamy</v>
      </c>
      <c r="C160" s="1"/>
      <c r="D160" s="1"/>
      <c r="E160" s="1"/>
      <c r="F160" s="1"/>
    </row>
    <row r="161">
      <c r="A161" s="117">
        <f t="shared" si="89"/>
        <v>9</v>
      </c>
      <c r="B161" s="33" t="str">
        <f>IFERROR(__xludf.DUMMYFUNCTION("""COMPUTED_VALUE"""),"Sandeep Kamalon")</f>
        <v>Sandeep Kamalon</v>
      </c>
      <c r="C161" s="1"/>
      <c r="D161" s="1"/>
      <c r="E161" s="1"/>
      <c r="F161" s="1"/>
    </row>
    <row r="162">
      <c r="A162" s="117">
        <f t="shared" si="89"/>
        <v>10</v>
      </c>
      <c r="B162" s="33" t="str">
        <f>IFERROR(__xludf.DUMMYFUNCTION("""COMPUTED_VALUE"""),"Vinaya Kajla")</f>
        <v>Vinaya Kajla</v>
      </c>
      <c r="C162" s="1"/>
      <c r="D162" s="1"/>
      <c r="E162" s="1"/>
      <c r="F162" s="1"/>
    </row>
    <row r="163">
      <c r="A163" s="117">
        <f t="shared" si="89"/>
        <v>0</v>
      </c>
      <c r="B163" s="33"/>
      <c r="C163" s="1"/>
      <c r="D163" s="1"/>
      <c r="E163" s="1"/>
      <c r="F163" s="1"/>
    </row>
    <row r="164">
      <c r="A164" s="117">
        <f t="shared" si="89"/>
        <v>0</v>
      </c>
      <c r="B164" s="33"/>
      <c r="C164" s="1"/>
      <c r="D164" s="1"/>
      <c r="E164" s="1"/>
      <c r="F164" s="1"/>
    </row>
    <row r="165">
      <c r="A165" s="117">
        <f t="shared" si="89"/>
        <v>0</v>
      </c>
      <c r="B165" s="33"/>
      <c r="C165" s="1"/>
      <c r="D165" s="1"/>
      <c r="E165" s="1"/>
      <c r="F165" s="1"/>
    </row>
    <row r="166">
      <c r="A166" s="117">
        <f t="shared" si="89"/>
        <v>0</v>
      </c>
      <c r="B166" s="33"/>
      <c r="C166" s="1"/>
      <c r="D166" s="1"/>
      <c r="E166" s="1"/>
      <c r="F166" s="1"/>
    </row>
    <row r="167">
      <c r="A167" s="117">
        <f t="shared" si="89"/>
        <v>0</v>
      </c>
      <c r="B167" s="33"/>
      <c r="C167" s="1"/>
      <c r="D167" s="1"/>
      <c r="E167" s="1"/>
      <c r="F167" s="1"/>
    </row>
    <row r="168">
      <c r="A168" s="117">
        <f t="shared" si="89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08/16/25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IFERROR(__xludf.DUMMYFUNCTION("""COMPUTED_VALUE"""),"Chinna Ponnaganti")</f>
        <v>Chinna Ponnaganti</v>
      </c>
      <c r="C184" s="122">
        <f>IFERROR(__xludf.DUMMYFUNCTION("""COMPUTED_VALUE"""),3.0)</f>
        <v>3</v>
      </c>
      <c r="D184" s="122">
        <f>IFERROR(__xludf.DUMMYFUNCTION("""COMPUTED_VALUE"""),7.0)</f>
        <v>7</v>
      </c>
      <c r="E184" s="122">
        <f>IFERROR(__xludf.DUMMYFUNCTION("""COMPUTED_VALUE"""),1.0)</f>
        <v>1</v>
      </c>
      <c r="F184" s="122">
        <f>IFERROR(__xludf.DUMMYFUNCTION("""COMPUTED_VALUE"""),11.0)</f>
        <v>11</v>
      </c>
      <c r="G184" s="122">
        <f>IFERROR(__xludf.DUMMYFUNCTION("""COMPUTED_VALUE"""),1.0)</f>
        <v>1</v>
      </c>
    </row>
    <row r="185">
      <c r="A185" s="117">
        <f>IFERROR(__xludf.DUMMYFUNCTION("""COMPUTED_VALUE"""),1.0)</f>
        <v>1</v>
      </c>
      <c r="B185" s="33" t="str">
        <f>IFERROR(__xludf.DUMMYFUNCTION("""COMPUTED_VALUE"""),"Alex Hou")</f>
        <v>Alex Hou</v>
      </c>
      <c r="C185" s="122">
        <f>IFERROR(__xludf.DUMMYFUNCTION("""COMPUTED_VALUE"""),6.0)</f>
        <v>6</v>
      </c>
      <c r="D185" s="122">
        <f>IFERROR(__xludf.DUMMYFUNCTION("""COMPUTED_VALUE"""),5.0)</f>
        <v>5</v>
      </c>
      <c r="E185" s="122">
        <f>IFERROR(__xludf.DUMMYFUNCTION("""COMPUTED_VALUE"""),1.0)</f>
        <v>1</v>
      </c>
      <c r="F185" s="122">
        <f>IFERROR(__xludf.DUMMYFUNCTION("""COMPUTED_VALUE"""),12.0)</f>
        <v>12</v>
      </c>
      <c r="G185" s="122">
        <f>IFERROR(__xludf.DUMMYFUNCTION("""COMPUTED_VALUE"""),1.0)</f>
        <v>1</v>
      </c>
    </row>
    <row r="186">
      <c r="A186" s="117">
        <f>IFERROR(__xludf.DUMMYFUNCTION("""COMPUTED_VALUE"""),1.0)</f>
        <v>1</v>
      </c>
      <c r="B186" s="33" t="str">
        <f>IFERROR(__xludf.DUMMYFUNCTION("""COMPUTED_VALUE"""),"Ted Shen")</f>
        <v>Ted Shen</v>
      </c>
      <c r="C186" s="122">
        <f>IFERROR(__xludf.DUMMYFUNCTION("""COMPUTED_VALUE"""),6.0)</f>
        <v>6</v>
      </c>
      <c r="D186" s="122">
        <f>IFERROR(__xludf.DUMMYFUNCTION("""COMPUTED_VALUE"""),7.0)</f>
        <v>7</v>
      </c>
      <c r="E186" s="122">
        <f>IFERROR(__xludf.DUMMYFUNCTION("""COMPUTED_VALUE"""),6.0)</f>
        <v>6</v>
      </c>
      <c r="F186" s="122">
        <f>IFERROR(__xludf.DUMMYFUNCTION("""COMPUTED_VALUE"""),19.0)</f>
        <v>19</v>
      </c>
      <c r="G186" s="122">
        <f>IFERROR(__xludf.DUMMYFUNCTION("""COMPUTED_VALUE"""),3.0)</f>
        <v>3</v>
      </c>
    </row>
    <row r="187">
      <c r="A187" s="117">
        <f>IFERROR(__xludf.DUMMYFUNCTION("""COMPUTED_VALUE"""),1.0)</f>
        <v>1</v>
      </c>
      <c r="B187" s="33" t="str">
        <f>IFERROR(__xludf.DUMMYFUNCTION("""COMPUTED_VALUE"""),"Jonathan Phan")</f>
        <v>Jonathan Phan</v>
      </c>
      <c r="C187" s="122">
        <f>IFERROR(__xludf.DUMMYFUNCTION("""COMPUTED_VALUE"""),3.0)</f>
        <v>3</v>
      </c>
      <c r="D187" s="122">
        <f>IFERROR(__xludf.DUMMYFUNCTION("""COMPUTED_VALUE"""),5.0)</f>
        <v>5</v>
      </c>
      <c r="E187" s="122">
        <f>IFERROR(__xludf.DUMMYFUNCTION("""COMPUTED_VALUE"""),6.0)</f>
        <v>6</v>
      </c>
      <c r="F187" s="122">
        <f>IFERROR(__xludf.DUMMYFUNCTION("""COMPUTED_VALUE"""),14.0)</f>
        <v>14</v>
      </c>
      <c r="G187" s="122">
        <f>IFERROR(__xludf.DUMMYFUNCTION("""COMPUTED_VALUE"""),1.0)</f>
        <v>1</v>
      </c>
    </row>
    <row r="188">
      <c r="A188" s="123">
        <f>IFERROR(__xludf.DUMMYFUNCTION("""COMPUTED_VALUE"""),2.0)</f>
        <v>2</v>
      </c>
      <c r="B188" s="124" t="str">
        <f>IFERROR(__xludf.DUMMYFUNCTION("""COMPUTED_VALUE"""),"Suleman Alidina")</f>
        <v>Suleman Alidina</v>
      </c>
      <c r="C188" s="125">
        <f>IFERROR(__xludf.DUMMYFUNCTION("""COMPUTED_VALUE"""),6.0)</f>
        <v>6</v>
      </c>
      <c r="D188" s="125">
        <f>IFERROR(__xludf.DUMMYFUNCTION("""COMPUTED_VALUE"""),6.0)</f>
        <v>6</v>
      </c>
      <c r="E188" s="125">
        <f>IFERROR(__xludf.DUMMYFUNCTION("""COMPUTED_VALUE"""),6.0)</f>
        <v>6</v>
      </c>
      <c r="F188" s="125">
        <f>IFERROR(__xludf.DUMMYFUNCTION("""COMPUTED_VALUE"""),18.0)</f>
        <v>18</v>
      </c>
      <c r="G188" s="125">
        <f>IFERROR(__xludf.DUMMYFUNCTION("""COMPUTED_VALUE"""),3.0)</f>
        <v>3</v>
      </c>
    </row>
    <row r="189">
      <c r="A189" s="123">
        <f>IFERROR(__xludf.DUMMYFUNCTION("""COMPUTED_VALUE"""),2.0)</f>
        <v>2</v>
      </c>
      <c r="B189" s="124" t="str">
        <f>IFERROR(__xludf.DUMMYFUNCTION("""COMPUTED_VALUE"""),"Ramesh Bandaru")</f>
        <v>Ramesh Bandaru</v>
      </c>
      <c r="C189" s="125">
        <f>IFERROR(__xludf.DUMMYFUNCTION("""COMPUTED_VALUE"""),6.0)</f>
        <v>6</v>
      </c>
      <c r="D189" s="125">
        <f>IFERROR(__xludf.DUMMYFUNCTION("""COMPUTED_VALUE"""),3.0)</f>
        <v>3</v>
      </c>
      <c r="E189" s="125">
        <f>IFERROR(__xludf.DUMMYFUNCTION("""COMPUTED_VALUE"""),0.0)</f>
        <v>0</v>
      </c>
      <c r="F189" s="125">
        <f>IFERROR(__xludf.DUMMYFUNCTION("""COMPUTED_VALUE"""),9.0)</f>
        <v>9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IFERROR(__xludf.DUMMYFUNCTION("""COMPUTED_VALUE"""),"Manish Anand")</f>
        <v>Manish Anand</v>
      </c>
      <c r="C190" s="125">
        <f>IFERROR(__xludf.DUMMYFUNCTION("""COMPUTED_VALUE"""),3.0)</f>
        <v>3</v>
      </c>
      <c r="D190" s="125">
        <f>IFERROR(__xludf.DUMMYFUNCTION("""COMPUTED_VALUE"""),3.0)</f>
        <v>3</v>
      </c>
      <c r="E190" s="125">
        <f>IFERROR(__xludf.DUMMYFUNCTION("""COMPUTED_VALUE"""),6.0)</f>
        <v>6</v>
      </c>
      <c r="F190" s="125">
        <f>IFERROR(__xludf.DUMMYFUNCTION("""COMPUTED_VALUE"""),12.0)</f>
        <v>12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IFERROR(__xludf.DUMMYFUNCTION("""COMPUTED_VALUE"""),"Jimmy Awolesi")</f>
        <v>Jimmy Awolesi</v>
      </c>
      <c r="C191" s="125">
        <f>IFERROR(__xludf.DUMMYFUNCTION("""COMPUTED_VALUE"""),3.0)</f>
        <v>3</v>
      </c>
      <c r="D191" s="125">
        <f>IFERROR(__xludf.DUMMYFUNCTION("""COMPUTED_VALUE"""),6.0)</f>
        <v>6</v>
      </c>
      <c r="E191" s="125">
        <f>IFERROR(__xludf.DUMMYFUNCTION("""COMPUTED_VALUE"""),0.0)</f>
        <v>0</v>
      </c>
      <c r="F191" s="125">
        <f>IFERROR(__xludf.DUMMYFUNCTION("""COMPUTED_VALUE"""),9.0)</f>
        <v>9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IFERROR(__xludf.DUMMYFUNCTION("""COMPUTED_VALUE"""),"Adrian Tay")</f>
        <v>Adrian Tay</v>
      </c>
      <c r="C192" s="122">
        <f>IFERROR(__xludf.DUMMYFUNCTION("""COMPUTED_VALUE"""),6.0)</f>
        <v>6</v>
      </c>
      <c r="D192" s="122">
        <f>IFERROR(__xludf.DUMMYFUNCTION("""COMPUTED_VALUE"""),6.0)</f>
        <v>6</v>
      </c>
      <c r="E192" s="122">
        <f>IFERROR(__xludf.DUMMYFUNCTION("""COMPUTED_VALUE"""),7.0)</f>
        <v>7</v>
      </c>
      <c r="F192" s="122">
        <f>IFERROR(__xludf.DUMMYFUNCTION("""COMPUTED_VALUE"""),19.0)</f>
        <v>19</v>
      </c>
      <c r="G192" s="122">
        <f>IFERROR(__xludf.DUMMYFUNCTION("""COMPUTED_VALUE"""),3.0)</f>
        <v>3</v>
      </c>
    </row>
    <row r="193">
      <c r="A193" s="117">
        <f>IFERROR(__xludf.DUMMYFUNCTION("""COMPUTED_VALUE"""),3.0)</f>
        <v>3</v>
      </c>
      <c r="B193" s="33" t="str">
        <f>IFERROR(__xludf.DUMMYFUNCTION("""COMPUTED_VALUE"""),"Sean Chang")</f>
        <v>Sean Chang</v>
      </c>
      <c r="C193" s="122">
        <f>IFERROR(__xludf.DUMMYFUNCTION("""COMPUTED_VALUE"""),2.0)</f>
        <v>2</v>
      </c>
      <c r="D193" s="122">
        <f>IFERROR(__xludf.DUMMYFUNCTION("""COMPUTED_VALUE"""),1.0)</f>
        <v>1</v>
      </c>
      <c r="E193" s="122">
        <f>IFERROR(__xludf.DUMMYFUNCTION("""COMPUTED_VALUE"""),7.0)</f>
        <v>7</v>
      </c>
      <c r="F193" s="122">
        <f>IFERROR(__xludf.DUMMYFUNCTION("""COMPUTED_VALUE"""),10.0)</f>
        <v>10</v>
      </c>
      <c r="G193" s="122">
        <f>IFERROR(__xludf.DUMMYFUNCTION("""COMPUTED_VALUE"""),1.0)</f>
        <v>1</v>
      </c>
    </row>
    <row r="194">
      <c r="A194" s="117">
        <f>IFERROR(__xludf.DUMMYFUNCTION("""COMPUTED_VALUE"""),3.0)</f>
        <v>3</v>
      </c>
      <c r="B194" s="33" t="str">
        <f>IFERROR(__xludf.DUMMYFUNCTION("""COMPUTED_VALUE"""),"Nicole Ni")</f>
        <v>Nicole Ni</v>
      </c>
      <c r="C194" s="122">
        <f>IFERROR(__xludf.DUMMYFUNCTION("""COMPUTED_VALUE"""),6.0)</f>
        <v>6</v>
      </c>
      <c r="D194" s="122">
        <f>IFERROR(__xludf.DUMMYFUNCTION("""COMPUTED_VALUE"""),1.0)</f>
        <v>1</v>
      </c>
      <c r="E194" s="122">
        <f>IFERROR(__xludf.DUMMYFUNCTION("""COMPUTED_VALUE"""),5.0)</f>
        <v>5</v>
      </c>
      <c r="F194" s="122">
        <f>IFERROR(__xludf.DUMMYFUNCTION("""COMPUTED_VALUE"""),12.0)</f>
        <v>12</v>
      </c>
      <c r="G194" s="122">
        <f>IFERROR(__xludf.DUMMYFUNCTION("""COMPUTED_VALUE"""),1.0)</f>
        <v>1</v>
      </c>
    </row>
    <row r="195">
      <c r="A195" s="117">
        <f>IFERROR(__xludf.DUMMYFUNCTION("""COMPUTED_VALUE"""),3.0)</f>
        <v>3</v>
      </c>
      <c r="B195" s="33" t="str">
        <f>IFERROR(__xludf.DUMMYFUNCTION("""COMPUTED_VALUE"""),"Basudev Thoppai Vidyasankar")</f>
        <v>Basudev Thoppai Vidyasankar</v>
      </c>
      <c r="C195" s="122">
        <f>IFERROR(__xludf.DUMMYFUNCTION("""COMPUTED_VALUE"""),2.0)</f>
        <v>2</v>
      </c>
      <c r="D195" s="122">
        <f>IFERROR(__xludf.DUMMYFUNCTION("""COMPUTED_VALUE"""),6.0)</f>
        <v>6</v>
      </c>
      <c r="E195" s="122">
        <f>IFERROR(__xludf.DUMMYFUNCTION("""COMPUTED_VALUE"""),5.0)</f>
        <v>5</v>
      </c>
      <c r="F195" s="122">
        <f>IFERROR(__xludf.DUMMYFUNCTION("""COMPUTED_VALUE"""),13.0)</f>
        <v>13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IFERROR(__xludf.DUMMYFUNCTION("""COMPUTED_VALUE"""),"Eric Tan")</f>
        <v>Eric Tan</v>
      </c>
      <c r="C196" s="125">
        <f>IFERROR(__xludf.DUMMYFUNCTION("""COMPUTED_VALUE"""),6.0)</f>
        <v>6</v>
      </c>
      <c r="D196" s="125">
        <f>IFERROR(__xludf.DUMMYFUNCTION("""COMPUTED_VALUE"""),6.0)</f>
        <v>6</v>
      </c>
      <c r="E196" s="125">
        <f>IFERROR(__xludf.DUMMYFUNCTION("""COMPUTED_VALUE"""),3.0)</f>
        <v>3</v>
      </c>
      <c r="F196" s="125">
        <f>IFERROR(__xludf.DUMMYFUNCTION("""COMPUTED_VALUE"""),15.0)</f>
        <v>15</v>
      </c>
      <c r="G196" s="125">
        <f>IFERROR(__xludf.DUMMYFUNCTION("""COMPUTED_VALUE"""),2.0)</f>
        <v>2</v>
      </c>
    </row>
    <row r="197">
      <c r="A197" s="123">
        <f>IFERROR(__xludf.DUMMYFUNCTION("""COMPUTED_VALUE"""),4.0)</f>
        <v>4</v>
      </c>
      <c r="B197" s="124" t="str">
        <f>IFERROR(__xludf.DUMMYFUNCTION("""COMPUTED_VALUE"""),"Mauricio Palacios")</f>
        <v>Mauricio Palacios</v>
      </c>
      <c r="C197" s="125">
        <f>IFERROR(__xludf.DUMMYFUNCTION("""COMPUTED_VALUE"""),4.0)</f>
        <v>4</v>
      </c>
      <c r="D197" s="125">
        <f>IFERROR(__xludf.DUMMYFUNCTION("""COMPUTED_VALUE"""),6.0)</f>
        <v>6</v>
      </c>
      <c r="E197" s="125">
        <f>IFERROR(__xludf.DUMMYFUNCTION("""COMPUTED_VALUE"""),6.0)</f>
        <v>6</v>
      </c>
      <c r="F197" s="125">
        <f>IFERROR(__xludf.DUMMYFUNCTION("""COMPUTED_VALUE"""),16.0)</f>
        <v>16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IFERROR(__xludf.DUMMYFUNCTION("""COMPUTED_VALUE"""),"Elayaraja Thangaraj")</f>
        <v>Elayaraja Thangaraj</v>
      </c>
      <c r="C198" s="125">
        <f>IFERROR(__xludf.DUMMYFUNCTION("""COMPUTED_VALUE"""),6.0)</f>
        <v>6</v>
      </c>
      <c r="D198" s="125">
        <f>IFERROR(__xludf.DUMMYFUNCTION("""COMPUTED_VALUE"""),1.0)</f>
        <v>1</v>
      </c>
      <c r="E198" s="125">
        <f>IFERROR(__xludf.DUMMYFUNCTION("""COMPUTED_VALUE"""),6.0)</f>
        <v>6</v>
      </c>
      <c r="F198" s="125">
        <f>IFERROR(__xludf.DUMMYFUNCTION("""COMPUTED_VALUE"""),13.0)</f>
        <v>13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IFERROR(__xludf.DUMMYFUNCTION("""COMPUTED_VALUE"""),"Coco Yan")</f>
        <v>Coco Yan</v>
      </c>
      <c r="C199" s="125">
        <f>IFERROR(__xludf.DUMMYFUNCTION("""COMPUTED_VALUE"""),4.0)</f>
        <v>4</v>
      </c>
      <c r="D199" s="125">
        <f>IFERROR(__xludf.DUMMYFUNCTION("""COMPUTED_VALUE"""),1.0)</f>
        <v>1</v>
      </c>
      <c r="E199" s="125">
        <f>IFERROR(__xludf.DUMMYFUNCTION("""COMPUTED_VALUE"""),3.0)</f>
        <v>3</v>
      </c>
      <c r="F199" s="125">
        <f>IFERROR(__xludf.DUMMYFUNCTION("""COMPUTED_VALUE"""),8.0)</f>
        <v>8</v>
      </c>
      <c r="G199" s="125">
        <f>IFERROR(__xludf.DUMMYFUNCTION("""COMPUTED_VALUE"""),0.0)</f>
        <v>0</v>
      </c>
    </row>
    <row r="200">
      <c r="A200" s="117">
        <f>IFERROR(__xludf.DUMMYFUNCTION("""COMPUTED_VALUE"""),5.0)</f>
        <v>5</v>
      </c>
      <c r="B200" s="33" t="str">
        <f>IFERROR(__xludf.DUMMYFUNCTION("""COMPUTED_VALUE"""),"Erik Hoeckmann")</f>
        <v>Erik Hoeckmann</v>
      </c>
      <c r="C200" s="122">
        <f>IFERROR(__xludf.DUMMYFUNCTION("""COMPUTED_VALUE"""),5.0)</f>
        <v>5</v>
      </c>
      <c r="D200" s="122">
        <f>IFERROR(__xludf.DUMMYFUNCTION("""COMPUTED_VALUE"""),6.0)</f>
        <v>6</v>
      </c>
      <c r="E200" s="122">
        <f>IFERROR(__xludf.DUMMYFUNCTION("""COMPUTED_VALUE"""),6.0)</f>
        <v>6</v>
      </c>
      <c r="F200" s="122">
        <f>IFERROR(__xludf.DUMMYFUNCTION("""COMPUTED_VALUE"""),17.0)</f>
        <v>17</v>
      </c>
      <c r="G200" s="122">
        <f>IFERROR(__xludf.DUMMYFUNCTION("""COMPUTED_VALUE"""),2.0)</f>
        <v>2</v>
      </c>
    </row>
    <row r="201">
      <c r="A201" s="117">
        <f>IFERROR(__xludf.DUMMYFUNCTION("""COMPUTED_VALUE"""),5.0)</f>
        <v>5</v>
      </c>
      <c r="B201" s="33" t="str">
        <f>IFERROR(__xludf.DUMMYFUNCTION("""COMPUTED_VALUE"""),"Allen Zhang")</f>
        <v>Allen Zhang</v>
      </c>
      <c r="C201" s="122">
        <f>IFERROR(__xludf.DUMMYFUNCTION("""COMPUTED_VALUE"""),7.0)</f>
        <v>7</v>
      </c>
      <c r="D201" s="122">
        <f>IFERROR(__xludf.DUMMYFUNCTION("""COMPUTED_VALUE"""),2.0)</f>
        <v>2</v>
      </c>
      <c r="E201" s="122">
        <f>IFERROR(__xludf.DUMMYFUNCTION("""COMPUTED_VALUE"""),6.0)</f>
        <v>6</v>
      </c>
      <c r="F201" s="122">
        <f>IFERROR(__xludf.DUMMYFUNCTION("""COMPUTED_VALUE"""),15.0)</f>
        <v>15</v>
      </c>
      <c r="G201" s="122">
        <f>IFERROR(__xludf.DUMMYFUNCTION("""COMPUTED_VALUE"""),2.0)</f>
        <v>2</v>
      </c>
    </row>
    <row r="202">
      <c r="A202" s="117">
        <f>IFERROR(__xludf.DUMMYFUNCTION("""COMPUTED_VALUE"""),5.0)</f>
        <v>5</v>
      </c>
      <c r="B202" s="33" t="str">
        <f>IFERROR(__xludf.DUMMYFUNCTION("""COMPUTED_VALUE"""),"Andrew Wen")</f>
        <v>Andrew Wen</v>
      </c>
      <c r="C202" s="122">
        <f>IFERROR(__xludf.DUMMYFUNCTION("""COMPUTED_VALUE"""),5.0)</f>
        <v>5</v>
      </c>
      <c r="D202" s="122">
        <f>IFERROR(__xludf.DUMMYFUNCTION("""COMPUTED_VALUE"""),2.0)</f>
        <v>2</v>
      </c>
      <c r="E202" s="122">
        <f>IFERROR(__xludf.DUMMYFUNCTION("""COMPUTED_VALUE"""),2.0)</f>
        <v>2</v>
      </c>
      <c r="F202" s="122">
        <f>IFERROR(__xludf.DUMMYFUNCTION("""COMPUTED_VALUE"""),9.0)</f>
        <v>9</v>
      </c>
      <c r="G202" s="122">
        <f>IFERROR(__xludf.DUMMYFUNCTION("""COMPUTED_VALUE"""),0.0)</f>
        <v>0</v>
      </c>
    </row>
    <row r="203">
      <c r="A203" s="117">
        <f>IFERROR(__xludf.DUMMYFUNCTION("""COMPUTED_VALUE"""),5.0)</f>
        <v>5</v>
      </c>
      <c r="B203" s="33" t="str">
        <f>IFERROR(__xludf.DUMMYFUNCTION("""COMPUTED_VALUE"""),"Joe Luzzi")</f>
        <v>Joe Luzzi</v>
      </c>
      <c r="C203" s="122">
        <f>IFERROR(__xludf.DUMMYFUNCTION("""COMPUTED_VALUE"""),7.0)</f>
        <v>7</v>
      </c>
      <c r="D203" s="122">
        <f>IFERROR(__xludf.DUMMYFUNCTION("""COMPUTED_VALUE"""),6.0)</f>
        <v>6</v>
      </c>
      <c r="E203" s="122">
        <f>IFERROR(__xludf.DUMMYFUNCTION("""COMPUTED_VALUE"""),2.0)</f>
        <v>2</v>
      </c>
      <c r="F203" s="122">
        <f>IFERROR(__xludf.DUMMYFUNCTION("""COMPUTED_VALUE"""),15.0)</f>
        <v>15</v>
      </c>
      <c r="G203" s="122">
        <f>IFERROR(__xludf.DUMMYFUNCTION("""COMPUTED_VALUE"""),2.0)</f>
        <v>2</v>
      </c>
    </row>
    <row r="204">
      <c r="A204" s="123">
        <f>IFERROR(__xludf.DUMMYFUNCTION("""COMPUTED_VALUE"""),6.0)</f>
        <v>6</v>
      </c>
      <c r="B204" s="124" t="str">
        <f>IFERROR(__xludf.DUMMYFUNCTION("""COMPUTED_VALUE"""),"Matthew Huang")</f>
        <v>Matthew Huang</v>
      </c>
      <c r="C204" s="125">
        <f>IFERROR(__xludf.DUMMYFUNCTION("""COMPUTED_VALUE"""),3.0)</f>
        <v>3</v>
      </c>
      <c r="D204" s="125">
        <f>IFERROR(__xludf.DUMMYFUNCTION("""COMPUTED_VALUE"""),6.0)</f>
        <v>6</v>
      </c>
      <c r="E204" s="125">
        <f>IFERROR(__xludf.DUMMYFUNCTION("""COMPUTED_VALUE"""),6.0)</f>
        <v>6</v>
      </c>
      <c r="F204" s="125">
        <f>IFERROR(__xludf.DUMMYFUNCTION("""COMPUTED_VALUE"""),15.0)</f>
        <v>15</v>
      </c>
      <c r="G204" s="125">
        <f>IFERROR(__xludf.DUMMYFUNCTION("""COMPUTED_VALUE"""),2.0)</f>
        <v>2</v>
      </c>
    </row>
    <row r="205">
      <c r="A205" s="123">
        <f>IFERROR(__xludf.DUMMYFUNCTION("""COMPUTED_VALUE"""),6.0)</f>
        <v>6</v>
      </c>
      <c r="B205" s="124" t="str">
        <f>IFERROR(__xludf.DUMMYFUNCTION("""COMPUTED_VALUE"""),"Trish Newlin")</f>
        <v>Trish Newlin</v>
      </c>
      <c r="C205" s="125">
        <f>IFERROR(__xludf.DUMMYFUNCTION("""COMPUTED_VALUE"""),3.0)</f>
        <v>3</v>
      </c>
      <c r="D205" s="125">
        <f>IFERROR(__xludf.DUMMYFUNCTION("""COMPUTED_VALUE"""),4.0)</f>
        <v>4</v>
      </c>
      <c r="E205" s="125">
        <f>IFERROR(__xludf.DUMMYFUNCTION("""COMPUTED_VALUE"""),0.0)</f>
        <v>0</v>
      </c>
      <c r="F205" s="125">
        <f>IFERROR(__xludf.DUMMYFUNCTION("""COMPUTED_VALUE"""),7.0)</f>
        <v>7</v>
      </c>
      <c r="G205" s="125">
        <f>IFERROR(__xludf.DUMMYFUNCTION("""COMPUTED_VALUE"""),0.0)</f>
        <v>0</v>
      </c>
    </row>
    <row r="206">
      <c r="A206" s="123">
        <f>IFERROR(__xludf.DUMMYFUNCTION("""COMPUTED_VALUE"""),6.0)</f>
        <v>6</v>
      </c>
      <c r="B206" s="124" t="str">
        <f>IFERROR(__xludf.DUMMYFUNCTION("""COMPUTED_VALUE"""),"Sandy Weyant")</f>
        <v>Sandy Weyant</v>
      </c>
      <c r="C206" s="125">
        <f>IFERROR(__xludf.DUMMYFUNCTION("""COMPUTED_VALUE"""),6.0)</f>
        <v>6</v>
      </c>
      <c r="D206" s="125">
        <f>IFERROR(__xludf.DUMMYFUNCTION("""COMPUTED_VALUE"""),6.0)</f>
        <v>6</v>
      </c>
      <c r="E206" s="125">
        <f>IFERROR(__xludf.DUMMYFUNCTION("""COMPUTED_VALUE"""),0.0)</f>
        <v>0</v>
      </c>
      <c r="F206" s="125">
        <f>IFERROR(__xludf.DUMMYFUNCTION("""COMPUTED_VALUE"""),12.0)</f>
        <v>12</v>
      </c>
      <c r="G206" s="125">
        <f>IFERROR(__xludf.DUMMYFUNCTION("""COMPUTED_VALUE"""),2.0)</f>
        <v>2</v>
      </c>
    </row>
    <row r="207">
      <c r="A207" s="123">
        <f>IFERROR(__xludf.DUMMYFUNCTION("""COMPUTED_VALUE"""),6.0)</f>
        <v>6</v>
      </c>
      <c r="B207" s="124" t="str">
        <f>IFERROR(__xludf.DUMMYFUNCTION("""COMPUTED_VALUE"""),"Troy Wong")</f>
        <v>Troy Wong</v>
      </c>
      <c r="C207" s="125">
        <f>IFERROR(__xludf.DUMMYFUNCTION("""COMPUTED_VALUE"""),6.0)</f>
        <v>6</v>
      </c>
      <c r="D207" s="125">
        <f>IFERROR(__xludf.DUMMYFUNCTION("""COMPUTED_VALUE"""),4.0)</f>
        <v>4</v>
      </c>
      <c r="E207" s="125">
        <f>IFERROR(__xludf.DUMMYFUNCTION("""COMPUTED_VALUE"""),6.0)</f>
        <v>6</v>
      </c>
      <c r="F207" s="125">
        <f>IFERROR(__xludf.DUMMYFUNCTION("""COMPUTED_VALUE"""),16.0)</f>
        <v>16</v>
      </c>
      <c r="G207" s="125">
        <f>IFERROR(__xludf.DUMMYFUNCTION("""COMPUTED_VALUE"""),2.0)</f>
        <v>2</v>
      </c>
    </row>
    <row r="208">
      <c r="A208" s="117">
        <f>IFERROR(__xludf.DUMMYFUNCTION("""COMPUTED_VALUE"""),7.0)</f>
        <v>7</v>
      </c>
      <c r="B208" s="33" t="str">
        <f>IFERROR(__xludf.DUMMYFUNCTION("""COMPUTED_VALUE"""),"Pavan Akkimsetty")</f>
        <v>Pavan Akkimsetty</v>
      </c>
      <c r="C208" s="122">
        <f>IFERROR(__xludf.DUMMYFUNCTION("""COMPUTED_VALUE"""),6.0)</f>
        <v>6</v>
      </c>
      <c r="D208" s="122">
        <f>IFERROR(__xludf.DUMMYFUNCTION("""COMPUTED_VALUE"""),6.0)</f>
        <v>6</v>
      </c>
      <c r="E208" s="122">
        <f>IFERROR(__xludf.DUMMYFUNCTION("""COMPUTED_VALUE"""),4.0)</f>
        <v>4</v>
      </c>
      <c r="F208" s="122">
        <f>IFERROR(__xludf.DUMMYFUNCTION("""COMPUTED_VALUE"""),16.0)</f>
        <v>16</v>
      </c>
      <c r="G208" s="122">
        <f>IFERROR(__xludf.DUMMYFUNCTION("""COMPUTED_VALUE"""),2.0)</f>
        <v>2</v>
      </c>
    </row>
    <row r="209">
      <c r="A209" s="117">
        <f>IFERROR(__xludf.DUMMYFUNCTION("""COMPUTED_VALUE"""),7.0)</f>
        <v>7</v>
      </c>
      <c r="B209" s="33" t="str">
        <f>IFERROR(__xludf.DUMMYFUNCTION("""COMPUTED_VALUE"""),"Vinaya Kajla")</f>
        <v>Vinaya Kajla</v>
      </c>
      <c r="C209" s="122">
        <f>IFERROR(__xludf.DUMMYFUNCTION("""COMPUTED_VALUE"""),0.0)</f>
        <v>0</v>
      </c>
      <c r="D209" s="122">
        <f>IFERROR(__xludf.DUMMYFUNCTION("""COMPUTED_VALUE"""),6.0)</f>
        <v>6</v>
      </c>
      <c r="E209" s="122">
        <f>IFERROR(__xludf.DUMMYFUNCTION("""COMPUTED_VALUE"""),6.0)</f>
        <v>6</v>
      </c>
      <c r="F209" s="122">
        <f>IFERROR(__xludf.DUMMYFUNCTION("""COMPUTED_VALUE"""),12.0)</f>
        <v>12</v>
      </c>
      <c r="G209" s="122">
        <f>IFERROR(__xludf.DUMMYFUNCTION("""COMPUTED_VALUE"""),2.0)</f>
        <v>2</v>
      </c>
    </row>
    <row r="210">
      <c r="A210" s="117">
        <f>IFERROR(__xludf.DUMMYFUNCTION("""COMPUTED_VALUE"""),7.0)</f>
        <v>7</v>
      </c>
      <c r="B210" s="33" t="str">
        <f>IFERROR(__xludf.DUMMYFUNCTION("""COMPUTED_VALUE"""),"Jim Miao")</f>
        <v>Jim Miao</v>
      </c>
      <c r="C210" s="122">
        <f>IFERROR(__xludf.DUMMYFUNCTION("""COMPUTED_VALUE"""),6.0)</f>
        <v>6</v>
      </c>
      <c r="D210" s="122">
        <f>IFERROR(__xludf.DUMMYFUNCTION("""COMPUTED_VALUE"""),1.0)</f>
        <v>1</v>
      </c>
      <c r="E210" s="122">
        <f>IFERROR(__xludf.DUMMYFUNCTION("""COMPUTED_VALUE"""),6.0)</f>
        <v>6</v>
      </c>
      <c r="F210" s="122">
        <f>IFERROR(__xludf.DUMMYFUNCTION("""COMPUTED_VALUE"""),13.0)</f>
        <v>13</v>
      </c>
      <c r="G210" s="122">
        <f>IFERROR(__xludf.DUMMYFUNCTION("""COMPUTED_VALUE"""),2.0)</f>
        <v>2</v>
      </c>
    </row>
    <row r="211">
      <c r="A211" s="117">
        <f>IFERROR(__xludf.DUMMYFUNCTION("""COMPUTED_VALUE"""),7.0)</f>
        <v>7</v>
      </c>
      <c r="B211" s="33" t="str">
        <f>IFERROR(__xludf.DUMMYFUNCTION("""COMPUTED_VALUE"""),"Vicki Martinet")</f>
        <v>Vicki Martinet</v>
      </c>
      <c r="C211" s="122">
        <f>IFERROR(__xludf.DUMMYFUNCTION("""COMPUTED_VALUE"""),0.0)</f>
        <v>0</v>
      </c>
      <c r="D211" s="122">
        <f>IFERROR(__xludf.DUMMYFUNCTION("""COMPUTED_VALUE"""),1.0)</f>
        <v>1</v>
      </c>
      <c r="E211" s="122">
        <f>IFERROR(__xludf.DUMMYFUNCTION("""COMPUTED_VALUE"""),4.0)</f>
        <v>4</v>
      </c>
      <c r="F211" s="122">
        <f>IFERROR(__xludf.DUMMYFUNCTION("""COMPUTED_VALUE"""),5.0)</f>
        <v>5</v>
      </c>
      <c r="G211" s="122">
        <f>IFERROR(__xludf.DUMMYFUNCTION("""COMPUTED_VALUE"""),0.0)</f>
        <v>0</v>
      </c>
    </row>
    <row r="212">
      <c r="A212" s="123">
        <f>IFERROR(__xludf.DUMMYFUNCTION("""COMPUTED_VALUE"""),8.0)</f>
        <v>8</v>
      </c>
      <c r="B212" s="124" t="str">
        <f>IFERROR(__xludf.DUMMYFUNCTION("""COMPUTED_VALUE"""),"Naveen Raj")</f>
        <v>Naveen Raj</v>
      </c>
      <c r="C212" s="125">
        <f>IFERROR(__xludf.DUMMYFUNCTION("""COMPUTED_VALUE"""),2.0)</f>
        <v>2</v>
      </c>
      <c r="D212" s="125">
        <f>IFERROR(__xludf.DUMMYFUNCTION("""COMPUTED_VALUE"""),6.0)</f>
        <v>6</v>
      </c>
      <c r="E212" s="125">
        <f>IFERROR(__xludf.DUMMYFUNCTION("""COMPUTED_VALUE"""),0.0)</f>
        <v>0</v>
      </c>
      <c r="F212" s="125">
        <f>IFERROR(__xludf.DUMMYFUNCTION("""COMPUTED_VALUE"""),8.0)</f>
        <v>8</v>
      </c>
      <c r="G212" s="125">
        <f>IFERROR(__xludf.DUMMYFUNCTION("""COMPUTED_VALUE"""),1.0)</f>
        <v>1</v>
      </c>
    </row>
    <row r="213">
      <c r="A213" s="123">
        <f>IFERROR(__xludf.DUMMYFUNCTION("""COMPUTED_VALUE"""),8.0)</f>
        <v>8</v>
      </c>
      <c r="B213" s="124" t="str">
        <f>IFERROR(__xludf.DUMMYFUNCTION("""COMPUTED_VALUE"""),"Alejandro Mejia")</f>
        <v>Alejandro Mejia</v>
      </c>
      <c r="C213" s="125">
        <f>IFERROR(__xludf.DUMMYFUNCTION("""COMPUTED_VALUE"""),6.0)</f>
        <v>6</v>
      </c>
      <c r="D213" s="125">
        <f>IFERROR(__xludf.DUMMYFUNCTION("""COMPUTED_VALUE"""),6.0)</f>
        <v>6</v>
      </c>
      <c r="E213" s="125">
        <f>IFERROR(__xludf.DUMMYFUNCTION("""COMPUTED_VALUE"""),6.0)</f>
        <v>6</v>
      </c>
      <c r="F213" s="125">
        <f>IFERROR(__xludf.DUMMYFUNCTION("""COMPUTED_VALUE"""),18.0)</f>
        <v>18</v>
      </c>
      <c r="G213" s="125">
        <f>IFERROR(__xludf.DUMMYFUNCTION("""COMPUTED_VALUE"""),3.0)</f>
        <v>3</v>
      </c>
    </row>
    <row r="214">
      <c r="A214" s="123">
        <f>IFERROR(__xludf.DUMMYFUNCTION("""COMPUTED_VALUE"""),8.0)</f>
        <v>8</v>
      </c>
      <c r="B214" s="124" t="str">
        <f>IFERROR(__xludf.DUMMYFUNCTION("""COMPUTED_VALUE"""),"Wayne Liu")</f>
        <v>Wayne Liu</v>
      </c>
      <c r="C214" s="125">
        <f>IFERROR(__xludf.DUMMYFUNCTION("""COMPUTED_VALUE"""),2.0)</f>
        <v>2</v>
      </c>
      <c r="D214" s="125">
        <f>IFERROR(__xludf.DUMMYFUNCTION("""COMPUTED_VALUE"""),1.0)</f>
        <v>1</v>
      </c>
      <c r="E214" s="125">
        <f>IFERROR(__xludf.DUMMYFUNCTION("""COMPUTED_VALUE"""),6.0)</f>
        <v>6</v>
      </c>
      <c r="F214" s="125">
        <f>IFERROR(__xludf.DUMMYFUNCTION("""COMPUTED_VALUE"""),9.0)</f>
        <v>9</v>
      </c>
      <c r="G214" s="125">
        <f>IFERROR(__xludf.DUMMYFUNCTION("""COMPUTED_VALUE"""),1.0)</f>
        <v>1</v>
      </c>
    </row>
    <row r="215">
      <c r="A215" s="123">
        <f>IFERROR(__xludf.DUMMYFUNCTION("""COMPUTED_VALUE"""),8.0)</f>
        <v>8</v>
      </c>
      <c r="B215" s="124" t="str">
        <f>IFERROR(__xludf.DUMMYFUNCTION("""COMPUTED_VALUE"""),"Vishnu Amarnath")</f>
        <v>Vishnu Amarnath</v>
      </c>
      <c r="C215" s="125">
        <f>IFERROR(__xludf.DUMMYFUNCTION("""COMPUTED_VALUE"""),6.0)</f>
        <v>6</v>
      </c>
      <c r="D215" s="125">
        <f>IFERROR(__xludf.DUMMYFUNCTION("""COMPUTED_VALUE"""),1.0)</f>
        <v>1</v>
      </c>
      <c r="E215" s="125">
        <f>IFERROR(__xludf.DUMMYFUNCTION("""COMPUTED_VALUE"""),0.0)</f>
        <v>0</v>
      </c>
      <c r="F215" s="125">
        <f>IFERROR(__xludf.DUMMYFUNCTION("""COMPUTED_VALUE"""),7.0)</f>
        <v>7</v>
      </c>
      <c r="G215" s="125">
        <f>IFERROR(__xludf.DUMMYFUNCTION("""COMPUTED_VALUE"""),1.0)</f>
        <v>1</v>
      </c>
    </row>
    <row r="216">
      <c r="A216" s="117">
        <f>IFERROR(__xludf.DUMMYFUNCTION("""COMPUTED_VALUE"""),9.0)</f>
        <v>9</v>
      </c>
      <c r="B216" s="33" t="str">
        <f>IFERROR(__xludf.DUMMYFUNCTION("""COMPUTED_VALUE"""),"Darren Wong")</f>
        <v>Darren Wong</v>
      </c>
      <c r="C216" s="122">
        <f>IFERROR(__xludf.DUMMYFUNCTION("""COMPUTED_VALUE"""),6.0)</f>
        <v>6</v>
      </c>
      <c r="D216" s="122">
        <f>IFERROR(__xludf.DUMMYFUNCTION("""COMPUTED_VALUE"""),1.0)</f>
        <v>1</v>
      </c>
      <c r="E216" s="122">
        <f>IFERROR(__xludf.DUMMYFUNCTION("""COMPUTED_VALUE"""),6.0)</f>
        <v>6</v>
      </c>
      <c r="F216" s="122">
        <f>IFERROR(__xludf.DUMMYFUNCTION("""COMPUTED_VALUE"""),13.0)</f>
        <v>13</v>
      </c>
      <c r="G216" s="122">
        <f>IFERROR(__xludf.DUMMYFUNCTION("""COMPUTED_VALUE"""),2.0)</f>
        <v>2</v>
      </c>
    </row>
    <row r="217">
      <c r="A217" s="117">
        <f>IFERROR(__xludf.DUMMYFUNCTION("""COMPUTED_VALUE"""),9.0)</f>
        <v>9</v>
      </c>
      <c r="B217" s="33" t="str">
        <f>IFERROR(__xludf.DUMMYFUNCTION("""COMPUTED_VALUE"""),"Eric Pan")</f>
        <v>Eric Pan</v>
      </c>
      <c r="C217" s="122">
        <f>IFERROR(__xludf.DUMMYFUNCTION("""COMPUTED_VALUE"""),6.0)</f>
        <v>6</v>
      </c>
      <c r="D217" s="122">
        <f>IFERROR(__xludf.DUMMYFUNCTION("""COMPUTED_VALUE"""),6.0)</f>
        <v>6</v>
      </c>
      <c r="E217" s="122">
        <f>IFERROR(__xludf.DUMMYFUNCTION("""COMPUTED_VALUE"""),4.0)</f>
        <v>4</v>
      </c>
      <c r="F217" s="122">
        <f>IFERROR(__xludf.DUMMYFUNCTION("""COMPUTED_VALUE"""),16.0)</f>
        <v>16</v>
      </c>
      <c r="G217" s="122">
        <f>IFERROR(__xludf.DUMMYFUNCTION("""COMPUTED_VALUE"""),2.0)</f>
        <v>2</v>
      </c>
    </row>
    <row r="218">
      <c r="A218" s="117">
        <f>IFERROR(__xludf.DUMMYFUNCTION("""COMPUTED_VALUE"""),9.0)</f>
        <v>9</v>
      </c>
      <c r="B218" s="33" t="str">
        <f>IFERROR(__xludf.DUMMYFUNCTION("""COMPUTED_VALUE"""),"Ethan Gu")</f>
        <v>Ethan Gu</v>
      </c>
      <c r="C218" s="122">
        <f>IFERROR(__xludf.DUMMYFUNCTION("""COMPUTED_VALUE"""),0.0)</f>
        <v>0</v>
      </c>
      <c r="D218" s="122">
        <f>IFERROR(__xludf.DUMMYFUNCTION("""COMPUTED_VALUE"""),6.0)</f>
        <v>6</v>
      </c>
      <c r="E218" s="122">
        <f>IFERROR(__xludf.DUMMYFUNCTION("""COMPUTED_VALUE"""),6.0)</f>
        <v>6</v>
      </c>
      <c r="F218" s="122">
        <f>IFERROR(__xludf.DUMMYFUNCTION("""COMPUTED_VALUE"""),12.0)</f>
        <v>12</v>
      </c>
      <c r="G218" s="122">
        <f>IFERROR(__xludf.DUMMYFUNCTION("""COMPUTED_VALUE"""),2.0)</f>
        <v>2</v>
      </c>
    </row>
    <row r="219">
      <c r="A219" s="117">
        <f>IFERROR(__xludf.DUMMYFUNCTION("""COMPUTED_VALUE"""),9.0)</f>
        <v>9</v>
      </c>
      <c r="B219" s="33" t="str">
        <f>IFERROR(__xludf.DUMMYFUNCTION("""COMPUTED_VALUE"""),"Frank Moon")</f>
        <v>Frank Moon</v>
      </c>
      <c r="C219" s="122">
        <f>IFERROR(__xludf.DUMMYFUNCTION("""COMPUTED_VALUE"""),0.0)</f>
        <v>0</v>
      </c>
      <c r="D219" s="122">
        <f>IFERROR(__xludf.DUMMYFUNCTION("""COMPUTED_VALUE"""),1.0)</f>
        <v>1</v>
      </c>
      <c r="E219" s="122">
        <f>IFERROR(__xludf.DUMMYFUNCTION("""COMPUTED_VALUE"""),4.0)</f>
        <v>4</v>
      </c>
      <c r="F219" s="122">
        <f>IFERROR(__xludf.DUMMYFUNCTION("""COMPUTED_VALUE"""),5.0)</f>
        <v>5</v>
      </c>
      <c r="G219" s="122">
        <f>IFERROR(__xludf.DUMMYFUNCTION("""COMPUTED_VALUE"""),0.0)</f>
        <v>0</v>
      </c>
    </row>
    <row r="220">
      <c r="A220" s="123">
        <f>IFERROR(__xludf.DUMMYFUNCTION("""COMPUTED_VALUE"""),10.0)</f>
        <v>10</v>
      </c>
      <c r="B220" s="124" t="str">
        <f>IFERROR(__xludf.DUMMYFUNCTION("""COMPUTED_VALUE"""),"Tom Le")</f>
        <v>Tom Le</v>
      </c>
      <c r="C220" s="125">
        <f>IFERROR(__xludf.DUMMYFUNCTION("""COMPUTED_VALUE"""),6.0)</f>
        <v>6</v>
      </c>
      <c r="D220" s="125">
        <f>IFERROR(__xludf.DUMMYFUNCTION("""COMPUTED_VALUE"""),6.0)</f>
        <v>6</v>
      </c>
      <c r="E220" s="125">
        <f>IFERROR(__xludf.DUMMYFUNCTION("""COMPUTED_VALUE"""),6.0)</f>
        <v>6</v>
      </c>
      <c r="F220" s="125">
        <f>IFERROR(__xludf.DUMMYFUNCTION("""COMPUTED_VALUE"""),18.0)</f>
        <v>18</v>
      </c>
      <c r="G220" s="125">
        <f>IFERROR(__xludf.DUMMYFUNCTION("""COMPUTED_VALUE"""),3.0)</f>
        <v>3</v>
      </c>
    </row>
    <row r="221">
      <c r="A221" s="123">
        <f>IFERROR(__xludf.DUMMYFUNCTION("""COMPUTED_VALUE"""),10.0)</f>
        <v>10</v>
      </c>
      <c r="B221" s="124" t="str">
        <f>IFERROR(__xludf.DUMMYFUNCTION("""COMPUTED_VALUE"""),"Rajasekar Ramasamy")</f>
        <v>Rajasekar Ramasamy</v>
      </c>
      <c r="C221" s="125">
        <f>IFERROR(__xludf.DUMMYFUNCTION("""COMPUTED_VALUE"""),2.0)</f>
        <v>2</v>
      </c>
      <c r="D221" s="125">
        <f>IFERROR(__xludf.DUMMYFUNCTION("""COMPUTED_VALUE"""),6.0)</f>
        <v>6</v>
      </c>
      <c r="E221" s="125">
        <f>IFERROR(__xludf.DUMMYFUNCTION("""COMPUTED_VALUE"""),0.0)</f>
        <v>0</v>
      </c>
      <c r="F221" s="125">
        <f>IFERROR(__xludf.DUMMYFUNCTION("""COMPUTED_VALUE"""),8.0)</f>
        <v>8</v>
      </c>
      <c r="G221" s="125">
        <f>IFERROR(__xludf.DUMMYFUNCTION("""COMPUTED_VALUE"""),1.0)</f>
        <v>1</v>
      </c>
    </row>
    <row r="222">
      <c r="A222" s="123">
        <f>IFERROR(__xludf.DUMMYFUNCTION("""COMPUTED_VALUE"""),10.0)</f>
        <v>10</v>
      </c>
      <c r="B222" s="124" t="str">
        <f>IFERROR(__xludf.DUMMYFUNCTION("""COMPUTED_VALUE"""),"Scott Li")</f>
        <v>Scott Li</v>
      </c>
      <c r="C222" s="125">
        <f>IFERROR(__xludf.DUMMYFUNCTION("""COMPUTED_VALUE"""),2.0)</f>
        <v>2</v>
      </c>
      <c r="D222" s="125">
        <f>IFERROR(__xludf.DUMMYFUNCTION("""COMPUTED_VALUE"""),1.0)</f>
        <v>1</v>
      </c>
      <c r="E222" s="125">
        <f>IFERROR(__xludf.DUMMYFUNCTION("""COMPUTED_VALUE"""),6.0)</f>
        <v>6</v>
      </c>
      <c r="F222" s="125">
        <f>IFERROR(__xludf.DUMMYFUNCTION("""COMPUTED_VALUE"""),9.0)</f>
        <v>9</v>
      </c>
      <c r="G222" s="125">
        <f>IFERROR(__xludf.DUMMYFUNCTION("""COMPUTED_VALUE"""),1.0)</f>
        <v>1</v>
      </c>
    </row>
    <row r="223">
      <c r="A223" s="123">
        <f>IFERROR(__xludf.DUMMYFUNCTION("""COMPUTED_VALUE"""),10.0)</f>
        <v>10</v>
      </c>
      <c r="B223" s="124" t="str">
        <f>IFERROR(__xludf.DUMMYFUNCTION("""COMPUTED_VALUE"""),"Sandeep Kamalon")</f>
        <v>Sandeep Kamalon</v>
      </c>
      <c r="C223" s="125">
        <f>IFERROR(__xludf.DUMMYFUNCTION("""COMPUTED_VALUE"""),6.0)</f>
        <v>6</v>
      </c>
      <c r="D223" s="125">
        <f>IFERROR(__xludf.DUMMYFUNCTION("""COMPUTED_VALUE"""),1.0)</f>
        <v>1</v>
      </c>
      <c r="E223" s="125">
        <f>IFERROR(__xludf.DUMMYFUNCTION("""COMPUTED_VALUE"""),0.0)</f>
        <v>0</v>
      </c>
      <c r="F223" s="125">
        <f>IFERROR(__xludf.DUMMYFUNCTION("""COMPUTED_VALUE"""),7.0)</f>
        <v>7</v>
      </c>
      <c r="G223" s="125">
        <f>IFERROR(__xludf.DUMMYFUNCTION("""COMPUTED_VALUE"""),1.0)</f>
        <v>1</v>
      </c>
    </row>
    <row r="224">
      <c r="A224" s="117">
        <f>IFERROR(__xludf.DUMMYFUNCTION("""COMPUTED_VALUE"""),11.0)</f>
        <v>11</v>
      </c>
      <c r="B224" s="33" t="str">
        <f>IFERROR(__xludf.DUMMYFUNCTION("""COMPUTED_VALUE"""),"Hongyuan Wen")</f>
        <v>Hongyuan Wen</v>
      </c>
      <c r="C224" s="122">
        <f>IFERROR(__xludf.DUMMYFUNCTION("""COMPUTED_VALUE"""),3.0)</f>
        <v>3</v>
      </c>
      <c r="D224" s="122">
        <f>IFERROR(__xludf.DUMMYFUNCTION("""COMPUTED_VALUE"""),6.0)</f>
        <v>6</v>
      </c>
      <c r="E224" s="122">
        <f>IFERROR(__xludf.DUMMYFUNCTION("""COMPUTED_VALUE"""),3.0)</f>
        <v>3</v>
      </c>
      <c r="F224" s="122">
        <f>IFERROR(__xludf.DUMMYFUNCTION("""COMPUTED_VALUE"""),12.0)</f>
        <v>12</v>
      </c>
      <c r="G224" s="122">
        <f>IFERROR(__xludf.DUMMYFUNCTION("""COMPUTED_VALUE"""),0.0)</f>
        <v>0</v>
      </c>
    </row>
    <row r="225">
      <c r="A225" s="117">
        <f>IFERROR(__xludf.DUMMYFUNCTION("""COMPUTED_VALUE"""),11.0)</f>
        <v>11</v>
      </c>
      <c r="B225" s="33" t="str">
        <f>IFERROR(__xludf.DUMMYFUNCTION("""COMPUTED_VALUE"""),"Herman Au")</f>
        <v>Herman Au</v>
      </c>
      <c r="C225" s="122">
        <f>IFERROR(__xludf.DUMMYFUNCTION("""COMPUTED_VALUE"""),6.0)</f>
        <v>6</v>
      </c>
      <c r="D225" s="122">
        <f>IFERROR(__xludf.DUMMYFUNCTION("""COMPUTED_VALUE"""),7.0)</f>
        <v>7</v>
      </c>
      <c r="E225" s="122">
        <f>IFERROR(__xludf.DUMMYFUNCTION("""COMPUTED_VALUE"""),3.0)</f>
        <v>3</v>
      </c>
      <c r="F225" s="122">
        <f>IFERROR(__xludf.DUMMYFUNCTION("""COMPUTED_VALUE"""),16.0)</f>
        <v>16</v>
      </c>
      <c r="G225" s="122">
        <f>IFERROR(__xludf.DUMMYFUNCTION("""COMPUTED_VALUE"""),2.0)</f>
        <v>2</v>
      </c>
    </row>
    <row r="226">
      <c r="A226" s="117">
        <f>IFERROR(__xludf.DUMMYFUNCTION("""COMPUTED_VALUE"""),11.0)</f>
        <v>11</v>
      </c>
      <c r="B226" s="33" t="str">
        <f>IFERROR(__xludf.DUMMYFUNCTION("""COMPUTED_VALUE"""),"Oscar Bonilla")</f>
        <v>Oscar Bonilla</v>
      </c>
      <c r="C226" s="122">
        <f>IFERROR(__xludf.DUMMYFUNCTION("""COMPUTED_VALUE"""),6.0)</f>
        <v>6</v>
      </c>
      <c r="D226" s="122">
        <f>IFERROR(__xludf.DUMMYFUNCTION("""COMPUTED_VALUE"""),6.0)</f>
        <v>6</v>
      </c>
      <c r="E226" s="122">
        <f>IFERROR(__xludf.DUMMYFUNCTION("""COMPUTED_VALUE"""),6.0)</f>
        <v>6</v>
      </c>
      <c r="F226" s="122">
        <f>IFERROR(__xludf.DUMMYFUNCTION("""COMPUTED_VALUE"""),18.0)</f>
        <v>18</v>
      </c>
      <c r="G226" s="122">
        <f>IFERROR(__xludf.DUMMYFUNCTION("""COMPUTED_VALUE"""),2.0)</f>
        <v>2</v>
      </c>
    </row>
    <row r="227">
      <c r="A227" s="117">
        <f>IFERROR(__xludf.DUMMYFUNCTION("""COMPUTED_VALUE"""),11.0)</f>
        <v>11</v>
      </c>
      <c r="B227" s="33" t="str">
        <f>IFERROR(__xludf.DUMMYFUNCTION("""COMPUTED_VALUE"""),"David Shin")</f>
        <v>David Shin</v>
      </c>
      <c r="C227" s="122">
        <f>IFERROR(__xludf.DUMMYFUNCTION("""COMPUTED_VALUE"""),3.0)</f>
        <v>3</v>
      </c>
      <c r="D227" s="122">
        <f>IFERROR(__xludf.DUMMYFUNCTION("""COMPUTED_VALUE"""),7.0)</f>
        <v>7</v>
      </c>
      <c r="E227" s="122">
        <f>IFERROR(__xludf.DUMMYFUNCTION("""COMPUTED_VALUE"""),6.0)</f>
        <v>6</v>
      </c>
      <c r="F227" s="122">
        <f>IFERROR(__xludf.DUMMYFUNCTION("""COMPUTED_VALUE"""),16.0)</f>
        <v>16</v>
      </c>
      <c r="G227" s="122">
        <f>IFERROR(__xludf.DUMMYFUNCTION("""COMPUTED_VALUE"""),2.0)</f>
        <v>2</v>
      </c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45885.0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7.0</v>
      </c>
      <c r="E2" s="1"/>
      <c r="F2" s="1"/>
      <c r="R2" s="17"/>
      <c r="AC2" s="21" t="str">
        <f>text(C1-7,"mm/dd/yy")</f>
        <v>08/09/25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Z4" s="29" t="s">
        <v>44</v>
      </c>
    </row>
    <row r="5">
      <c r="A5" s="32">
        <v>1.0</v>
      </c>
      <c r="B5" s="33" t="s">
        <v>67</v>
      </c>
      <c r="C5" s="34">
        <v>90.0</v>
      </c>
      <c r="D5" s="34">
        <v>11.0</v>
      </c>
      <c r="E5" s="35">
        <f t="shared" ref="E5:E69" si="2">if(S5&gt;0,(C5-(V5*9)-(T5*13))/S5,0)</f>
        <v>14.4</v>
      </c>
      <c r="F5" s="95">
        <v>1.0</v>
      </c>
      <c r="G5" s="96">
        <v>9.0</v>
      </c>
      <c r="H5" s="97">
        <v>0.0</v>
      </c>
      <c r="I5" s="96">
        <v>6.0</v>
      </c>
      <c r="J5" s="96">
        <v>1.0</v>
      </c>
      <c r="K5" s="96">
        <v>6.0</v>
      </c>
      <c r="L5" s="98">
        <v>13.0</v>
      </c>
      <c r="M5" s="96">
        <v>2.0</v>
      </c>
      <c r="N5" s="34">
        <f t="shared" ref="N5:O5" si="1">C5+L5</f>
        <v>103</v>
      </c>
      <c r="O5" s="34">
        <f t="shared" si="1"/>
        <v>13</v>
      </c>
      <c r="P5" s="49" t="s">
        <v>58</v>
      </c>
      <c r="Q5" s="49" t="s">
        <v>58</v>
      </c>
      <c r="R5" s="49"/>
      <c r="S5" s="50">
        <f t="shared" ref="S5:S69" si="4">vlookup(B5,indirect("'" &amp; AC$2 &amp; "'!B5:W69"),18,false)++if(text(C$1,"mm/dd/yy")=$AC$2,0,if(H5&gt;0,0,1))</f>
        <v>5</v>
      </c>
      <c r="T5" s="52">
        <f t="shared" ref="T5:T69" si="5">if(H5=13,1,0)+vlookup(B5,indirect("'" &amp; AC$2 &amp; "'!B5:W69"),19,false)</f>
        <v>0</v>
      </c>
      <c r="U5" s="52"/>
      <c r="V5" s="50">
        <f t="shared" ref="V5:V69" si="6">vlookup(B5,indirect("'" &amp; AC$2 &amp; "'!B5:W69"),21,false)+if(text(C$1,"mm/dd/yy")=$AC$2,0,if(H5=9,1,0))</f>
        <v>2</v>
      </c>
      <c r="W5" s="52">
        <f t="shared" ref="W5:W69" si="7">vlookup(B5,indirect("'" &amp; AC$2 &amp; "'!B5:x69"),23,false)-X5</f>
        <v>0</v>
      </c>
      <c r="X5" s="32">
        <v>1.0</v>
      </c>
      <c r="Z5" s="16" t="str">
        <f t="shared" ref="Z5:Z69" si="8">if($D$2=sum(S5:V5),"","Error")</f>
        <v/>
      </c>
    </row>
    <row r="6">
      <c r="A6" s="32">
        <f t="shared" ref="A6:A69" si="9">A5+1</f>
        <v>2</v>
      </c>
      <c r="B6" s="33" t="s">
        <v>84</v>
      </c>
      <c r="C6" s="34">
        <v>89.0</v>
      </c>
      <c r="D6" s="34">
        <v>11.0</v>
      </c>
      <c r="E6" s="35">
        <f t="shared" si="2"/>
        <v>14.2</v>
      </c>
      <c r="F6" s="95">
        <v>3.0</v>
      </c>
      <c r="G6" s="96">
        <v>0.0</v>
      </c>
      <c r="H6" s="97">
        <v>9.0</v>
      </c>
      <c r="I6" s="96">
        <v>0.0</v>
      </c>
      <c r="J6" s="96">
        <v>0.0</v>
      </c>
      <c r="K6" s="96">
        <v>0.0</v>
      </c>
      <c r="L6" s="98">
        <v>9.0</v>
      </c>
      <c r="M6" s="96">
        <v>0.0</v>
      </c>
      <c r="N6" s="34">
        <f t="shared" ref="N6:O6" si="3">C6+L6</f>
        <v>98</v>
      </c>
      <c r="O6" s="34">
        <f t="shared" si="3"/>
        <v>11</v>
      </c>
      <c r="P6" s="49" t="s">
        <v>58</v>
      </c>
      <c r="Q6" s="49" t="s">
        <v>58</v>
      </c>
      <c r="R6" s="49"/>
      <c r="S6" s="50">
        <f t="shared" si="4"/>
        <v>5</v>
      </c>
      <c r="T6" s="52">
        <f t="shared" si="5"/>
        <v>0</v>
      </c>
      <c r="U6" s="52"/>
      <c r="V6" s="50">
        <f t="shared" si="6"/>
        <v>2</v>
      </c>
      <c r="W6" s="52">
        <f t="shared" si="7"/>
        <v>1</v>
      </c>
      <c r="X6" s="32">
        <f t="shared" ref="X6:X69" si="11">X5+1</f>
        <v>2</v>
      </c>
      <c r="Z6" s="16" t="str">
        <f t="shared" si="8"/>
        <v/>
      </c>
    </row>
    <row r="7">
      <c r="A7" s="32">
        <f t="shared" si="9"/>
        <v>3</v>
      </c>
      <c r="B7" s="33" t="s">
        <v>73</v>
      </c>
      <c r="C7" s="34">
        <v>88.0</v>
      </c>
      <c r="D7" s="34">
        <v>10.0</v>
      </c>
      <c r="E7" s="35">
        <f t="shared" si="2"/>
        <v>14</v>
      </c>
      <c r="F7" s="95">
        <v>3.0</v>
      </c>
      <c r="G7" s="96">
        <v>0.0</v>
      </c>
      <c r="H7" s="97">
        <v>9.0</v>
      </c>
      <c r="I7" s="96">
        <v>0.0</v>
      </c>
      <c r="J7" s="96">
        <v>0.0</v>
      </c>
      <c r="K7" s="96">
        <v>0.0</v>
      </c>
      <c r="L7" s="98">
        <v>9.0</v>
      </c>
      <c r="M7" s="96">
        <v>0.0</v>
      </c>
      <c r="N7" s="34">
        <f t="shared" ref="N7:O7" si="10">C7+L7</f>
        <v>97</v>
      </c>
      <c r="O7" s="34">
        <f t="shared" si="10"/>
        <v>10</v>
      </c>
      <c r="P7" s="49" t="s">
        <v>58</v>
      </c>
      <c r="Q7" s="49" t="s">
        <v>58</v>
      </c>
      <c r="R7" s="49"/>
      <c r="S7" s="50">
        <f t="shared" si="4"/>
        <v>5</v>
      </c>
      <c r="T7" s="52">
        <f t="shared" si="5"/>
        <v>0</v>
      </c>
      <c r="U7" s="52"/>
      <c r="V7" s="50">
        <f t="shared" si="6"/>
        <v>2</v>
      </c>
      <c r="W7" s="52">
        <f t="shared" si="7"/>
        <v>-1</v>
      </c>
      <c r="X7" s="32">
        <f t="shared" si="11"/>
        <v>3</v>
      </c>
      <c r="Z7" s="16" t="str">
        <f t="shared" si="8"/>
        <v/>
      </c>
    </row>
    <row r="8">
      <c r="A8" s="32">
        <f t="shared" si="9"/>
        <v>4</v>
      </c>
      <c r="B8" s="33" t="s">
        <v>83</v>
      </c>
      <c r="C8" s="34">
        <v>88.0</v>
      </c>
      <c r="D8" s="34">
        <v>10.0</v>
      </c>
      <c r="E8" s="35">
        <f t="shared" si="2"/>
        <v>13.16666667</v>
      </c>
      <c r="F8" s="95">
        <v>2.0</v>
      </c>
      <c r="G8" s="96">
        <v>9.0</v>
      </c>
      <c r="H8" s="97">
        <v>0.0</v>
      </c>
      <c r="I8" s="96">
        <v>6.0</v>
      </c>
      <c r="J8" s="96">
        <v>6.0</v>
      </c>
      <c r="K8" s="96">
        <v>4.0</v>
      </c>
      <c r="L8" s="98">
        <v>16.0</v>
      </c>
      <c r="M8" s="96">
        <v>2.0</v>
      </c>
      <c r="N8" s="34">
        <f t="shared" ref="N8:O8" si="12">C8+L8</f>
        <v>104</v>
      </c>
      <c r="O8" s="34">
        <f t="shared" si="12"/>
        <v>12</v>
      </c>
      <c r="P8" s="49" t="s">
        <v>58</v>
      </c>
      <c r="Q8" s="49" t="s">
        <v>58</v>
      </c>
      <c r="R8" s="49"/>
      <c r="S8" s="50">
        <f t="shared" si="4"/>
        <v>6</v>
      </c>
      <c r="T8" s="52">
        <f t="shared" si="5"/>
        <v>0</v>
      </c>
      <c r="U8" s="52"/>
      <c r="V8" s="50">
        <f t="shared" si="6"/>
        <v>1</v>
      </c>
      <c r="W8" s="52">
        <f t="shared" si="7"/>
        <v>0</v>
      </c>
      <c r="X8" s="32">
        <f t="shared" si="11"/>
        <v>4</v>
      </c>
      <c r="Z8" s="16" t="str">
        <f t="shared" si="8"/>
        <v/>
      </c>
    </row>
    <row r="9">
      <c r="A9" s="32">
        <f t="shared" si="9"/>
        <v>5</v>
      </c>
      <c r="B9" s="33" t="s">
        <v>98</v>
      </c>
      <c r="C9" s="34">
        <v>86.0</v>
      </c>
      <c r="D9" s="34">
        <v>11.0</v>
      </c>
      <c r="E9" s="35">
        <f t="shared" si="2"/>
        <v>12.28571429</v>
      </c>
      <c r="F9" s="95">
        <v>1.0</v>
      </c>
      <c r="G9" s="96">
        <v>9.0</v>
      </c>
      <c r="H9" s="97">
        <v>0.0</v>
      </c>
      <c r="I9" s="96">
        <v>0.0</v>
      </c>
      <c r="J9" s="96">
        <v>6.0</v>
      </c>
      <c r="K9" s="96">
        <v>6.0</v>
      </c>
      <c r="L9" s="98">
        <v>12.0</v>
      </c>
      <c r="M9" s="96">
        <v>2.0</v>
      </c>
      <c r="N9" s="34">
        <f t="shared" ref="N9:O9" si="13">C9+L9</f>
        <v>98</v>
      </c>
      <c r="O9" s="34">
        <f t="shared" si="13"/>
        <v>13</v>
      </c>
      <c r="P9" s="49" t="s">
        <v>58</v>
      </c>
      <c r="Q9" s="49" t="s">
        <v>58</v>
      </c>
      <c r="R9" s="49"/>
      <c r="S9" s="50">
        <f t="shared" si="4"/>
        <v>7</v>
      </c>
      <c r="T9" s="52">
        <f t="shared" si="5"/>
        <v>0</v>
      </c>
      <c r="U9" s="52"/>
      <c r="V9" s="50">
        <f t="shared" si="6"/>
        <v>0</v>
      </c>
      <c r="W9" s="52">
        <f t="shared" si="7"/>
        <v>1</v>
      </c>
      <c r="X9" s="32">
        <f t="shared" si="11"/>
        <v>5</v>
      </c>
      <c r="Z9" s="16" t="str">
        <f t="shared" si="8"/>
        <v/>
      </c>
    </row>
    <row r="10">
      <c r="A10" s="32">
        <f t="shared" si="9"/>
        <v>6</v>
      </c>
      <c r="B10" s="33" t="s">
        <v>110</v>
      </c>
      <c r="C10" s="34">
        <v>86.0</v>
      </c>
      <c r="D10" s="34">
        <v>10.0</v>
      </c>
      <c r="E10" s="35">
        <f t="shared" si="2"/>
        <v>12.28571429</v>
      </c>
      <c r="F10" s="95">
        <v>1.0</v>
      </c>
      <c r="G10" s="96">
        <v>9.0</v>
      </c>
      <c r="H10" s="97">
        <v>0.0</v>
      </c>
      <c r="I10" s="96">
        <v>0.0</v>
      </c>
      <c r="J10" s="96">
        <v>1.0</v>
      </c>
      <c r="K10" s="96">
        <v>4.0</v>
      </c>
      <c r="L10" s="98">
        <v>5.0</v>
      </c>
      <c r="M10" s="96">
        <v>0.0</v>
      </c>
      <c r="N10" s="34">
        <f t="shared" ref="N10:O10" si="14">C10+L10</f>
        <v>91</v>
      </c>
      <c r="O10" s="34">
        <f t="shared" si="14"/>
        <v>10</v>
      </c>
      <c r="P10" s="49" t="s">
        <v>58</v>
      </c>
      <c r="Q10" s="49" t="s">
        <v>58</v>
      </c>
      <c r="R10" s="49"/>
      <c r="S10" s="50">
        <f t="shared" si="4"/>
        <v>7</v>
      </c>
      <c r="T10" s="52">
        <f t="shared" si="5"/>
        <v>0</v>
      </c>
      <c r="U10" s="52"/>
      <c r="V10" s="50">
        <f t="shared" si="6"/>
        <v>0</v>
      </c>
      <c r="W10" s="52">
        <f t="shared" si="7"/>
        <v>4</v>
      </c>
      <c r="X10" s="32">
        <f t="shared" si="11"/>
        <v>6</v>
      </c>
      <c r="Z10" s="16" t="str">
        <f t="shared" si="8"/>
        <v/>
      </c>
    </row>
    <row r="11">
      <c r="A11" s="32">
        <f t="shared" si="9"/>
        <v>7</v>
      </c>
      <c r="B11" s="33" t="s">
        <v>107</v>
      </c>
      <c r="C11" s="34">
        <v>84.0</v>
      </c>
      <c r="D11" s="34">
        <v>9.0</v>
      </c>
      <c r="E11" s="35">
        <f t="shared" si="2"/>
        <v>13.2</v>
      </c>
      <c r="F11" s="95">
        <v>2.0</v>
      </c>
      <c r="G11" s="96">
        <v>10.0</v>
      </c>
      <c r="H11" s="97">
        <v>0.0</v>
      </c>
      <c r="I11" s="96">
        <v>6.0</v>
      </c>
      <c r="J11" s="96">
        <v>6.0</v>
      </c>
      <c r="K11" s="96">
        <v>6.0</v>
      </c>
      <c r="L11" s="98">
        <v>18.0</v>
      </c>
      <c r="M11" s="96">
        <v>3.0</v>
      </c>
      <c r="N11" s="34">
        <f t="shared" ref="N11:O11" si="15">C11+L11</f>
        <v>102</v>
      </c>
      <c r="O11" s="34">
        <f t="shared" si="15"/>
        <v>12</v>
      </c>
      <c r="P11" s="49" t="s">
        <v>58</v>
      </c>
      <c r="Q11" s="49" t="s">
        <v>58</v>
      </c>
      <c r="R11" s="49"/>
      <c r="S11" s="50">
        <f t="shared" si="4"/>
        <v>5</v>
      </c>
      <c r="T11" s="52">
        <f t="shared" si="5"/>
        <v>0</v>
      </c>
      <c r="U11" s="52"/>
      <c r="V11" s="50">
        <f t="shared" si="6"/>
        <v>2</v>
      </c>
      <c r="W11" s="52">
        <f t="shared" si="7"/>
        <v>2</v>
      </c>
      <c r="X11" s="32">
        <f t="shared" si="11"/>
        <v>7</v>
      </c>
      <c r="Z11" s="16" t="str">
        <f t="shared" si="8"/>
        <v/>
      </c>
    </row>
    <row r="12">
      <c r="A12" s="32">
        <f t="shared" si="9"/>
        <v>8</v>
      </c>
      <c r="B12" s="33" t="s">
        <v>91</v>
      </c>
      <c r="C12" s="34">
        <v>83.0</v>
      </c>
      <c r="D12" s="34">
        <v>10.0</v>
      </c>
      <c r="E12" s="35">
        <f t="shared" si="2"/>
        <v>11.85714286</v>
      </c>
      <c r="F12" s="95">
        <v>1.0</v>
      </c>
      <c r="G12" s="96">
        <v>10.0</v>
      </c>
      <c r="H12" s="97">
        <v>0.0</v>
      </c>
      <c r="I12" s="96">
        <v>2.0</v>
      </c>
      <c r="J12" s="96">
        <v>6.0</v>
      </c>
      <c r="K12" s="96">
        <v>0.0</v>
      </c>
      <c r="L12" s="98">
        <v>8.0</v>
      </c>
      <c r="M12" s="96">
        <v>1.0</v>
      </c>
      <c r="N12" s="34">
        <f t="shared" ref="N12:O12" si="16">C12+L12</f>
        <v>91</v>
      </c>
      <c r="O12" s="34">
        <f t="shared" si="16"/>
        <v>11</v>
      </c>
      <c r="P12" s="49" t="s">
        <v>58</v>
      </c>
      <c r="Q12" s="49" t="s">
        <v>58</v>
      </c>
      <c r="R12" s="49"/>
      <c r="S12" s="50">
        <f t="shared" si="4"/>
        <v>7</v>
      </c>
      <c r="T12" s="52">
        <f t="shared" si="5"/>
        <v>0</v>
      </c>
      <c r="U12" s="52"/>
      <c r="V12" s="50">
        <f t="shared" si="6"/>
        <v>0</v>
      </c>
      <c r="W12" s="52">
        <f t="shared" si="7"/>
        <v>0</v>
      </c>
      <c r="X12" s="32">
        <f t="shared" si="11"/>
        <v>8</v>
      </c>
      <c r="Z12" s="16" t="str">
        <f t="shared" si="8"/>
        <v/>
      </c>
    </row>
    <row r="13">
      <c r="A13" s="32">
        <f t="shared" si="9"/>
        <v>9</v>
      </c>
      <c r="B13" s="33" t="s">
        <v>87</v>
      </c>
      <c r="C13" s="34">
        <v>82.0</v>
      </c>
      <c r="D13" s="34">
        <v>10.0</v>
      </c>
      <c r="E13" s="35">
        <f t="shared" si="2"/>
        <v>12.16666667</v>
      </c>
      <c r="F13" s="95">
        <v>1.0</v>
      </c>
      <c r="G13" s="96">
        <v>10.0</v>
      </c>
      <c r="H13" s="97">
        <v>0.0</v>
      </c>
      <c r="I13" s="96">
        <v>2.0</v>
      </c>
      <c r="J13" s="96">
        <v>1.0</v>
      </c>
      <c r="K13" s="96">
        <v>6.0</v>
      </c>
      <c r="L13" s="98">
        <v>9.0</v>
      </c>
      <c r="M13" s="96">
        <v>1.0</v>
      </c>
      <c r="N13" s="34">
        <f t="shared" ref="N13:O13" si="17">C13+L13</f>
        <v>91</v>
      </c>
      <c r="O13" s="34">
        <f t="shared" si="17"/>
        <v>11</v>
      </c>
      <c r="P13" s="49" t="s">
        <v>58</v>
      </c>
      <c r="Q13" s="49" t="s">
        <v>58</v>
      </c>
      <c r="R13" s="49"/>
      <c r="S13" s="50">
        <f t="shared" si="4"/>
        <v>6</v>
      </c>
      <c r="T13" s="52">
        <f t="shared" si="5"/>
        <v>0</v>
      </c>
      <c r="U13" s="52"/>
      <c r="V13" s="50">
        <f t="shared" si="6"/>
        <v>1</v>
      </c>
      <c r="W13" s="52">
        <f t="shared" si="7"/>
        <v>7</v>
      </c>
      <c r="X13" s="32">
        <f t="shared" si="11"/>
        <v>9</v>
      </c>
      <c r="Z13" s="16" t="str">
        <f t="shared" si="8"/>
        <v/>
      </c>
    </row>
    <row r="14">
      <c r="A14" s="32">
        <f t="shared" si="9"/>
        <v>10</v>
      </c>
      <c r="B14" s="33" t="s">
        <v>90</v>
      </c>
      <c r="C14" s="34">
        <v>81.0</v>
      </c>
      <c r="D14" s="34">
        <v>9.0</v>
      </c>
      <c r="E14" s="35">
        <f t="shared" si="2"/>
        <v>11.33333333</v>
      </c>
      <c r="F14" s="95">
        <v>1.0</v>
      </c>
      <c r="G14" s="96">
        <v>10.0</v>
      </c>
      <c r="H14" s="97">
        <v>0.0</v>
      </c>
      <c r="I14" s="96">
        <v>6.0</v>
      </c>
      <c r="J14" s="96">
        <v>1.0</v>
      </c>
      <c r="K14" s="96">
        <v>0.0</v>
      </c>
      <c r="L14" s="98">
        <v>7.0</v>
      </c>
      <c r="M14" s="96">
        <v>1.0</v>
      </c>
      <c r="N14" s="34">
        <f t="shared" ref="N14:O14" si="18">C14+L14</f>
        <v>88</v>
      </c>
      <c r="O14" s="34">
        <f t="shared" si="18"/>
        <v>10</v>
      </c>
      <c r="P14" s="49" t="s">
        <v>58</v>
      </c>
      <c r="Q14" s="49" t="s">
        <v>58</v>
      </c>
      <c r="R14" s="49"/>
      <c r="S14" s="50">
        <f t="shared" si="4"/>
        <v>6</v>
      </c>
      <c r="T14" s="52">
        <f t="shared" si="5"/>
        <v>1</v>
      </c>
      <c r="U14" s="52"/>
      <c r="V14" s="50">
        <f t="shared" si="6"/>
        <v>0</v>
      </c>
      <c r="W14" s="52">
        <f t="shared" si="7"/>
        <v>-5</v>
      </c>
      <c r="X14" s="32">
        <f t="shared" si="11"/>
        <v>10</v>
      </c>
      <c r="Z14" s="16" t="str">
        <f t="shared" si="8"/>
        <v/>
      </c>
    </row>
    <row r="15">
      <c r="A15" s="32">
        <f t="shared" si="9"/>
        <v>11</v>
      </c>
      <c r="B15" s="33" t="s">
        <v>114</v>
      </c>
      <c r="C15" s="34">
        <v>80.0</v>
      </c>
      <c r="D15" s="34">
        <v>6.0</v>
      </c>
      <c r="E15" s="35">
        <f t="shared" si="2"/>
        <v>11.83333333</v>
      </c>
      <c r="F15" s="95">
        <v>1.0</v>
      </c>
      <c r="G15" s="96">
        <v>11.0</v>
      </c>
      <c r="H15" s="97">
        <v>0.0</v>
      </c>
      <c r="I15" s="96">
        <v>3.0</v>
      </c>
      <c r="J15" s="96">
        <v>6.0</v>
      </c>
      <c r="K15" s="96">
        <v>3.0</v>
      </c>
      <c r="L15" s="98">
        <v>12.0</v>
      </c>
      <c r="M15" s="96">
        <v>0.0</v>
      </c>
      <c r="N15" s="34">
        <f t="shared" ref="N15:O15" si="19">C15+L15</f>
        <v>92</v>
      </c>
      <c r="O15" s="34">
        <f t="shared" si="19"/>
        <v>6</v>
      </c>
      <c r="P15" s="49" t="s">
        <v>58</v>
      </c>
      <c r="Q15" s="49" t="s">
        <v>58</v>
      </c>
      <c r="R15" s="49"/>
      <c r="S15" s="50">
        <f t="shared" si="4"/>
        <v>6</v>
      </c>
      <c r="T15" s="52">
        <f t="shared" si="5"/>
        <v>0</v>
      </c>
      <c r="U15" s="52"/>
      <c r="V15" s="50">
        <f t="shared" si="6"/>
        <v>1</v>
      </c>
      <c r="W15" s="52">
        <f t="shared" si="7"/>
        <v>12</v>
      </c>
      <c r="X15" s="32">
        <f t="shared" si="11"/>
        <v>11</v>
      </c>
      <c r="Z15" s="16" t="str">
        <f t="shared" si="8"/>
        <v/>
      </c>
    </row>
    <row r="16">
      <c r="A16" s="32">
        <f t="shared" si="9"/>
        <v>12</v>
      </c>
      <c r="B16" s="33" t="s">
        <v>111</v>
      </c>
      <c r="C16" s="34">
        <v>80.0</v>
      </c>
      <c r="D16" s="34">
        <v>5.0</v>
      </c>
      <c r="E16" s="35">
        <f t="shared" si="2"/>
        <v>11.6</v>
      </c>
      <c r="F16" s="95">
        <v>2.0</v>
      </c>
      <c r="G16" s="96">
        <v>11.0</v>
      </c>
      <c r="H16" s="97">
        <v>0.0</v>
      </c>
      <c r="I16" s="96">
        <v>6.0</v>
      </c>
      <c r="J16" s="96">
        <v>7.0</v>
      </c>
      <c r="K16" s="96">
        <v>3.0</v>
      </c>
      <c r="L16" s="98">
        <v>16.0</v>
      </c>
      <c r="M16" s="96">
        <v>2.0</v>
      </c>
      <c r="N16" s="34">
        <f t="shared" ref="N16:O16" si="20">C16+L16</f>
        <v>96</v>
      </c>
      <c r="O16" s="34">
        <f t="shared" si="20"/>
        <v>7</v>
      </c>
      <c r="P16" s="49" t="s">
        <v>58</v>
      </c>
      <c r="Q16" s="49" t="s">
        <v>58</v>
      </c>
      <c r="R16" s="49"/>
      <c r="S16" s="50">
        <f t="shared" si="4"/>
        <v>5</v>
      </c>
      <c r="T16" s="52">
        <f t="shared" si="5"/>
        <v>1</v>
      </c>
      <c r="U16" s="52"/>
      <c r="V16" s="50">
        <f t="shared" si="6"/>
        <v>1</v>
      </c>
      <c r="W16" s="52">
        <f t="shared" si="7"/>
        <v>0</v>
      </c>
      <c r="X16" s="32">
        <f t="shared" si="11"/>
        <v>12</v>
      </c>
      <c r="Z16" s="16" t="str">
        <f t="shared" si="8"/>
        <v/>
      </c>
    </row>
    <row r="17">
      <c r="A17" s="32">
        <f t="shared" si="9"/>
        <v>13</v>
      </c>
      <c r="B17" s="33" t="s">
        <v>125</v>
      </c>
      <c r="C17" s="34">
        <v>79.0</v>
      </c>
      <c r="D17" s="34">
        <v>7.0</v>
      </c>
      <c r="E17" s="35">
        <f t="shared" si="2"/>
        <v>11.66666667</v>
      </c>
      <c r="F17" s="95">
        <v>2.0</v>
      </c>
      <c r="G17" s="96">
        <v>11.0</v>
      </c>
      <c r="H17" s="97">
        <v>0.0</v>
      </c>
      <c r="I17" s="96">
        <v>6.0</v>
      </c>
      <c r="J17" s="96">
        <v>6.0</v>
      </c>
      <c r="K17" s="96">
        <v>6.0</v>
      </c>
      <c r="L17" s="98">
        <v>18.0</v>
      </c>
      <c r="M17" s="96">
        <v>2.0</v>
      </c>
      <c r="N17" s="34">
        <f t="shared" ref="N17:O17" si="21">C17+L17</f>
        <v>97</v>
      </c>
      <c r="O17" s="34">
        <f t="shared" si="21"/>
        <v>9</v>
      </c>
      <c r="P17" s="49" t="s">
        <v>58</v>
      </c>
      <c r="Q17" s="49" t="s">
        <v>58</v>
      </c>
      <c r="R17" s="49"/>
      <c r="S17" s="50">
        <f t="shared" si="4"/>
        <v>6</v>
      </c>
      <c r="T17" s="52">
        <f t="shared" si="5"/>
        <v>0</v>
      </c>
      <c r="U17" s="52"/>
      <c r="V17" s="50">
        <f t="shared" si="6"/>
        <v>1</v>
      </c>
      <c r="W17" s="52">
        <f t="shared" si="7"/>
        <v>-2</v>
      </c>
      <c r="X17" s="32">
        <f t="shared" si="11"/>
        <v>13</v>
      </c>
      <c r="Z17" s="16" t="str">
        <f t="shared" si="8"/>
        <v/>
      </c>
    </row>
    <row r="18">
      <c r="A18" s="32">
        <f t="shared" si="9"/>
        <v>14</v>
      </c>
      <c r="B18" s="33" t="s">
        <v>94</v>
      </c>
      <c r="C18" s="34">
        <v>79.0</v>
      </c>
      <c r="D18" s="34">
        <v>6.0</v>
      </c>
      <c r="E18" s="35">
        <f t="shared" si="2"/>
        <v>11.28571429</v>
      </c>
      <c r="F18" s="95">
        <v>1.0</v>
      </c>
      <c r="G18" s="96">
        <v>11.0</v>
      </c>
      <c r="H18" s="97">
        <v>0.0</v>
      </c>
      <c r="I18" s="96">
        <v>3.0</v>
      </c>
      <c r="J18" s="96">
        <v>7.0</v>
      </c>
      <c r="K18" s="96">
        <v>6.0</v>
      </c>
      <c r="L18" s="98">
        <v>16.0</v>
      </c>
      <c r="M18" s="96">
        <v>2.0</v>
      </c>
      <c r="N18" s="34">
        <f t="shared" ref="N18:O18" si="22">C18+L18</f>
        <v>95</v>
      </c>
      <c r="O18" s="34">
        <f t="shared" si="22"/>
        <v>8</v>
      </c>
      <c r="P18" s="49" t="s">
        <v>58</v>
      </c>
      <c r="Q18" s="49" t="s">
        <v>58</v>
      </c>
      <c r="R18" s="49"/>
      <c r="S18" s="50">
        <f t="shared" si="4"/>
        <v>7</v>
      </c>
      <c r="T18" s="52">
        <f t="shared" si="5"/>
        <v>0</v>
      </c>
      <c r="U18" s="52"/>
      <c r="V18" s="50">
        <f t="shared" si="6"/>
        <v>0</v>
      </c>
      <c r="W18" s="52">
        <f t="shared" si="7"/>
        <v>-7</v>
      </c>
      <c r="X18" s="32">
        <f t="shared" si="11"/>
        <v>14</v>
      </c>
      <c r="Z18" s="16" t="str">
        <f t="shared" si="8"/>
        <v/>
      </c>
    </row>
    <row r="19">
      <c r="A19" s="32">
        <f t="shared" si="9"/>
        <v>15</v>
      </c>
      <c r="B19" s="33" t="s">
        <v>50</v>
      </c>
      <c r="C19" s="34">
        <v>78.0</v>
      </c>
      <c r="D19" s="34">
        <v>8.0</v>
      </c>
      <c r="E19" s="35">
        <f t="shared" si="2"/>
        <v>11.14285714</v>
      </c>
      <c r="F19" s="95">
        <v>1.0</v>
      </c>
      <c r="G19" s="96">
        <v>1.0</v>
      </c>
      <c r="H19" s="97">
        <v>0.0</v>
      </c>
      <c r="I19" s="96">
        <v>3.0</v>
      </c>
      <c r="J19" s="96">
        <v>7.0</v>
      </c>
      <c r="K19" s="96">
        <v>1.0</v>
      </c>
      <c r="L19" s="98">
        <v>11.0</v>
      </c>
      <c r="M19" s="96">
        <v>1.0</v>
      </c>
      <c r="N19" s="34">
        <f t="shared" ref="N19:O19" si="23">C19+L19</f>
        <v>89</v>
      </c>
      <c r="O19" s="34">
        <f t="shared" si="23"/>
        <v>9</v>
      </c>
      <c r="P19" s="49" t="s">
        <v>58</v>
      </c>
      <c r="Q19" s="49" t="s">
        <v>58</v>
      </c>
      <c r="R19" s="49"/>
      <c r="S19" s="50">
        <f t="shared" si="4"/>
        <v>7</v>
      </c>
      <c r="T19" s="52">
        <f t="shared" si="5"/>
        <v>0</v>
      </c>
      <c r="U19" s="52"/>
      <c r="V19" s="50">
        <f t="shared" si="6"/>
        <v>0</v>
      </c>
      <c r="W19" s="52">
        <f t="shared" si="7"/>
        <v>-1</v>
      </c>
      <c r="X19" s="32">
        <f t="shared" si="11"/>
        <v>15</v>
      </c>
      <c r="Z19" s="16" t="str">
        <f t="shared" si="8"/>
        <v/>
      </c>
    </row>
    <row r="20">
      <c r="A20" s="32">
        <f t="shared" si="9"/>
        <v>16</v>
      </c>
      <c r="B20" s="33" t="s">
        <v>60</v>
      </c>
      <c r="C20" s="34">
        <v>78.0</v>
      </c>
      <c r="D20" s="34">
        <v>8.0</v>
      </c>
      <c r="E20" s="35">
        <f t="shared" si="2"/>
        <v>11.14285714</v>
      </c>
      <c r="F20" s="95">
        <v>1.0</v>
      </c>
      <c r="G20" s="96">
        <v>1.0</v>
      </c>
      <c r="H20" s="97">
        <v>0.0</v>
      </c>
      <c r="I20" s="96">
        <v>6.0</v>
      </c>
      <c r="J20" s="96">
        <v>5.0</v>
      </c>
      <c r="K20" s="96">
        <v>1.0</v>
      </c>
      <c r="L20" s="98">
        <v>12.0</v>
      </c>
      <c r="M20" s="96">
        <v>1.0</v>
      </c>
      <c r="N20" s="34">
        <f t="shared" ref="N20:O20" si="24">C20+L20</f>
        <v>90</v>
      </c>
      <c r="O20" s="34">
        <f t="shared" si="24"/>
        <v>9</v>
      </c>
      <c r="P20" s="49" t="s">
        <v>58</v>
      </c>
      <c r="Q20" s="49" t="s">
        <v>58</v>
      </c>
      <c r="R20" s="49"/>
      <c r="S20" s="50">
        <f t="shared" si="4"/>
        <v>7</v>
      </c>
      <c r="T20" s="52">
        <f t="shared" si="5"/>
        <v>0</v>
      </c>
      <c r="U20" s="52"/>
      <c r="V20" s="50">
        <f t="shared" si="6"/>
        <v>0</v>
      </c>
      <c r="W20" s="52">
        <f t="shared" si="7"/>
        <v>1</v>
      </c>
      <c r="X20" s="32">
        <f t="shared" si="11"/>
        <v>16</v>
      </c>
      <c r="Z20" s="16" t="str">
        <f t="shared" si="8"/>
        <v/>
      </c>
    </row>
    <row r="21">
      <c r="A21" s="32">
        <f t="shared" si="9"/>
        <v>17</v>
      </c>
      <c r="B21" s="33" t="s">
        <v>97</v>
      </c>
      <c r="C21" s="34">
        <v>78.0</v>
      </c>
      <c r="D21" s="34">
        <v>8.0</v>
      </c>
      <c r="E21" s="35">
        <f t="shared" si="2"/>
        <v>12</v>
      </c>
      <c r="F21" s="95">
        <v>1.0</v>
      </c>
      <c r="G21" s="96">
        <v>1.0</v>
      </c>
      <c r="H21" s="97">
        <v>0.0</v>
      </c>
      <c r="I21" s="96">
        <v>6.0</v>
      </c>
      <c r="J21" s="96">
        <v>7.0</v>
      </c>
      <c r="K21" s="96">
        <v>6.0</v>
      </c>
      <c r="L21" s="98">
        <v>19.0</v>
      </c>
      <c r="M21" s="96">
        <v>3.0</v>
      </c>
      <c r="N21" s="34">
        <f t="shared" ref="N21:O21" si="25">C21+L21</f>
        <v>97</v>
      </c>
      <c r="O21" s="34">
        <f t="shared" si="25"/>
        <v>11</v>
      </c>
      <c r="P21" s="49" t="s">
        <v>58</v>
      </c>
      <c r="Q21" s="49" t="s">
        <v>58</v>
      </c>
      <c r="R21" s="49"/>
      <c r="S21" s="50">
        <f t="shared" si="4"/>
        <v>5</v>
      </c>
      <c r="T21" s="52">
        <f t="shared" si="5"/>
        <v>0</v>
      </c>
      <c r="U21" s="52"/>
      <c r="V21" s="50">
        <f t="shared" si="6"/>
        <v>2</v>
      </c>
      <c r="W21" s="52">
        <f t="shared" si="7"/>
        <v>15</v>
      </c>
      <c r="X21" s="32">
        <f t="shared" si="11"/>
        <v>17</v>
      </c>
      <c r="Z21" s="16" t="str">
        <f t="shared" si="8"/>
        <v/>
      </c>
    </row>
    <row r="22">
      <c r="A22" s="32">
        <f t="shared" si="9"/>
        <v>18</v>
      </c>
      <c r="B22" s="33" t="s">
        <v>128</v>
      </c>
      <c r="C22" s="34">
        <v>78.0</v>
      </c>
      <c r="D22" s="34">
        <v>7.0</v>
      </c>
      <c r="E22" s="35">
        <f t="shared" si="2"/>
        <v>12</v>
      </c>
      <c r="F22" s="95">
        <v>1.0</v>
      </c>
      <c r="G22" s="96">
        <v>1.0</v>
      </c>
      <c r="H22" s="97">
        <v>0.0</v>
      </c>
      <c r="I22" s="96">
        <v>3.0</v>
      </c>
      <c r="J22" s="96">
        <v>5.0</v>
      </c>
      <c r="K22" s="96">
        <v>6.0</v>
      </c>
      <c r="L22" s="98">
        <v>14.0</v>
      </c>
      <c r="M22" s="96">
        <v>1.0</v>
      </c>
      <c r="N22" s="34">
        <f t="shared" ref="N22:O22" si="26">C22+L22</f>
        <v>92</v>
      </c>
      <c r="O22" s="34">
        <f t="shared" si="26"/>
        <v>8</v>
      </c>
      <c r="P22" s="49" t="s">
        <v>58</v>
      </c>
      <c r="Q22" s="49" t="s">
        <v>58</v>
      </c>
      <c r="R22" s="49"/>
      <c r="S22" s="50">
        <f t="shared" si="4"/>
        <v>5</v>
      </c>
      <c r="T22" s="52">
        <f t="shared" si="5"/>
        <v>0</v>
      </c>
      <c r="U22" s="52"/>
      <c r="V22" s="50">
        <f t="shared" si="6"/>
        <v>2</v>
      </c>
      <c r="W22" s="52">
        <f t="shared" si="7"/>
        <v>9</v>
      </c>
      <c r="X22" s="32">
        <f t="shared" si="11"/>
        <v>18</v>
      </c>
      <c r="Z22" s="16" t="str">
        <f t="shared" si="8"/>
        <v/>
      </c>
    </row>
    <row r="23">
      <c r="A23" s="32">
        <f t="shared" si="9"/>
        <v>19</v>
      </c>
      <c r="B23" s="33" t="s">
        <v>65</v>
      </c>
      <c r="C23" s="34">
        <v>77.0</v>
      </c>
      <c r="D23" s="34">
        <v>8.0</v>
      </c>
      <c r="E23" s="35">
        <f t="shared" si="2"/>
        <v>12.5</v>
      </c>
      <c r="F23" s="95">
        <v>1.0</v>
      </c>
      <c r="G23" s="96">
        <v>2.0</v>
      </c>
      <c r="H23" s="97">
        <v>0.0</v>
      </c>
      <c r="I23" s="96">
        <v>6.0</v>
      </c>
      <c r="J23" s="96">
        <v>6.0</v>
      </c>
      <c r="K23" s="96">
        <v>6.0</v>
      </c>
      <c r="L23" s="98">
        <v>18.0</v>
      </c>
      <c r="M23" s="96">
        <v>3.0</v>
      </c>
      <c r="N23" s="34">
        <f t="shared" ref="N23:O23" si="27">C23+L23</f>
        <v>95</v>
      </c>
      <c r="O23" s="34">
        <f t="shared" si="27"/>
        <v>11</v>
      </c>
      <c r="P23" s="49" t="s">
        <v>58</v>
      </c>
      <c r="Q23" s="49" t="s">
        <v>58</v>
      </c>
      <c r="R23" s="49"/>
      <c r="S23" s="50">
        <f t="shared" si="4"/>
        <v>4</v>
      </c>
      <c r="T23" s="52">
        <f t="shared" si="5"/>
        <v>0</v>
      </c>
      <c r="U23" s="52"/>
      <c r="V23" s="50">
        <f t="shared" si="6"/>
        <v>3</v>
      </c>
      <c r="W23" s="52">
        <f t="shared" si="7"/>
        <v>12</v>
      </c>
      <c r="X23" s="32">
        <f t="shared" si="11"/>
        <v>19</v>
      </c>
      <c r="Z23" s="16" t="str">
        <f t="shared" si="8"/>
        <v/>
      </c>
    </row>
    <row r="24">
      <c r="A24" s="32">
        <f t="shared" si="9"/>
        <v>20</v>
      </c>
      <c r="B24" s="33" t="s">
        <v>138</v>
      </c>
      <c r="C24" s="34">
        <v>77.0</v>
      </c>
      <c r="D24" s="34">
        <v>7.0</v>
      </c>
      <c r="E24" s="35">
        <f t="shared" si="2"/>
        <v>11.8</v>
      </c>
      <c r="F24" s="95">
        <v>2.0</v>
      </c>
      <c r="G24" s="96">
        <v>2.0</v>
      </c>
      <c r="H24" s="97">
        <v>0.0</v>
      </c>
      <c r="I24" s="96">
        <v>6.0</v>
      </c>
      <c r="J24" s="96">
        <v>3.0</v>
      </c>
      <c r="K24" s="96">
        <v>0.0</v>
      </c>
      <c r="L24" s="98">
        <v>9.0</v>
      </c>
      <c r="M24" s="96">
        <v>1.0</v>
      </c>
      <c r="N24" s="34">
        <f t="shared" ref="N24:O24" si="28">C24+L24</f>
        <v>86</v>
      </c>
      <c r="O24" s="34">
        <f t="shared" si="28"/>
        <v>8</v>
      </c>
      <c r="P24" s="49" t="s">
        <v>58</v>
      </c>
      <c r="Q24" s="49" t="s">
        <v>58</v>
      </c>
      <c r="R24" s="49"/>
      <c r="S24" s="50">
        <f t="shared" si="4"/>
        <v>5</v>
      </c>
      <c r="T24" s="52">
        <f t="shared" si="5"/>
        <v>0</v>
      </c>
      <c r="U24" s="52"/>
      <c r="V24" s="50">
        <f t="shared" si="6"/>
        <v>2</v>
      </c>
      <c r="W24" s="52">
        <f t="shared" si="7"/>
        <v>1</v>
      </c>
      <c r="X24" s="32">
        <f t="shared" si="11"/>
        <v>20</v>
      </c>
      <c r="Z24" s="16" t="str">
        <f t="shared" si="8"/>
        <v/>
      </c>
    </row>
    <row r="25">
      <c r="A25" s="32">
        <f t="shared" si="9"/>
        <v>21</v>
      </c>
      <c r="B25" s="33" t="s">
        <v>132</v>
      </c>
      <c r="C25" s="34">
        <v>76.0</v>
      </c>
      <c r="D25" s="34">
        <v>7.0</v>
      </c>
      <c r="E25" s="35">
        <f t="shared" si="2"/>
        <v>11.6</v>
      </c>
      <c r="F25" s="95">
        <v>1.0</v>
      </c>
      <c r="G25" s="96">
        <v>2.0</v>
      </c>
      <c r="H25" s="97">
        <v>0.0</v>
      </c>
      <c r="I25" s="96">
        <v>3.0</v>
      </c>
      <c r="J25" s="96">
        <v>3.0</v>
      </c>
      <c r="K25" s="96">
        <v>6.0</v>
      </c>
      <c r="L25" s="98">
        <v>12.0</v>
      </c>
      <c r="M25" s="96">
        <v>1.0</v>
      </c>
      <c r="N25" s="34">
        <f t="shared" ref="N25:O25" si="29">C25+L25</f>
        <v>88</v>
      </c>
      <c r="O25" s="34">
        <f t="shared" si="29"/>
        <v>8</v>
      </c>
      <c r="P25" s="49" t="s">
        <v>58</v>
      </c>
      <c r="Q25" s="49" t="s">
        <v>58</v>
      </c>
      <c r="R25" s="49"/>
      <c r="S25" s="50">
        <f t="shared" si="4"/>
        <v>5</v>
      </c>
      <c r="T25" s="52">
        <f t="shared" si="5"/>
        <v>0</v>
      </c>
      <c r="U25" s="52"/>
      <c r="V25" s="50">
        <f t="shared" si="6"/>
        <v>2</v>
      </c>
      <c r="W25" s="52">
        <f t="shared" si="7"/>
        <v>5</v>
      </c>
      <c r="X25" s="32">
        <f t="shared" si="11"/>
        <v>21</v>
      </c>
      <c r="Z25" s="16" t="str">
        <f t="shared" si="8"/>
        <v/>
      </c>
    </row>
    <row r="26">
      <c r="A26" s="32">
        <f t="shared" si="9"/>
        <v>22</v>
      </c>
      <c r="B26" s="33" t="s">
        <v>49</v>
      </c>
      <c r="C26" s="34">
        <v>75.0</v>
      </c>
      <c r="D26" s="34">
        <v>9.0</v>
      </c>
      <c r="E26" s="35">
        <f t="shared" si="2"/>
        <v>11</v>
      </c>
      <c r="F26" s="95">
        <v>1.0</v>
      </c>
      <c r="G26" s="96">
        <v>2.0</v>
      </c>
      <c r="H26" s="97">
        <v>0.0</v>
      </c>
      <c r="I26" s="96">
        <v>3.0</v>
      </c>
      <c r="J26" s="96">
        <v>6.0</v>
      </c>
      <c r="K26" s="96">
        <v>0.0</v>
      </c>
      <c r="L26" s="98">
        <v>9.0</v>
      </c>
      <c r="M26" s="96">
        <v>1.0</v>
      </c>
      <c r="N26" s="34">
        <f t="shared" ref="N26:O26" si="30">C26+L26</f>
        <v>84</v>
      </c>
      <c r="O26" s="34">
        <f t="shared" si="30"/>
        <v>10</v>
      </c>
      <c r="P26" s="49" t="s">
        <v>58</v>
      </c>
      <c r="Q26" s="49" t="s">
        <v>58</v>
      </c>
      <c r="R26" s="49"/>
      <c r="S26" s="50">
        <f t="shared" si="4"/>
        <v>6</v>
      </c>
      <c r="T26" s="52">
        <f t="shared" si="5"/>
        <v>0</v>
      </c>
      <c r="U26" s="52"/>
      <c r="V26" s="50">
        <f t="shared" si="6"/>
        <v>1</v>
      </c>
      <c r="W26" s="52">
        <f t="shared" si="7"/>
        <v>-7</v>
      </c>
      <c r="X26" s="32">
        <f t="shared" si="11"/>
        <v>22</v>
      </c>
      <c r="Z26" s="16" t="str">
        <f t="shared" si="8"/>
        <v/>
      </c>
    </row>
    <row r="27">
      <c r="A27" s="32">
        <f t="shared" si="9"/>
        <v>23</v>
      </c>
      <c r="B27" s="33" t="s">
        <v>45</v>
      </c>
      <c r="C27" s="34">
        <v>75.0</v>
      </c>
      <c r="D27" s="34">
        <v>7.0</v>
      </c>
      <c r="E27" s="35">
        <f t="shared" si="2"/>
        <v>12</v>
      </c>
      <c r="F27" s="95">
        <v>1.0</v>
      </c>
      <c r="G27" s="96">
        <v>3.0</v>
      </c>
      <c r="H27" s="97">
        <v>0.0</v>
      </c>
      <c r="I27" s="96">
        <v>6.0</v>
      </c>
      <c r="J27" s="96">
        <v>6.0</v>
      </c>
      <c r="K27" s="96">
        <v>7.0</v>
      </c>
      <c r="L27" s="98">
        <v>19.0</v>
      </c>
      <c r="M27" s="96">
        <v>3.0</v>
      </c>
      <c r="N27" s="34">
        <f t="shared" ref="N27:O27" si="31">C27+L27</f>
        <v>94</v>
      </c>
      <c r="O27" s="34">
        <f t="shared" si="31"/>
        <v>10</v>
      </c>
      <c r="P27" s="49" t="s">
        <v>58</v>
      </c>
      <c r="Q27" s="49" t="s">
        <v>58</v>
      </c>
      <c r="R27" s="49"/>
      <c r="S27" s="50">
        <f t="shared" si="4"/>
        <v>4</v>
      </c>
      <c r="T27" s="52">
        <f t="shared" si="5"/>
        <v>0</v>
      </c>
      <c r="U27" s="52"/>
      <c r="V27" s="50">
        <f t="shared" si="6"/>
        <v>3</v>
      </c>
      <c r="W27" s="52">
        <f t="shared" si="7"/>
        <v>-1</v>
      </c>
      <c r="X27" s="32">
        <f t="shared" si="11"/>
        <v>23</v>
      </c>
      <c r="Z27" s="16" t="str">
        <f t="shared" si="8"/>
        <v/>
      </c>
    </row>
    <row r="28">
      <c r="A28" s="32">
        <f t="shared" si="9"/>
        <v>24</v>
      </c>
      <c r="B28" s="33" t="s">
        <v>137</v>
      </c>
      <c r="C28" s="34">
        <v>75.0</v>
      </c>
      <c r="D28" s="34">
        <v>7.0</v>
      </c>
      <c r="E28" s="35">
        <f t="shared" si="2"/>
        <v>11</v>
      </c>
      <c r="F28" s="95">
        <v>3.0</v>
      </c>
      <c r="G28" s="96">
        <v>0.0</v>
      </c>
      <c r="H28" s="97">
        <v>9.0</v>
      </c>
      <c r="I28" s="96">
        <v>0.0</v>
      </c>
      <c r="J28" s="96">
        <v>0.0</v>
      </c>
      <c r="K28" s="96">
        <v>0.0</v>
      </c>
      <c r="L28" s="98">
        <v>9.0</v>
      </c>
      <c r="M28" s="96">
        <v>0.0</v>
      </c>
      <c r="N28" s="34">
        <f t="shared" ref="N28:O28" si="32">C28+L28</f>
        <v>84</v>
      </c>
      <c r="O28" s="34">
        <f t="shared" si="32"/>
        <v>7</v>
      </c>
      <c r="P28" s="49" t="s">
        <v>58</v>
      </c>
      <c r="Q28" s="49" t="s">
        <v>58</v>
      </c>
      <c r="R28" s="49"/>
      <c r="S28" s="50">
        <f t="shared" si="4"/>
        <v>6</v>
      </c>
      <c r="T28" s="52">
        <f t="shared" si="5"/>
        <v>0</v>
      </c>
      <c r="U28" s="52"/>
      <c r="V28" s="50">
        <f t="shared" si="6"/>
        <v>1</v>
      </c>
      <c r="W28" s="52">
        <f t="shared" si="7"/>
        <v>-6</v>
      </c>
      <c r="X28" s="32">
        <f t="shared" si="11"/>
        <v>24</v>
      </c>
      <c r="Z28" s="16" t="str">
        <f t="shared" si="8"/>
        <v/>
      </c>
    </row>
    <row r="29">
      <c r="A29" s="32">
        <f t="shared" si="9"/>
        <v>25</v>
      </c>
      <c r="B29" s="33" t="s">
        <v>106</v>
      </c>
      <c r="C29" s="34">
        <v>75.0</v>
      </c>
      <c r="D29" s="34">
        <v>6.0</v>
      </c>
      <c r="E29" s="35">
        <f t="shared" si="2"/>
        <v>11</v>
      </c>
      <c r="F29" s="95">
        <v>1.0</v>
      </c>
      <c r="G29" s="96">
        <v>3.0</v>
      </c>
      <c r="H29" s="97">
        <v>0.0</v>
      </c>
      <c r="I29" s="96">
        <v>2.0</v>
      </c>
      <c r="J29" s="96">
        <v>1.0</v>
      </c>
      <c r="K29" s="96">
        <v>7.0</v>
      </c>
      <c r="L29" s="98">
        <v>10.0</v>
      </c>
      <c r="M29" s="96">
        <v>1.0</v>
      </c>
      <c r="N29" s="34">
        <f t="shared" ref="N29:O29" si="33">C29+L29</f>
        <v>85</v>
      </c>
      <c r="O29" s="34">
        <f t="shared" si="33"/>
        <v>7</v>
      </c>
      <c r="P29" s="49" t="s">
        <v>58</v>
      </c>
      <c r="Q29" s="49" t="s">
        <v>58</v>
      </c>
      <c r="R29" s="49"/>
      <c r="S29" s="50">
        <f t="shared" si="4"/>
        <v>4</v>
      </c>
      <c r="T29" s="52">
        <f t="shared" si="5"/>
        <v>1</v>
      </c>
      <c r="U29" s="52"/>
      <c r="V29" s="50">
        <f t="shared" si="6"/>
        <v>2</v>
      </c>
      <c r="W29" s="52">
        <f t="shared" si="7"/>
        <v>-1</v>
      </c>
      <c r="X29" s="32">
        <f t="shared" si="11"/>
        <v>25</v>
      </c>
      <c r="Z29" s="16" t="str">
        <f t="shared" si="8"/>
        <v/>
      </c>
    </row>
    <row r="30">
      <c r="A30" s="32">
        <f t="shared" si="9"/>
        <v>26</v>
      </c>
      <c r="B30" s="33" t="s">
        <v>136</v>
      </c>
      <c r="C30" s="34">
        <v>74.0</v>
      </c>
      <c r="D30" s="34">
        <v>6.0</v>
      </c>
      <c r="E30" s="35">
        <f t="shared" si="2"/>
        <v>10.57142857</v>
      </c>
      <c r="F30" s="95">
        <v>1.0</v>
      </c>
      <c r="G30" s="96">
        <v>3.0</v>
      </c>
      <c r="H30" s="97">
        <v>0.0</v>
      </c>
      <c r="I30" s="96">
        <v>6.0</v>
      </c>
      <c r="J30" s="96">
        <v>1.0</v>
      </c>
      <c r="K30" s="96">
        <v>5.0</v>
      </c>
      <c r="L30" s="98">
        <v>12.0</v>
      </c>
      <c r="M30" s="96">
        <v>1.0</v>
      </c>
      <c r="N30" s="34">
        <f t="shared" ref="N30:O30" si="34">C30+L30</f>
        <v>86</v>
      </c>
      <c r="O30" s="34">
        <f t="shared" si="34"/>
        <v>7</v>
      </c>
      <c r="P30" s="49" t="s">
        <v>58</v>
      </c>
      <c r="Q30" s="49" t="s">
        <v>58</v>
      </c>
      <c r="R30" s="49"/>
      <c r="S30" s="50">
        <f t="shared" si="4"/>
        <v>7</v>
      </c>
      <c r="T30" s="52">
        <f t="shared" si="5"/>
        <v>0</v>
      </c>
      <c r="U30" s="52"/>
      <c r="V30" s="50">
        <f t="shared" si="6"/>
        <v>0</v>
      </c>
      <c r="W30" s="52">
        <f t="shared" si="7"/>
        <v>11</v>
      </c>
      <c r="X30" s="32">
        <f t="shared" si="11"/>
        <v>26</v>
      </c>
      <c r="Z30" s="16" t="str">
        <f t="shared" si="8"/>
        <v/>
      </c>
    </row>
    <row r="31">
      <c r="A31" s="32">
        <f t="shared" si="9"/>
        <v>27</v>
      </c>
      <c r="B31" s="33" t="s">
        <v>89</v>
      </c>
      <c r="C31" s="34">
        <v>73.0</v>
      </c>
      <c r="D31" s="34">
        <v>7.0</v>
      </c>
      <c r="E31" s="35">
        <f t="shared" si="2"/>
        <v>11</v>
      </c>
      <c r="F31" s="95">
        <v>1.0</v>
      </c>
      <c r="G31" s="96">
        <v>3.0</v>
      </c>
      <c r="H31" s="97">
        <v>0.0</v>
      </c>
      <c r="I31" s="96">
        <v>2.0</v>
      </c>
      <c r="J31" s="96">
        <v>6.0</v>
      </c>
      <c r="K31" s="96">
        <v>5.0</v>
      </c>
      <c r="L31" s="98">
        <v>13.0</v>
      </c>
      <c r="M31" s="96">
        <v>1.0</v>
      </c>
      <c r="N31" s="34">
        <f t="shared" ref="N31:O31" si="35">C31+L31</f>
        <v>86</v>
      </c>
      <c r="O31" s="34">
        <f t="shared" si="35"/>
        <v>8</v>
      </c>
      <c r="P31" s="49" t="s">
        <v>58</v>
      </c>
      <c r="Q31" s="49" t="s">
        <v>58</v>
      </c>
      <c r="R31" s="49"/>
      <c r="S31" s="50">
        <f t="shared" si="4"/>
        <v>5</v>
      </c>
      <c r="T31" s="52">
        <f t="shared" si="5"/>
        <v>0</v>
      </c>
      <c r="U31" s="52"/>
      <c r="V31" s="50">
        <f t="shared" si="6"/>
        <v>2</v>
      </c>
      <c r="W31" s="52">
        <f t="shared" si="7"/>
        <v>-14</v>
      </c>
      <c r="X31" s="32">
        <f t="shared" si="11"/>
        <v>27</v>
      </c>
      <c r="Z31" s="16" t="str">
        <f t="shared" si="8"/>
        <v/>
      </c>
    </row>
    <row r="32">
      <c r="A32" s="32">
        <f t="shared" si="9"/>
        <v>28</v>
      </c>
      <c r="B32" s="33" t="s">
        <v>108</v>
      </c>
      <c r="C32" s="34">
        <v>73.0</v>
      </c>
      <c r="D32" s="34">
        <v>4.0</v>
      </c>
      <c r="E32" s="35">
        <f t="shared" si="2"/>
        <v>10.66666667</v>
      </c>
      <c r="F32" s="95">
        <v>1.0</v>
      </c>
      <c r="G32" s="96">
        <v>4.0</v>
      </c>
      <c r="H32" s="97">
        <v>0.0</v>
      </c>
      <c r="I32" s="96">
        <v>6.0</v>
      </c>
      <c r="J32" s="96">
        <v>6.0</v>
      </c>
      <c r="K32" s="96">
        <v>3.0</v>
      </c>
      <c r="L32" s="98">
        <v>15.0</v>
      </c>
      <c r="M32" s="96">
        <v>2.0</v>
      </c>
      <c r="N32" s="34">
        <f t="shared" ref="N32:O32" si="36">C32+L32</f>
        <v>88</v>
      </c>
      <c r="O32" s="34">
        <f t="shared" si="36"/>
        <v>6</v>
      </c>
      <c r="P32" s="49" t="s">
        <v>58</v>
      </c>
      <c r="Q32" s="49" t="s">
        <v>58</v>
      </c>
      <c r="R32" s="49"/>
      <c r="S32" s="50">
        <f t="shared" si="4"/>
        <v>6</v>
      </c>
      <c r="T32" s="52">
        <f t="shared" si="5"/>
        <v>0</v>
      </c>
      <c r="U32" s="52"/>
      <c r="V32" s="50">
        <f t="shared" si="6"/>
        <v>1</v>
      </c>
      <c r="W32" s="52">
        <f t="shared" si="7"/>
        <v>5</v>
      </c>
      <c r="X32" s="32">
        <f t="shared" si="11"/>
        <v>28</v>
      </c>
      <c r="Z32" s="16" t="str">
        <f t="shared" si="8"/>
        <v/>
      </c>
    </row>
    <row r="33">
      <c r="A33" s="32">
        <f t="shared" si="9"/>
        <v>29</v>
      </c>
      <c r="B33" s="33" t="s">
        <v>100</v>
      </c>
      <c r="C33" s="34">
        <v>72.0</v>
      </c>
      <c r="D33" s="34">
        <v>6.0</v>
      </c>
      <c r="E33" s="35">
        <f t="shared" si="2"/>
        <v>11.25</v>
      </c>
      <c r="F33" s="95">
        <v>1.0</v>
      </c>
      <c r="G33" s="96">
        <v>4.0</v>
      </c>
      <c r="H33" s="97">
        <v>0.0</v>
      </c>
      <c r="I33" s="96">
        <v>4.0</v>
      </c>
      <c r="J33" s="96">
        <v>6.0</v>
      </c>
      <c r="K33" s="96">
        <v>6.0</v>
      </c>
      <c r="L33" s="98">
        <v>16.0</v>
      </c>
      <c r="M33" s="96">
        <v>2.0</v>
      </c>
      <c r="N33" s="34">
        <f t="shared" ref="N33:O33" si="37">C33+L33</f>
        <v>88</v>
      </c>
      <c r="O33" s="34">
        <f t="shared" si="37"/>
        <v>8</v>
      </c>
      <c r="P33" s="49" t="s">
        <v>58</v>
      </c>
      <c r="Q33" s="49" t="s">
        <v>58</v>
      </c>
      <c r="R33" s="49"/>
      <c r="S33" s="50">
        <f t="shared" si="4"/>
        <v>4</v>
      </c>
      <c r="T33" s="52">
        <f t="shared" si="5"/>
        <v>0</v>
      </c>
      <c r="U33" s="52"/>
      <c r="V33" s="50">
        <f t="shared" si="6"/>
        <v>3</v>
      </c>
      <c r="W33" s="52">
        <f t="shared" si="7"/>
        <v>-10</v>
      </c>
      <c r="X33" s="32">
        <f t="shared" si="11"/>
        <v>29</v>
      </c>
      <c r="Z33" s="16" t="str">
        <f t="shared" si="8"/>
        <v/>
      </c>
    </row>
    <row r="34">
      <c r="A34" s="32">
        <f t="shared" si="9"/>
        <v>30</v>
      </c>
      <c r="B34" s="33" t="s">
        <v>99</v>
      </c>
      <c r="C34" s="34">
        <v>72.0</v>
      </c>
      <c r="D34" s="34">
        <v>6.0</v>
      </c>
      <c r="E34" s="35">
        <f t="shared" si="2"/>
        <v>10.8</v>
      </c>
      <c r="F34" s="95">
        <v>1.0</v>
      </c>
      <c r="G34" s="96">
        <v>4.0</v>
      </c>
      <c r="H34" s="97">
        <v>0.0</v>
      </c>
      <c r="I34" s="96">
        <v>6.0</v>
      </c>
      <c r="J34" s="96">
        <v>1.0</v>
      </c>
      <c r="K34" s="96">
        <v>6.0</v>
      </c>
      <c r="L34" s="98">
        <v>13.0</v>
      </c>
      <c r="M34" s="96">
        <v>2.0</v>
      </c>
      <c r="N34" s="34">
        <f t="shared" ref="N34:O34" si="38">C34+L34</f>
        <v>85</v>
      </c>
      <c r="O34" s="34">
        <f t="shared" si="38"/>
        <v>8</v>
      </c>
      <c r="P34" s="49" t="s">
        <v>58</v>
      </c>
      <c r="Q34" s="49" t="s">
        <v>58</v>
      </c>
      <c r="R34" s="49"/>
      <c r="S34" s="50">
        <f t="shared" si="4"/>
        <v>5</v>
      </c>
      <c r="T34" s="52">
        <f t="shared" si="5"/>
        <v>0</v>
      </c>
      <c r="U34" s="52"/>
      <c r="V34" s="50">
        <f t="shared" si="6"/>
        <v>2</v>
      </c>
      <c r="W34" s="52">
        <f t="shared" si="7"/>
        <v>6</v>
      </c>
      <c r="X34" s="32">
        <f t="shared" si="11"/>
        <v>30</v>
      </c>
      <c r="Z34" s="16" t="str">
        <f t="shared" si="8"/>
        <v/>
      </c>
    </row>
    <row r="35">
      <c r="A35" s="32">
        <f t="shared" si="9"/>
        <v>31</v>
      </c>
      <c r="B35" s="33" t="s">
        <v>96</v>
      </c>
      <c r="C35" s="34">
        <v>72.0</v>
      </c>
      <c r="D35" s="34">
        <v>6.0</v>
      </c>
      <c r="E35" s="35">
        <f t="shared" si="2"/>
        <v>10.8</v>
      </c>
      <c r="F35" s="95">
        <v>2.0</v>
      </c>
      <c r="G35" s="96">
        <v>4.0</v>
      </c>
      <c r="H35" s="97">
        <v>0.0</v>
      </c>
      <c r="I35" s="96">
        <v>4.0</v>
      </c>
      <c r="J35" s="96">
        <v>1.0</v>
      </c>
      <c r="K35" s="96">
        <v>3.0</v>
      </c>
      <c r="L35" s="98">
        <v>8.0</v>
      </c>
      <c r="M35" s="96">
        <v>0.0</v>
      </c>
      <c r="N35" s="34">
        <f t="shared" ref="N35:O35" si="39">C35+L35</f>
        <v>80</v>
      </c>
      <c r="O35" s="34">
        <f t="shared" si="39"/>
        <v>6</v>
      </c>
      <c r="P35" s="49" t="s">
        <v>58</v>
      </c>
      <c r="Q35" s="49" t="s">
        <v>58</v>
      </c>
      <c r="R35" s="49"/>
      <c r="S35" s="50">
        <f t="shared" si="4"/>
        <v>5</v>
      </c>
      <c r="T35" s="52">
        <f t="shared" si="5"/>
        <v>0</v>
      </c>
      <c r="U35" s="52"/>
      <c r="V35" s="50">
        <f t="shared" si="6"/>
        <v>2</v>
      </c>
      <c r="W35" s="52">
        <f t="shared" si="7"/>
        <v>8</v>
      </c>
      <c r="X35" s="32">
        <f t="shared" si="11"/>
        <v>31</v>
      </c>
      <c r="Z35" s="16" t="str">
        <f t="shared" si="8"/>
        <v/>
      </c>
    </row>
    <row r="36">
      <c r="A36" s="32">
        <f t="shared" si="9"/>
        <v>32</v>
      </c>
      <c r="B36" s="33" t="s">
        <v>109</v>
      </c>
      <c r="C36" s="34">
        <v>72.0</v>
      </c>
      <c r="D36" s="34">
        <v>5.0</v>
      </c>
      <c r="E36" s="35">
        <f t="shared" si="2"/>
        <v>10.8</v>
      </c>
      <c r="F36" s="95">
        <v>1.0</v>
      </c>
      <c r="G36" s="96">
        <v>5.0</v>
      </c>
      <c r="H36" s="97">
        <v>0.0</v>
      </c>
      <c r="I36" s="96">
        <v>5.0</v>
      </c>
      <c r="J36" s="96">
        <v>6.0</v>
      </c>
      <c r="K36" s="96">
        <v>6.0</v>
      </c>
      <c r="L36" s="98">
        <v>17.0</v>
      </c>
      <c r="M36" s="96">
        <v>2.0</v>
      </c>
      <c r="N36" s="34">
        <f t="shared" ref="N36:O36" si="40">C36+L36</f>
        <v>89</v>
      </c>
      <c r="O36" s="34">
        <f t="shared" si="40"/>
        <v>7</v>
      </c>
      <c r="P36" s="49" t="s">
        <v>58</v>
      </c>
      <c r="Q36" s="49" t="s">
        <v>58</v>
      </c>
      <c r="R36" s="49"/>
      <c r="S36" s="50">
        <f t="shared" si="4"/>
        <v>5</v>
      </c>
      <c r="T36" s="52">
        <f t="shared" si="5"/>
        <v>0</v>
      </c>
      <c r="U36" s="52"/>
      <c r="V36" s="50">
        <f t="shared" si="6"/>
        <v>2</v>
      </c>
      <c r="W36" s="52">
        <f t="shared" si="7"/>
        <v>-4</v>
      </c>
      <c r="X36" s="32">
        <f t="shared" si="11"/>
        <v>32</v>
      </c>
      <c r="Z36" s="16" t="str">
        <f t="shared" si="8"/>
        <v/>
      </c>
    </row>
    <row r="37">
      <c r="A37" s="32">
        <f t="shared" si="9"/>
        <v>33</v>
      </c>
      <c r="B37" s="33" t="s">
        <v>66</v>
      </c>
      <c r="C37" s="34">
        <v>72.0</v>
      </c>
      <c r="D37" s="34">
        <v>5.0</v>
      </c>
      <c r="E37" s="35">
        <f t="shared" si="2"/>
        <v>10.28571429</v>
      </c>
      <c r="F37" s="95">
        <v>1.0</v>
      </c>
      <c r="G37" s="96">
        <v>5.0</v>
      </c>
      <c r="H37" s="97">
        <v>0.0</v>
      </c>
      <c r="I37" s="96">
        <v>7.0</v>
      </c>
      <c r="J37" s="96">
        <v>2.0</v>
      </c>
      <c r="K37" s="96">
        <v>6.0</v>
      </c>
      <c r="L37" s="98">
        <v>15.0</v>
      </c>
      <c r="M37" s="96">
        <v>2.0</v>
      </c>
      <c r="N37" s="34">
        <f t="shared" ref="N37:O37" si="41">C37+L37</f>
        <v>87</v>
      </c>
      <c r="O37" s="34">
        <f t="shared" si="41"/>
        <v>7</v>
      </c>
      <c r="P37" s="49" t="s">
        <v>58</v>
      </c>
      <c r="Q37" s="49" t="s">
        <v>58</v>
      </c>
      <c r="R37" s="49"/>
      <c r="S37" s="50">
        <f t="shared" si="4"/>
        <v>7</v>
      </c>
      <c r="T37" s="52">
        <f t="shared" si="5"/>
        <v>0</v>
      </c>
      <c r="U37" s="52"/>
      <c r="V37" s="50">
        <f t="shared" si="6"/>
        <v>0</v>
      </c>
      <c r="W37" s="52">
        <f t="shared" si="7"/>
        <v>2</v>
      </c>
      <c r="X37" s="32">
        <f t="shared" si="11"/>
        <v>33</v>
      </c>
      <c r="Z37" s="16" t="str">
        <f t="shared" si="8"/>
        <v/>
      </c>
    </row>
    <row r="38">
      <c r="A38" s="32">
        <f t="shared" si="9"/>
        <v>34</v>
      </c>
      <c r="B38" s="33" t="s">
        <v>72</v>
      </c>
      <c r="C38" s="34">
        <v>70.0</v>
      </c>
      <c r="D38" s="34">
        <v>7.0</v>
      </c>
      <c r="E38" s="35">
        <f t="shared" si="2"/>
        <v>10.16666667</v>
      </c>
      <c r="F38" s="95">
        <v>2.0</v>
      </c>
      <c r="G38" s="96">
        <v>5.0</v>
      </c>
      <c r="H38" s="97">
        <v>0.0</v>
      </c>
      <c r="I38" s="96">
        <v>5.0</v>
      </c>
      <c r="J38" s="96">
        <v>2.0</v>
      </c>
      <c r="K38" s="96">
        <v>2.0</v>
      </c>
      <c r="L38" s="98">
        <v>9.0</v>
      </c>
      <c r="M38" s="96">
        <v>0.0</v>
      </c>
      <c r="N38" s="34">
        <f t="shared" ref="N38:O38" si="42">C38+L38</f>
        <v>79</v>
      </c>
      <c r="O38" s="34">
        <f t="shared" si="42"/>
        <v>7</v>
      </c>
      <c r="P38" s="49" t="s">
        <v>58</v>
      </c>
      <c r="Q38" s="49" t="s">
        <v>58</v>
      </c>
      <c r="R38" s="49"/>
      <c r="S38" s="50">
        <f t="shared" si="4"/>
        <v>6</v>
      </c>
      <c r="T38" s="52">
        <f t="shared" si="5"/>
        <v>0</v>
      </c>
      <c r="U38" s="52"/>
      <c r="V38" s="50">
        <f t="shared" si="6"/>
        <v>1</v>
      </c>
      <c r="W38" s="52">
        <f t="shared" si="7"/>
        <v>-4</v>
      </c>
      <c r="X38" s="32">
        <f t="shared" si="11"/>
        <v>34</v>
      </c>
      <c r="Z38" s="16" t="str">
        <f t="shared" si="8"/>
        <v/>
      </c>
    </row>
    <row r="39">
      <c r="A39" s="32">
        <f t="shared" si="9"/>
        <v>35</v>
      </c>
      <c r="B39" s="33" t="s">
        <v>129</v>
      </c>
      <c r="C39" s="34">
        <v>70.0</v>
      </c>
      <c r="D39" s="34">
        <v>7.0</v>
      </c>
      <c r="E39" s="35">
        <f t="shared" si="2"/>
        <v>10.16666667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3">C39+L39</f>
        <v>79</v>
      </c>
      <c r="O39" s="34">
        <f t="shared" si="43"/>
        <v>7</v>
      </c>
      <c r="P39" s="49" t="s">
        <v>58</v>
      </c>
      <c r="Q39" s="49" t="s">
        <v>58</v>
      </c>
      <c r="R39" s="49"/>
      <c r="S39" s="50">
        <f t="shared" si="4"/>
        <v>6</v>
      </c>
      <c r="T39" s="52">
        <f t="shared" si="5"/>
        <v>0</v>
      </c>
      <c r="U39" s="52"/>
      <c r="V39" s="50">
        <f t="shared" si="6"/>
        <v>1</v>
      </c>
      <c r="W39" s="52">
        <f t="shared" si="7"/>
        <v>-1</v>
      </c>
      <c r="X39" s="32">
        <f t="shared" si="11"/>
        <v>35</v>
      </c>
      <c r="Z39" s="16" t="str">
        <f t="shared" si="8"/>
        <v/>
      </c>
    </row>
    <row r="40">
      <c r="A40" s="32">
        <f t="shared" si="9"/>
        <v>36</v>
      </c>
      <c r="B40" s="33" t="s">
        <v>105</v>
      </c>
      <c r="C40" s="34">
        <v>70.0</v>
      </c>
      <c r="D40" s="34">
        <v>6.0</v>
      </c>
      <c r="E40" s="35">
        <f t="shared" si="2"/>
        <v>11.33333333</v>
      </c>
      <c r="F40" s="95">
        <v>3.0</v>
      </c>
      <c r="G40" s="96">
        <v>0.0</v>
      </c>
      <c r="H40" s="97">
        <v>9.0</v>
      </c>
      <c r="I40" s="96">
        <v>0.0</v>
      </c>
      <c r="J40" s="96">
        <v>0.0</v>
      </c>
      <c r="K40" s="96">
        <v>0.0</v>
      </c>
      <c r="L40" s="98">
        <v>9.0</v>
      </c>
      <c r="M40" s="96">
        <v>0.0</v>
      </c>
      <c r="N40" s="34">
        <f t="shared" ref="N40:O40" si="44">C40+L40</f>
        <v>79</v>
      </c>
      <c r="O40" s="34">
        <f t="shared" si="44"/>
        <v>6</v>
      </c>
      <c r="P40" s="49" t="s">
        <v>58</v>
      </c>
      <c r="Q40" s="49" t="s">
        <v>58</v>
      </c>
      <c r="R40" s="49"/>
      <c r="S40" s="50">
        <f t="shared" si="4"/>
        <v>3</v>
      </c>
      <c r="T40" s="52">
        <f t="shared" si="5"/>
        <v>0</v>
      </c>
      <c r="U40" s="52"/>
      <c r="V40" s="50">
        <f t="shared" si="6"/>
        <v>4</v>
      </c>
      <c r="W40" s="52">
        <f t="shared" si="7"/>
        <v>-16</v>
      </c>
      <c r="X40" s="32">
        <f t="shared" si="11"/>
        <v>36</v>
      </c>
      <c r="Z40" s="16" t="str">
        <f t="shared" si="8"/>
        <v/>
      </c>
    </row>
    <row r="41">
      <c r="A41" s="32">
        <f t="shared" si="9"/>
        <v>37</v>
      </c>
      <c r="B41" s="33" t="s">
        <v>103</v>
      </c>
      <c r="C41" s="34">
        <v>70.0</v>
      </c>
      <c r="D41" s="34">
        <v>5.0</v>
      </c>
      <c r="E41" s="35">
        <f t="shared" si="2"/>
        <v>10.16666667</v>
      </c>
      <c r="F41" s="95">
        <v>2.0</v>
      </c>
      <c r="G41" s="96">
        <v>5.0</v>
      </c>
      <c r="H41" s="97">
        <v>0.0</v>
      </c>
      <c r="I41" s="96">
        <v>7.0</v>
      </c>
      <c r="J41" s="96">
        <v>6.0</v>
      </c>
      <c r="K41" s="96">
        <v>2.0</v>
      </c>
      <c r="L41" s="98">
        <v>15.0</v>
      </c>
      <c r="M41" s="96">
        <v>2.0</v>
      </c>
      <c r="N41" s="34">
        <f t="shared" ref="N41:O41" si="45">C41+L41</f>
        <v>85</v>
      </c>
      <c r="O41" s="34">
        <f t="shared" si="45"/>
        <v>7</v>
      </c>
      <c r="P41" s="49" t="s">
        <v>58</v>
      </c>
      <c r="Q41" s="49" t="s">
        <v>58</v>
      </c>
      <c r="R41" s="49"/>
      <c r="S41" s="50">
        <f t="shared" si="4"/>
        <v>6</v>
      </c>
      <c r="T41" s="52">
        <f t="shared" si="5"/>
        <v>0</v>
      </c>
      <c r="U41" s="52"/>
      <c r="V41" s="50">
        <f t="shared" si="6"/>
        <v>1</v>
      </c>
      <c r="W41" s="52">
        <f t="shared" si="7"/>
        <v>-12</v>
      </c>
      <c r="X41" s="32">
        <f t="shared" si="11"/>
        <v>37</v>
      </c>
      <c r="Z41" s="16" t="str">
        <f t="shared" si="8"/>
        <v/>
      </c>
    </row>
    <row r="42">
      <c r="A42" s="32">
        <f t="shared" si="9"/>
        <v>38</v>
      </c>
      <c r="B42" s="33" t="s">
        <v>134</v>
      </c>
      <c r="C42" s="34">
        <v>70.0</v>
      </c>
      <c r="D42" s="34">
        <v>5.0</v>
      </c>
      <c r="E42" s="35">
        <f t="shared" si="2"/>
        <v>11.33333333</v>
      </c>
      <c r="F42" s="95">
        <v>1.0</v>
      </c>
      <c r="G42" s="96">
        <v>6.0</v>
      </c>
      <c r="H42" s="97">
        <v>0.0</v>
      </c>
      <c r="I42" s="96">
        <v>3.0</v>
      </c>
      <c r="J42" s="96">
        <v>6.0</v>
      </c>
      <c r="K42" s="96">
        <v>6.0</v>
      </c>
      <c r="L42" s="98">
        <v>15.0</v>
      </c>
      <c r="M42" s="96">
        <v>2.0</v>
      </c>
      <c r="N42" s="34">
        <f t="shared" ref="N42:O42" si="46">C42+L42</f>
        <v>85</v>
      </c>
      <c r="O42" s="34">
        <f t="shared" si="46"/>
        <v>7</v>
      </c>
      <c r="P42" s="49" t="s">
        <v>58</v>
      </c>
      <c r="Q42" s="49" t="s">
        <v>58</v>
      </c>
      <c r="R42" s="49"/>
      <c r="S42" s="50">
        <f t="shared" si="4"/>
        <v>3</v>
      </c>
      <c r="T42" s="52">
        <f t="shared" si="5"/>
        <v>0</v>
      </c>
      <c r="U42" s="52"/>
      <c r="V42" s="50">
        <f t="shared" si="6"/>
        <v>4</v>
      </c>
      <c r="W42" s="52">
        <f t="shared" si="7"/>
        <v>3</v>
      </c>
      <c r="X42" s="32">
        <f t="shared" si="11"/>
        <v>38</v>
      </c>
      <c r="Z42" s="16" t="str">
        <f t="shared" si="8"/>
        <v/>
      </c>
    </row>
    <row r="43">
      <c r="A43" s="32">
        <f t="shared" si="9"/>
        <v>39</v>
      </c>
      <c r="B43" s="33" t="s">
        <v>144</v>
      </c>
      <c r="C43" s="34">
        <v>69.0</v>
      </c>
      <c r="D43" s="34">
        <v>5.0</v>
      </c>
      <c r="E43" s="35">
        <f t="shared" si="2"/>
        <v>9.5</v>
      </c>
      <c r="F43" s="95">
        <v>1.0</v>
      </c>
      <c r="G43" s="96">
        <v>6.0</v>
      </c>
      <c r="H43" s="97">
        <v>0.0</v>
      </c>
      <c r="I43" s="96">
        <v>3.0</v>
      </c>
      <c r="J43" s="96">
        <v>4.0</v>
      </c>
      <c r="K43" s="96">
        <v>0.0</v>
      </c>
      <c r="L43" s="98">
        <v>7.0</v>
      </c>
      <c r="M43" s="96">
        <v>0.0</v>
      </c>
      <c r="N43" s="34">
        <f t="shared" ref="N43:O43" si="47">C43+L43</f>
        <v>76</v>
      </c>
      <c r="O43" s="34">
        <f t="shared" si="47"/>
        <v>5</v>
      </c>
      <c r="P43" s="49" t="s">
        <v>58</v>
      </c>
      <c r="Q43" s="49" t="s">
        <v>58</v>
      </c>
      <c r="R43" s="49"/>
      <c r="S43" s="50">
        <f t="shared" si="4"/>
        <v>4</v>
      </c>
      <c r="T43" s="52">
        <f t="shared" si="5"/>
        <v>1</v>
      </c>
      <c r="U43" s="52"/>
      <c r="V43" s="50">
        <f t="shared" si="6"/>
        <v>2</v>
      </c>
      <c r="W43" s="52">
        <f t="shared" si="7"/>
        <v>-10</v>
      </c>
      <c r="X43" s="32">
        <f t="shared" si="11"/>
        <v>39</v>
      </c>
      <c r="Z43" s="16" t="str">
        <f t="shared" si="8"/>
        <v/>
      </c>
    </row>
    <row r="44">
      <c r="A44" s="32">
        <f t="shared" si="9"/>
        <v>40</v>
      </c>
      <c r="B44" s="33" t="s">
        <v>133</v>
      </c>
      <c r="C44" s="34">
        <v>67.0</v>
      </c>
      <c r="D44" s="34">
        <v>5.0</v>
      </c>
      <c r="E44" s="35">
        <f t="shared" si="2"/>
        <v>10.33333333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8">C44+L44</f>
        <v>76</v>
      </c>
      <c r="O44" s="34">
        <f t="shared" si="48"/>
        <v>5</v>
      </c>
      <c r="P44" s="49" t="s">
        <v>58</v>
      </c>
      <c r="Q44" s="49" t="s">
        <v>58</v>
      </c>
      <c r="R44" s="49"/>
      <c r="S44" s="50">
        <f t="shared" si="4"/>
        <v>3</v>
      </c>
      <c r="T44" s="52">
        <f t="shared" si="5"/>
        <v>0</v>
      </c>
      <c r="U44" s="52"/>
      <c r="V44" s="50">
        <f t="shared" si="6"/>
        <v>4</v>
      </c>
      <c r="W44" s="52">
        <f t="shared" si="7"/>
        <v>10</v>
      </c>
      <c r="X44" s="32">
        <f t="shared" si="11"/>
        <v>40</v>
      </c>
      <c r="Z44" s="16" t="str">
        <f t="shared" si="8"/>
        <v/>
      </c>
    </row>
    <row r="45">
      <c r="A45" s="32">
        <f t="shared" si="9"/>
        <v>41</v>
      </c>
      <c r="B45" s="33" t="s">
        <v>139</v>
      </c>
      <c r="C45" s="34">
        <v>65.0</v>
      </c>
      <c r="D45" s="34">
        <v>3.0</v>
      </c>
      <c r="E45" s="35">
        <f t="shared" si="2"/>
        <v>9.5</v>
      </c>
      <c r="F45" s="95">
        <v>1.0</v>
      </c>
      <c r="G45" s="96">
        <v>6.0</v>
      </c>
      <c r="H45" s="97">
        <v>0.0</v>
      </c>
      <c r="I45" s="96">
        <v>6.0</v>
      </c>
      <c r="J45" s="96">
        <v>6.0</v>
      </c>
      <c r="K45" s="96">
        <v>0.0</v>
      </c>
      <c r="L45" s="98">
        <v>12.0</v>
      </c>
      <c r="M45" s="96">
        <v>2.0</v>
      </c>
      <c r="N45" s="34">
        <f t="shared" ref="N45:O45" si="49">C45+L45</f>
        <v>77</v>
      </c>
      <c r="O45" s="34">
        <f t="shared" si="49"/>
        <v>5</v>
      </c>
      <c r="P45" s="49" t="s">
        <v>58</v>
      </c>
      <c r="Q45" s="49" t="s">
        <v>58</v>
      </c>
      <c r="R45" s="49"/>
      <c r="S45" s="50">
        <f t="shared" si="4"/>
        <v>4</v>
      </c>
      <c r="T45" s="52">
        <f t="shared" si="5"/>
        <v>0</v>
      </c>
      <c r="U45" s="52"/>
      <c r="V45" s="50">
        <f t="shared" si="6"/>
        <v>3</v>
      </c>
      <c r="W45" s="52">
        <f t="shared" si="7"/>
        <v>-1</v>
      </c>
      <c r="X45" s="32">
        <f t="shared" si="11"/>
        <v>41</v>
      </c>
      <c r="Z45" s="16" t="str">
        <f t="shared" si="8"/>
        <v/>
      </c>
    </row>
    <row r="46">
      <c r="A46" s="32">
        <f t="shared" si="9"/>
        <v>42</v>
      </c>
      <c r="B46" s="33" t="s">
        <v>143</v>
      </c>
      <c r="C46" s="34">
        <v>65.0</v>
      </c>
      <c r="D46" s="34">
        <v>3.0</v>
      </c>
      <c r="E46" s="35">
        <f t="shared" si="2"/>
        <v>9.666666667</v>
      </c>
      <c r="F46" s="95">
        <v>1.0</v>
      </c>
      <c r="G46" s="96">
        <v>6.0</v>
      </c>
      <c r="H46" s="97">
        <v>0.0</v>
      </c>
      <c r="I46" s="96">
        <v>6.0</v>
      </c>
      <c r="J46" s="96">
        <v>4.0</v>
      </c>
      <c r="K46" s="96">
        <v>6.0</v>
      </c>
      <c r="L46" s="98">
        <v>16.0</v>
      </c>
      <c r="M46" s="96">
        <v>2.0</v>
      </c>
      <c r="N46" s="34">
        <f t="shared" ref="N46:O46" si="50">C46+L46</f>
        <v>81</v>
      </c>
      <c r="O46" s="34">
        <f t="shared" si="50"/>
        <v>5</v>
      </c>
      <c r="P46" s="49" t="s">
        <v>58</v>
      </c>
      <c r="Q46" s="49" t="s">
        <v>58</v>
      </c>
      <c r="R46" s="49"/>
      <c r="S46" s="50">
        <f t="shared" si="4"/>
        <v>3</v>
      </c>
      <c r="T46" s="52">
        <f t="shared" si="5"/>
        <v>0</v>
      </c>
      <c r="U46" s="52"/>
      <c r="V46" s="50">
        <f t="shared" si="6"/>
        <v>4</v>
      </c>
      <c r="W46" s="52">
        <f t="shared" si="7"/>
        <v>7</v>
      </c>
      <c r="X46" s="32">
        <f t="shared" si="11"/>
        <v>42</v>
      </c>
      <c r="Z46" s="16" t="str">
        <f t="shared" si="8"/>
        <v/>
      </c>
    </row>
    <row r="47">
      <c r="A47" s="32">
        <f t="shared" si="9"/>
        <v>43</v>
      </c>
      <c r="B47" s="33" t="s">
        <v>113</v>
      </c>
      <c r="C47" s="34">
        <v>64.0</v>
      </c>
      <c r="D47" s="34">
        <v>3.0</v>
      </c>
      <c r="E47" s="35">
        <f t="shared" si="2"/>
        <v>9.333333333</v>
      </c>
      <c r="F47" s="95">
        <v>1.0</v>
      </c>
      <c r="G47" s="96">
        <v>7.0</v>
      </c>
      <c r="H47" s="97">
        <v>0.0</v>
      </c>
      <c r="I47" s="96">
        <v>6.0</v>
      </c>
      <c r="J47" s="96">
        <v>6.0</v>
      </c>
      <c r="K47" s="96">
        <v>4.0</v>
      </c>
      <c r="L47" s="98">
        <v>16.0</v>
      </c>
      <c r="M47" s="96">
        <v>2.0</v>
      </c>
      <c r="N47" s="34">
        <f t="shared" ref="N47:O47" si="51">C47+L47</f>
        <v>80</v>
      </c>
      <c r="O47" s="34">
        <f t="shared" si="51"/>
        <v>5</v>
      </c>
      <c r="P47" s="49" t="s">
        <v>58</v>
      </c>
      <c r="Q47" s="49" t="s">
        <v>58</v>
      </c>
      <c r="R47" s="49"/>
      <c r="S47" s="50">
        <f t="shared" si="4"/>
        <v>3</v>
      </c>
      <c r="T47" s="52">
        <f t="shared" si="5"/>
        <v>0</v>
      </c>
      <c r="U47" s="52"/>
      <c r="V47" s="50">
        <f t="shared" si="6"/>
        <v>4</v>
      </c>
      <c r="W47" s="52">
        <f t="shared" si="7"/>
        <v>-5</v>
      </c>
      <c r="X47" s="32">
        <f t="shared" si="11"/>
        <v>43</v>
      </c>
      <c r="Z47" s="16" t="str">
        <f t="shared" si="8"/>
        <v/>
      </c>
    </row>
    <row r="48">
      <c r="A48" s="32">
        <f t="shared" si="9"/>
        <v>44</v>
      </c>
      <c r="B48" s="33" t="s">
        <v>54</v>
      </c>
      <c r="C48" s="34">
        <v>63.0</v>
      </c>
      <c r="D48" s="34">
        <v>8.0</v>
      </c>
      <c r="E48" s="35">
        <f t="shared" si="2"/>
        <v>9</v>
      </c>
      <c r="F48" s="95">
        <v>1.0</v>
      </c>
      <c r="G48" s="96">
        <v>7.0</v>
      </c>
      <c r="H48" s="97">
        <v>0.0</v>
      </c>
      <c r="I48" s="96">
        <v>0.0</v>
      </c>
      <c r="J48" s="96">
        <v>6.0</v>
      </c>
      <c r="K48" s="96">
        <v>6.0</v>
      </c>
      <c r="L48" s="98">
        <v>12.0</v>
      </c>
      <c r="M48" s="96">
        <v>2.0</v>
      </c>
      <c r="N48" s="34">
        <f t="shared" ref="N48:O48" si="52">C48+L48</f>
        <v>75</v>
      </c>
      <c r="O48" s="34">
        <f t="shared" si="52"/>
        <v>10</v>
      </c>
      <c r="P48" s="49" t="s">
        <v>58</v>
      </c>
      <c r="Q48" s="49" t="s">
        <v>58</v>
      </c>
      <c r="R48" s="49"/>
      <c r="S48" s="50">
        <f t="shared" si="4"/>
        <v>7</v>
      </c>
      <c r="T48" s="52">
        <f t="shared" si="5"/>
        <v>0</v>
      </c>
      <c r="U48" s="52"/>
      <c r="V48" s="50">
        <f t="shared" si="6"/>
        <v>0</v>
      </c>
      <c r="W48" s="52">
        <f t="shared" si="7"/>
        <v>3</v>
      </c>
      <c r="X48" s="32">
        <f t="shared" si="11"/>
        <v>44</v>
      </c>
      <c r="Z48" s="16" t="str">
        <f t="shared" si="8"/>
        <v/>
      </c>
    </row>
    <row r="49">
      <c r="A49" s="32">
        <f t="shared" si="9"/>
        <v>45</v>
      </c>
      <c r="B49" s="33" t="s">
        <v>122</v>
      </c>
      <c r="C49" s="34">
        <v>63.0</v>
      </c>
      <c r="D49" s="34">
        <v>2.0</v>
      </c>
      <c r="E49" s="35">
        <f t="shared" si="2"/>
        <v>9</v>
      </c>
      <c r="F49" s="95">
        <v>1.0</v>
      </c>
      <c r="G49" s="96">
        <v>7.0</v>
      </c>
      <c r="H49" s="97">
        <v>0.0</v>
      </c>
      <c r="I49" s="96">
        <v>6.0</v>
      </c>
      <c r="J49" s="96">
        <v>1.0</v>
      </c>
      <c r="K49" s="96">
        <v>6.0</v>
      </c>
      <c r="L49" s="98">
        <v>13.0</v>
      </c>
      <c r="M49" s="96">
        <v>2.0</v>
      </c>
      <c r="N49" s="34">
        <f t="shared" ref="N49:O49" si="53">C49+L49</f>
        <v>76</v>
      </c>
      <c r="O49" s="34">
        <f t="shared" si="53"/>
        <v>4</v>
      </c>
      <c r="P49" s="49" t="s">
        <v>58</v>
      </c>
      <c r="Q49" s="49" t="s">
        <v>58</v>
      </c>
      <c r="R49" s="49"/>
      <c r="S49" s="50">
        <f t="shared" si="4"/>
        <v>3</v>
      </c>
      <c r="T49" s="52">
        <f t="shared" si="5"/>
        <v>0</v>
      </c>
      <c r="U49" s="52"/>
      <c r="V49" s="50">
        <f t="shared" si="6"/>
        <v>4</v>
      </c>
      <c r="W49" s="52">
        <f t="shared" si="7"/>
        <v>-3</v>
      </c>
      <c r="X49" s="32">
        <f t="shared" si="11"/>
        <v>45</v>
      </c>
      <c r="Z49" s="16" t="str">
        <f t="shared" si="8"/>
        <v/>
      </c>
    </row>
    <row r="50">
      <c r="A50" s="32">
        <f t="shared" si="9"/>
        <v>46</v>
      </c>
      <c r="B50" s="33" t="s">
        <v>148</v>
      </c>
      <c r="C50" s="34">
        <v>62.0</v>
      </c>
      <c r="D50" s="34">
        <v>1.0</v>
      </c>
      <c r="E50" s="35">
        <f t="shared" si="2"/>
        <v>8.75</v>
      </c>
      <c r="F50" s="95">
        <v>1.0</v>
      </c>
      <c r="G50" s="96">
        <v>7.0</v>
      </c>
      <c r="H50" s="97">
        <v>0.0</v>
      </c>
      <c r="I50" s="96">
        <v>0.0</v>
      </c>
      <c r="J50" s="96">
        <v>1.0</v>
      </c>
      <c r="K50" s="96">
        <v>4.0</v>
      </c>
      <c r="L50" s="98">
        <v>5.0</v>
      </c>
      <c r="M50" s="96">
        <v>0.0</v>
      </c>
      <c r="N50" s="34">
        <f t="shared" ref="N50:O50" si="54">C50+L50</f>
        <v>67</v>
      </c>
      <c r="O50" s="34">
        <f t="shared" si="54"/>
        <v>1</v>
      </c>
      <c r="P50" s="49" t="s">
        <v>58</v>
      </c>
      <c r="Q50" s="49" t="s">
        <v>58</v>
      </c>
      <c r="R50" s="49"/>
      <c r="S50" s="50">
        <f t="shared" si="4"/>
        <v>4</v>
      </c>
      <c r="T50" s="52">
        <f t="shared" si="5"/>
        <v>0</v>
      </c>
      <c r="U50" s="52"/>
      <c r="V50" s="50">
        <f t="shared" si="6"/>
        <v>3</v>
      </c>
      <c r="W50" s="52">
        <f t="shared" si="7"/>
        <v>-3</v>
      </c>
      <c r="X50" s="32">
        <f t="shared" si="11"/>
        <v>46</v>
      </c>
      <c r="Z50" s="16" t="str">
        <f t="shared" si="8"/>
        <v/>
      </c>
    </row>
    <row r="51">
      <c r="A51" s="32">
        <f t="shared" si="9"/>
        <v>47</v>
      </c>
      <c r="B51" s="33" t="s">
        <v>135</v>
      </c>
      <c r="C51" s="34">
        <v>61.0</v>
      </c>
      <c r="D51" s="34">
        <v>3.0</v>
      </c>
      <c r="E51" s="35">
        <f t="shared" si="2"/>
        <v>8.333333333</v>
      </c>
      <c r="F51" s="95">
        <v>1.0</v>
      </c>
      <c r="G51" s="96">
        <v>8.0</v>
      </c>
      <c r="H51" s="97">
        <v>0.0</v>
      </c>
      <c r="I51" s="96">
        <v>2.0</v>
      </c>
      <c r="J51" s="96">
        <v>6.0</v>
      </c>
      <c r="K51" s="96">
        <v>0.0</v>
      </c>
      <c r="L51" s="98">
        <v>8.0</v>
      </c>
      <c r="M51" s="96">
        <v>1.0</v>
      </c>
      <c r="N51" s="34">
        <f t="shared" ref="N51:O51" si="55">C51+L51</f>
        <v>69</v>
      </c>
      <c r="O51" s="34">
        <f t="shared" si="55"/>
        <v>4</v>
      </c>
      <c r="P51" s="49" t="s">
        <v>58</v>
      </c>
      <c r="Q51" s="49" t="s">
        <v>58</v>
      </c>
      <c r="R51" s="49"/>
      <c r="S51" s="50">
        <f t="shared" si="4"/>
        <v>3</v>
      </c>
      <c r="T51" s="52">
        <f t="shared" si="5"/>
        <v>0</v>
      </c>
      <c r="U51" s="52"/>
      <c r="V51" s="50">
        <f t="shared" si="6"/>
        <v>4</v>
      </c>
      <c r="W51" s="52">
        <f t="shared" si="7"/>
        <v>-2</v>
      </c>
      <c r="X51" s="32">
        <f t="shared" si="11"/>
        <v>47</v>
      </c>
      <c r="Z51" s="16" t="str">
        <f t="shared" si="8"/>
        <v/>
      </c>
    </row>
    <row r="52">
      <c r="A52" s="32">
        <f t="shared" si="9"/>
        <v>48</v>
      </c>
      <c r="B52" s="33" t="s">
        <v>47</v>
      </c>
      <c r="C52" s="34">
        <v>61.0</v>
      </c>
      <c r="D52" s="34">
        <v>2.0</v>
      </c>
      <c r="E52" s="35">
        <f t="shared" si="2"/>
        <v>8</v>
      </c>
      <c r="F52" s="95">
        <v>1.0</v>
      </c>
      <c r="G52" s="96">
        <v>8.0</v>
      </c>
      <c r="H52" s="97">
        <v>0.0</v>
      </c>
      <c r="I52" s="96">
        <v>6.0</v>
      </c>
      <c r="J52" s="96">
        <v>6.0</v>
      </c>
      <c r="K52" s="96">
        <v>6.0</v>
      </c>
      <c r="L52" s="98">
        <v>18.0</v>
      </c>
      <c r="M52" s="96">
        <v>3.0</v>
      </c>
      <c r="N52" s="34">
        <f t="shared" ref="N52:O52" si="56">C52+L52</f>
        <v>79</v>
      </c>
      <c r="O52" s="34">
        <f t="shared" si="56"/>
        <v>5</v>
      </c>
      <c r="P52" s="49" t="s">
        <v>58</v>
      </c>
      <c r="Q52" s="49" t="s">
        <v>58</v>
      </c>
      <c r="R52" s="49"/>
      <c r="S52" s="50">
        <f t="shared" si="4"/>
        <v>2</v>
      </c>
      <c r="T52" s="52">
        <f t="shared" si="5"/>
        <v>0</v>
      </c>
      <c r="U52" s="52"/>
      <c r="V52" s="50">
        <f t="shared" si="6"/>
        <v>5</v>
      </c>
      <c r="W52" s="52">
        <f t="shared" si="7"/>
        <v>-2</v>
      </c>
      <c r="X52" s="32">
        <f t="shared" si="11"/>
        <v>48</v>
      </c>
      <c r="Z52" s="16" t="str">
        <f t="shared" si="8"/>
        <v/>
      </c>
    </row>
    <row r="53">
      <c r="A53" s="32">
        <f t="shared" si="9"/>
        <v>49</v>
      </c>
      <c r="B53" s="33" t="s">
        <v>93</v>
      </c>
      <c r="C53" s="34">
        <v>60.0</v>
      </c>
      <c r="D53" s="34">
        <v>2.0</v>
      </c>
      <c r="E53" s="35">
        <f t="shared" si="2"/>
        <v>6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7">C53+L53</f>
        <v>69</v>
      </c>
      <c r="O53" s="34">
        <f t="shared" si="57"/>
        <v>2</v>
      </c>
      <c r="P53" s="49" t="s">
        <v>58</v>
      </c>
      <c r="Q53" s="49" t="s">
        <v>58</v>
      </c>
      <c r="R53" s="49"/>
      <c r="S53" s="50">
        <f t="shared" si="4"/>
        <v>1</v>
      </c>
      <c r="T53" s="52">
        <f t="shared" si="5"/>
        <v>0</v>
      </c>
      <c r="U53" s="52"/>
      <c r="V53" s="50">
        <f t="shared" si="6"/>
        <v>6</v>
      </c>
      <c r="W53" s="52">
        <f t="shared" si="7"/>
        <v>-1</v>
      </c>
      <c r="X53" s="32">
        <f t="shared" si="11"/>
        <v>49</v>
      </c>
      <c r="Z53" s="16" t="str">
        <f t="shared" si="8"/>
        <v/>
      </c>
    </row>
    <row r="54">
      <c r="A54" s="32">
        <f t="shared" si="9"/>
        <v>50</v>
      </c>
      <c r="B54" s="33" t="s">
        <v>145</v>
      </c>
      <c r="C54" s="34">
        <v>59.0</v>
      </c>
      <c r="D54" s="34">
        <v>5.0</v>
      </c>
      <c r="E54" s="35">
        <f t="shared" si="2"/>
        <v>8.333333333</v>
      </c>
      <c r="F54" s="95">
        <v>1.0</v>
      </c>
      <c r="G54" s="96">
        <v>8.0</v>
      </c>
      <c r="H54" s="97">
        <v>0.0</v>
      </c>
      <c r="I54" s="96">
        <v>2.0</v>
      </c>
      <c r="J54" s="96">
        <v>1.0</v>
      </c>
      <c r="K54" s="96">
        <v>6.0</v>
      </c>
      <c r="L54" s="98">
        <v>9.0</v>
      </c>
      <c r="M54" s="96">
        <v>1.0</v>
      </c>
      <c r="N54" s="34">
        <f t="shared" ref="N54:O54" si="58">C54+L54</f>
        <v>68</v>
      </c>
      <c r="O54" s="34">
        <f t="shared" si="58"/>
        <v>6</v>
      </c>
      <c r="P54" s="49" t="s">
        <v>58</v>
      </c>
      <c r="Q54" s="49" t="s">
        <v>58</v>
      </c>
      <c r="R54" s="49"/>
      <c r="S54" s="50">
        <f t="shared" si="4"/>
        <v>6</v>
      </c>
      <c r="T54" s="52">
        <f t="shared" si="5"/>
        <v>0</v>
      </c>
      <c r="U54" s="52"/>
      <c r="V54" s="50">
        <f t="shared" si="6"/>
        <v>1</v>
      </c>
      <c r="W54" s="52">
        <f t="shared" si="7"/>
        <v>-6</v>
      </c>
      <c r="X54" s="32">
        <f t="shared" si="11"/>
        <v>50</v>
      </c>
      <c r="Z54" s="16" t="str">
        <f t="shared" si="8"/>
        <v/>
      </c>
    </row>
    <row r="55">
      <c r="A55" s="32">
        <f t="shared" si="9"/>
        <v>51</v>
      </c>
      <c r="B55" s="33" t="s">
        <v>95</v>
      </c>
      <c r="C55" s="34">
        <v>58.0</v>
      </c>
      <c r="D55" s="34">
        <v>1.0</v>
      </c>
      <c r="E55" s="35">
        <f t="shared" si="2"/>
        <v>0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9">C55+L55</f>
        <v>67</v>
      </c>
      <c r="O55" s="34">
        <f t="shared" si="59"/>
        <v>1</v>
      </c>
      <c r="P55" s="49" t="s">
        <v>58</v>
      </c>
      <c r="Q55" s="49" t="s">
        <v>58</v>
      </c>
      <c r="R55" s="49"/>
      <c r="S55" s="50">
        <f t="shared" si="4"/>
        <v>1</v>
      </c>
      <c r="T55" s="52">
        <f t="shared" si="5"/>
        <v>1</v>
      </c>
      <c r="U55" s="52"/>
      <c r="V55" s="50">
        <f t="shared" si="6"/>
        <v>5</v>
      </c>
      <c r="W55" s="52">
        <f t="shared" si="7"/>
        <v>0</v>
      </c>
      <c r="X55" s="32">
        <f t="shared" si="11"/>
        <v>51</v>
      </c>
      <c r="Z55" s="16" t="str">
        <f t="shared" si="8"/>
        <v/>
      </c>
    </row>
    <row r="56">
      <c r="A56" s="32">
        <f t="shared" si="9"/>
        <v>52</v>
      </c>
      <c r="B56" s="33" t="s">
        <v>142</v>
      </c>
      <c r="C56" s="34">
        <v>56.0</v>
      </c>
      <c r="D56" s="34">
        <v>6.0</v>
      </c>
      <c r="E56" s="35">
        <f t="shared" si="2"/>
        <v>7.6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60">C56+L56</f>
        <v>65</v>
      </c>
      <c r="O56" s="34">
        <f t="shared" si="60"/>
        <v>6</v>
      </c>
      <c r="P56" s="49" t="s">
        <v>58</v>
      </c>
      <c r="Q56" s="49" t="s">
        <v>58</v>
      </c>
      <c r="R56" s="49"/>
      <c r="S56" s="50">
        <f t="shared" si="4"/>
        <v>5</v>
      </c>
      <c r="T56" s="52">
        <f t="shared" si="5"/>
        <v>0</v>
      </c>
      <c r="U56" s="52"/>
      <c r="V56" s="50">
        <f t="shared" si="6"/>
        <v>2</v>
      </c>
      <c r="W56" s="52">
        <f t="shared" si="7"/>
        <v>0</v>
      </c>
      <c r="X56" s="32">
        <f t="shared" si="11"/>
        <v>52</v>
      </c>
      <c r="Z56" s="16" t="str">
        <f t="shared" si="8"/>
        <v/>
      </c>
    </row>
    <row r="57">
      <c r="A57" s="32">
        <f t="shared" si="9"/>
        <v>53</v>
      </c>
      <c r="B57" s="33" t="s">
        <v>147</v>
      </c>
      <c r="C57" s="34">
        <v>56.0</v>
      </c>
      <c r="D57" s="34">
        <v>2.0</v>
      </c>
      <c r="E57" s="35">
        <f t="shared" si="2"/>
        <v>5.5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1">C57+L57</f>
        <v>65</v>
      </c>
      <c r="O57" s="34">
        <f t="shared" si="61"/>
        <v>2</v>
      </c>
      <c r="P57" s="49" t="s">
        <v>58</v>
      </c>
      <c r="Q57" s="49" t="s">
        <v>58</v>
      </c>
      <c r="R57" s="49"/>
      <c r="S57" s="50">
        <f t="shared" si="4"/>
        <v>2</v>
      </c>
      <c r="T57" s="52">
        <f t="shared" si="5"/>
        <v>0</v>
      </c>
      <c r="U57" s="52"/>
      <c r="V57" s="50">
        <f t="shared" si="6"/>
        <v>5</v>
      </c>
      <c r="W57" s="52">
        <f t="shared" si="7"/>
        <v>0</v>
      </c>
      <c r="X57" s="32">
        <f t="shared" si="11"/>
        <v>53</v>
      </c>
      <c r="Z57" s="16" t="str">
        <f t="shared" si="8"/>
        <v/>
      </c>
    </row>
    <row r="58">
      <c r="A58" s="32">
        <f t="shared" si="9"/>
        <v>54</v>
      </c>
      <c r="B58" s="33" t="s">
        <v>101</v>
      </c>
      <c r="C58" s="34">
        <v>56.0</v>
      </c>
      <c r="D58" s="34">
        <v>1.0</v>
      </c>
      <c r="E58" s="35">
        <f t="shared" si="2"/>
        <v>6.666666667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2">C58+L58</f>
        <v>65</v>
      </c>
      <c r="O58" s="34">
        <f t="shared" si="62"/>
        <v>1</v>
      </c>
      <c r="P58" s="49" t="s">
        <v>58</v>
      </c>
      <c r="Q58" s="49" t="s">
        <v>58</v>
      </c>
      <c r="R58" s="49"/>
      <c r="S58" s="50">
        <f t="shared" si="4"/>
        <v>3</v>
      </c>
      <c r="T58" s="52">
        <f t="shared" si="5"/>
        <v>0</v>
      </c>
      <c r="U58" s="52"/>
      <c r="V58" s="50">
        <f t="shared" si="6"/>
        <v>4</v>
      </c>
      <c r="W58" s="52">
        <f t="shared" si="7"/>
        <v>0</v>
      </c>
      <c r="X58" s="32">
        <f t="shared" si="11"/>
        <v>54</v>
      </c>
      <c r="Z58" s="16" t="str">
        <f t="shared" si="8"/>
        <v/>
      </c>
    </row>
    <row r="59">
      <c r="A59" s="32">
        <f t="shared" si="9"/>
        <v>55</v>
      </c>
      <c r="B59" s="33" t="s">
        <v>130</v>
      </c>
      <c r="C59" s="34">
        <v>54.0</v>
      </c>
      <c r="D59" s="34">
        <v>0.0</v>
      </c>
      <c r="E59" s="35">
        <f t="shared" si="2"/>
        <v>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3">C59+L59</f>
        <v>63</v>
      </c>
      <c r="O59" s="34">
        <f t="shared" si="63"/>
        <v>0</v>
      </c>
      <c r="P59" s="49" t="s">
        <v>58</v>
      </c>
      <c r="Q59" s="49" t="s">
        <v>58</v>
      </c>
      <c r="R59" s="49"/>
      <c r="S59" s="50">
        <f t="shared" si="4"/>
        <v>0</v>
      </c>
      <c r="T59" s="52">
        <f t="shared" si="5"/>
        <v>0</v>
      </c>
      <c r="U59" s="52"/>
      <c r="V59" s="50">
        <f t="shared" si="6"/>
        <v>7</v>
      </c>
      <c r="W59" s="52">
        <f t="shared" si="7"/>
        <v>0</v>
      </c>
      <c r="X59" s="32">
        <f t="shared" si="11"/>
        <v>55</v>
      </c>
      <c r="Z59" s="16" t="str">
        <f t="shared" si="8"/>
        <v/>
      </c>
    </row>
    <row r="60">
      <c r="A60" s="32">
        <f t="shared" si="9"/>
        <v>56</v>
      </c>
      <c r="B60" s="33" t="s">
        <v>140</v>
      </c>
      <c r="C60" s="34">
        <v>54.0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4">C60+L60</f>
        <v>63</v>
      </c>
      <c r="O60" s="34">
        <f t="shared" si="64"/>
        <v>0</v>
      </c>
      <c r="P60" s="49" t="s">
        <v>58</v>
      </c>
      <c r="Q60" s="49" t="s">
        <v>58</v>
      </c>
      <c r="R60" s="49"/>
      <c r="S60" s="50">
        <f t="shared" si="4"/>
        <v>0</v>
      </c>
      <c r="T60" s="52">
        <f t="shared" si="5"/>
        <v>0</v>
      </c>
      <c r="U60" s="52"/>
      <c r="V60" s="50">
        <f t="shared" si="6"/>
        <v>7</v>
      </c>
      <c r="W60" s="52">
        <f t="shared" si="7"/>
        <v>0</v>
      </c>
      <c r="X60" s="32">
        <f t="shared" si="11"/>
        <v>56</v>
      </c>
      <c r="Z60" s="16" t="str">
        <f t="shared" si="8"/>
        <v/>
      </c>
    </row>
    <row r="61">
      <c r="A61" s="32">
        <f t="shared" si="9"/>
        <v>57</v>
      </c>
      <c r="B61" s="33" t="s">
        <v>75</v>
      </c>
      <c r="C61" s="34">
        <v>54.0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5">C61+L61</f>
        <v>63</v>
      </c>
      <c r="O61" s="34">
        <f t="shared" si="65"/>
        <v>0</v>
      </c>
      <c r="P61" s="49" t="s">
        <v>58</v>
      </c>
      <c r="Q61" s="49" t="s">
        <v>58</v>
      </c>
      <c r="R61" s="49"/>
      <c r="S61" s="50">
        <f t="shared" si="4"/>
        <v>0</v>
      </c>
      <c r="T61" s="52">
        <f t="shared" si="5"/>
        <v>0</v>
      </c>
      <c r="U61" s="52"/>
      <c r="V61" s="50">
        <f t="shared" si="6"/>
        <v>7</v>
      </c>
      <c r="W61" s="52">
        <f t="shared" si="7"/>
        <v>0</v>
      </c>
      <c r="X61" s="32">
        <f t="shared" si="11"/>
        <v>57</v>
      </c>
      <c r="Z61" s="16" t="str">
        <f t="shared" si="8"/>
        <v/>
      </c>
    </row>
    <row r="62">
      <c r="A62" s="32">
        <f t="shared" si="9"/>
        <v>58</v>
      </c>
      <c r="B62" s="33" t="s">
        <v>121</v>
      </c>
      <c r="C62" s="34">
        <v>54.0</v>
      </c>
      <c r="D62" s="34">
        <v>0.0</v>
      </c>
      <c r="E62" s="35">
        <f t="shared" si="2"/>
        <v>0</v>
      </c>
      <c r="F62" s="95">
        <v>4.0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6">C62+L62</f>
        <v>63</v>
      </c>
      <c r="O62" s="34">
        <f t="shared" si="66"/>
        <v>0</v>
      </c>
      <c r="P62" s="49" t="s">
        <v>58</v>
      </c>
      <c r="Q62" s="49" t="s">
        <v>58</v>
      </c>
      <c r="R62" s="49"/>
      <c r="S62" s="50">
        <f t="shared" si="4"/>
        <v>0</v>
      </c>
      <c r="T62" s="52">
        <f t="shared" si="5"/>
        <v>0</v>
      </c>
      <c r="U62" s="52"/>
      <c r="V62" s="50">
        <f t="shared" si="6"/>
        <v>7</v>
      </c>
      <c r="W62" s="52">
        <f t="shared" si="7"/>
        <v>0</v>
      </c>
      <c r="X62" s="32">
        <f t="shared" si="11"/>
        <v>58</v>
      </c>
      <c r="Z62" s="16" t="str">
        <f t="shared" si="8"/>
        <v/>
      </c>
    </row>
    <row r="63">
      <c r="A63" s="32">
        <f t="shared" si="9"/>
        <v>59</v>
      </c>
      <c r="B63" s="33" t="s">
        <v>141</v>
      </c>
      <c r="C63" s="34">
        <v>54.0</v>
      </c>
      <c r="D63" s="34">
        <v>0.0</v>
      </c>
      <c r="E63" s="35">
        <f t="shared" si="2"/>
        <v>0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7">C63+L63</f>
        <v>63</v>
      </c>
      <c r="O63" s="34">
        <f t="shared" si="67"/>
        <v>0</v>
      </c>
      <c r="P63" s="49" t="s">
        <v>58</v>
      </c>
      <c r="Q63" s="49" t="s">
        <v>58</v>
      </c>
      <c r="R63" s="49"/>
      <c r="S63" s="50">
        <f t="shared" si="4"/>
        <v>0</v>
      </c>
      <c r="T63" s="52">
        <f t="shared" si="5"/>
        <v>0</v>
      </c>
      <c r="U63" s="52"/>
      <c r="V63" s="50">
        <f t="shared" si="6"/>
        <v>7</v>
      </c>
      <c r="W63" s="52">
        <f t="shared" si="7"/>
        <v>0</v>
      </c>
      <c r="X63" s="32">
        <f t="shared" si="11"/>
        <v>59</v>
      </c>
      <c r="Z63" s="16" t="str">
        <f t="shared" si="8"/>
        <v/>
      </c>
    </row>
    <row r="64">
      <c r="A64" s="32">
        <f t="shared" si="9"/>
        <v>60</v>
      </c>
      <c r="B64" s="33" t="s">
        <v>146</v>
      </c>
      <c r="C64" s="34">
        <v>54.0</v>
      </c>
      <c r="D64" s="34">
        <v>0.0</v>
      </c>
      <c r="E64" s="35">
        <f t="shared" si="2"/>
        <v>0</v>
      </c>
      <c r="F64" s="95">
        <v>2.0</v>
      </c>
      <c r="G64" s="96">
        <v>8.0</v>
      </c>
      <c r="H64" s="97">
        <v>0.0</v>
      </c>
      <c r="I64" s="96">
        <v>6.0</v>
      </c>
      <c r="J64" s="96">
        <v>1.0</v>
      </c>
      <c r="K64" s="96">
        <v>0.0</v>
      </c>
      <c r="L64" s="98">
        <v>7.0</v>
      </c>
      <c r="M64" s="96">
        <v>1.0</v>
      </c>
      <c r="N64" s="34">
        <f t="shared" ref="N64:O64" si="68">C64+L64</f>
        <v>61</v>
      </c>
      <c r="O64" s="34">
        <f t="shared" si="68"/>
        <v>1</v>
      </c>
      <c r="P64" s="49" t="s">
        <v>58</v>
      </c>
      <c r="Q64" s="49" t="s">
        <v>58</v>
      </c>
      <c r="R64" s="49"/>
      <c r="S64" s="50">
        <f t="shared" si="4"/>
        <v>1</v>
      </c>
      <c r="T64" s="52">
        <f t="shared" si="5"/>
        <v>0</v>
      </c>
      <c r="U64" s="52"/>
      <c r="V64" s="50">
        <f t="shared" si="6"/>
        <v>6</v>
      </c>
      <c r="W64" s="52">
        <f t="shared" si="7"/>
        <v>0</v>
      </c>
      <c r="X64" s="32">
        <f t="shared" si="11"/>
        <v>60</v>
      </c>
      <c r="Z64" s="16" t="str">
        <f t="shared" si="8"/>
        <v/>
      </c>
    </row>
    <row r="65">
      <c r="A65" s="32">
        <f t="shared" si="9"/>
        <v>61</v>
      </c>
      <c r="B65" s="33" t="s">
        <v>69</v>
      </c>
      <c r="C65" s="34">
        <v>54.0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9">C65+L65</f>
        <v>63</v>
      </c>
      <c r="O65" s="34">
        <f t="shared" si="69"/>
        <v>0</v>
      </c>
      <c r="P65" s="49" t="s">
        <v>58</v>
      </c>
      <c r="Q65" s="49" t="s">
        <v>58</v>
      </c>
      <c r="R65" s="49"/>
      <c r="S65" s="50">
        <f t="shared" si="4"/>
        <v>0</v>
      </c>
      <c r="T65" s="52">
        <f t="shared" si="5"/>
        <v>0</v>
      </c>
      <c r="U65" s="52"/>
      <c r="V65" s="50">
        <f t="shared" si="6"/>
        <v>7</v>
      </c>
      <c r="W65" s="52">
        <f t="shared" si="7"/>
        <v>0</v>
      </c>
      <c r="X65" s="32">
        <f t="shared" si="11"/>
        <v>61</v>
      </c>
      <c r="Z65" s="16" t="str">
        <f t="shared" si="8"/>
        <v/>
      </c>
    </row>
    <row r="66">
      <c r="A66" s="32">
        <f t="shared" si="9"/>
        <v>62</v>
      </c>
      <c r="B66" s="33" t="s">
        <v>104</v>
      </c>
      <c r="C66" s="34">
        <v>54.0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0">C66+L66</f>
        <v>63</v>
      </c>
      <c r="O66" s="34">
        <f t="shared" si="70"/>
        <v>0</v>
      </c>
      <c r="P66" s="49" t="s">
        <v>58</v>
      </c>
      <c r="Q66" s="49" t="s">
        <v>58</v>
      </c>
      <c r="R66" s="49"/>
      <c r="S66" s="50">
        <f t="shared" si="4"/>
        <v>0</v>
      </c>
      <c r="T66" s="52">
        <f t="shared" si="5"/>
        <v>0</v>
      </c>
      <c r="U66" s="52"/>
      <c r="V66" s="50">
        <f t="shared" si="6"/>
        <v>7</v>
      </c>
      <c r="W66" s="52">
        <f t="shared" si="7"/>
        <v>0</v>
      </c>
      <c r="X66" s="32">
        <f t="shared" si="11"/>
        <v>62</v>
      </c>
      <c r="Z66" s="16" t="str">
        <f t="shared" si="8"/>
        <v/>
      </c>
    </row>
    <row r="67">
      <c r="A67" s="32">
        <f t="shared" si="9"/>
        <v>63</v>
      </c>
      <c r="B67" s="33" t="s">
        <v>131</v>
      </c>
      <c r="C67" s="34">
        <v>54.0</v>
      </c>
      <c r="D67" s="34">
        <v>0.0</v>
      </c>
      <c r="E67" s="35">
        <f t="shared" si="2"/>
        <v>0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1">C67+L67</f>
        <v>63</v>
      </c>
      <c r="O67" s="34">
        <f t="shared" si="71"/>
        <v>0</v>
      </c>
      <c r="P67" s="49" t="s">
        <v>58</v>
      </c>
      <c r="Q67" s="49" t="s">
        <v>58</v>
      </c>
      <c r="R67" s="49"/>
      <c r="S67" s="50">
        <f t="shared" si="4"/>
        <v>0</v>
      </c>
      <c r="T67" s="52">
        <f t="shared" si="5"/>
        <v>0</v>
      </c>
      <c r="U67" s="52"/>
      <c r="V67" s="50">
        <f t="shared" si="6"/>
        <v>7</v>
      </c>
      <c r="W67" s="52">
        <f t="shared" si="7"/>
        <v>0</v>
      </c>
      <c r="X67" s="32">
        <f t="shared" si="11"/>
        <v>63</v>
      </c>
      <c r="Z67" s="16" t="str">
        <f t="shared" si="8"/>
        <v/>
      </c>
    </row>
    <row r="68">
      <c r="A68" s="32">
        <f t="shared" si="9"/>
        <v>64</v>
      </c>
      <c r="B68" s="33" t="s">
        <v>118</v>
      </c>
      <c r="C68" s="34">
        <v>52.0</v>
      </c>
      <c r="D68" s="34">
        <v>1.0</v>
      </c>
      <c r="E68" s="35">
        <f t="shared" si="2"/>
        <v>-2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2">C68+L68</f>
        <v>61</v>
      </c>
      <c r="O68" s="34">
        <f t="shared" si="72"/>
        <v>1</v>
      </c>
      <c r="P68" s="49" t="s">
        <v>58</v>
      </c>
      <c r="Q68" s="49" t="s">
        <v>58</v>
      </c>
      <c r="R68" s="49"/>
      <c r="S68" s="50">
        <f t="shared" si="4"/>
        <v>1</v>
      </c>
      <c r="T68" s="52">
        <f t="shared" si="5"/>
        <v>0</v>
      </c>
      <c r="U68" s="52"/>
      <c r="V68" s="50">
        <f t="shared" si="6"/>
        <v>6</v>
      </c>
      <c r="W68" s="52">
        <f t="shared" si="7"/>
        <v>0</v>
      </c>
      <c r="X68" s="32">
        <f t="shared" si="11"/>
        <v>64</v>
      </c>
      <c r="Z68" s="16" t="str">
        <f t="shared" si="8"/>
        <v/>
      </c>
    </row>
    <row r="69">
      <c r="A69" s="32">
        <f t="shared" si="9"/>
        <v>65</v>
      </c>
      <c r="B69" s="33" t="s">
        <v>86</v>
      </c>
      <c r="C69" s="34">
        <v>46.0</v>
      </c>
      <c r="D69" s="34">
        <v>1.0</v>
      </c>
      <c r="E69" s="35">
        <f t="shared" si="2"/>
        <v>3.333333333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3">C69+L69</f>
        <v>55</v>
      </c>
      <c r="O69" s="34">
        <f t="shared" si="73"/>
        <v>1</v>
      </c>
      <c r="P69" s="49" t="s">
        <v>58</v>
      </c>
      <c r="Q69" s="49" t="s">
        <v>58</v>
      </c>
      <c r="R69" s="49"/>
      <c r="S69" s="50">
        <f t="shared" si="4"/>
        <v>3</v>
      </c>
      <c r="T69" s="52">
        <f t="shared" si="5"/>
        <v>0</v>
      </c>
      <c r="U69" s="52"/>
      <c r="V69" s="50">
        <f t="shared" si="6"/>
        <v>4</v>
      </c>
      <c r="W69" s="52">
        <f t="shared" si="7"/>
        <v>0</v>
      </c>
      <c r="X69" s="32">
        <f t="shared" si="11"/>
        <v>65</v>
      </c>
      <c r="Z69" s="16" t="str">
        <f t="shared" si="8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08" t="str">
        <f>concatenate("Top Scores : " &amp;AC2)</f>
        <v>Top Scores : 08/09/25</v>
      </c>
      <c r="C78" s="25"/>
      <c r="D78" s="25"/>
      <c r="E78" s="26"/>
      <c r="F78" s="1"/>
    </row>
    <row r="79">
      <c r="A79" s="1"/>
      <c r="C79" s="1"/>
      <c r="D79" s="1"/>
      <c r="E79" s="1"/>
      <c r="F79" s="1"/>
    </row>
    <row r="80">
      <c r="A80" s="1"/>
      <c r="B80" s="110" t="s">
        <v>25</v>
      </c>
      <c r="C80" s="112" t="s">
        <v>159</v>
      </c>
      <c r="D80" s="112" t="s">
        <v>160</v>
      </c>
      <c r="E80" s="112" t="s">
        <v>1</v>
      </c>
      <c r="F80" s="1"/>
    </row>
    <row r="81">
      <c r="A81" s="1"/>
      <c r="B81" s="33" t="str">
        <f>IFERROR(__xludf.DUMMYFUNCTION("QUERY(indirect(AC2 &amp; ""!B5:M69""),""Select B, L, M, G where L &gt;= 18 order by L desc,M desc"",0)"),"Frank Moon")</f>
        <v>Frank Moon</v>
      </c>
      <c r="C81" s="117">
        <f>IFERROR(__xludf.DUMMYFUNCTION("""COMPUTED_VALUE"""),19.0)</f>
        <v>19</v>
      </c>
      <c r="D81" s="117">
        <f>IFERROR(__xludf.DUMMYFUNCTION("""COMPUTED_VALUE"""),3.0)</f>
        <v>3</v>
      </c>
      <c r="E81" s="117">
        <f>IFERROR(__xludf.DUMMYFUNCTION("""COMPUTED_VALUE"""),2.0)</f>
        <v>2</v>
      </c>
      <c r="F81" s="1"/>
    </row>
    <row r="82">
      <c r="A82" s="1"/>
      <c r="B82" s="33" t="str">
        <f>IFERROR(__xludf.DUMMYFUNCTION("""COMPUTED_VALUE"""),"Scott Li")</f>
        <v>Scott Li</v>
      </c>
      <c r="C82" s="117">
        <f>IFERROR(__xludf.DUMMYFUNCTION("""COMPUTED_VALUE"""),19.0)</f>
        <v>19</v>
      </c>
      <c r="D82" s="117">
        <f>IFERROR(__xludf.DUMMYFUNCTION("""COMPUTED_VALUE"""),3.0)</f>
        <v>3</v>
      </c>
      <c r="E82" s="117">
        <f>IFERROR(__xludf.DUMMYFUNCTION("""COMPUTED_VALUE"""),3.0)</f>
        <v>3</v>
      </c>
      <c r="F82" s="1"/>
    </row>
    <row r="83">
      <c r="A83" s="1"/>
      <c r="B83" s="33" t="str">
        <f>IFERROR(__xludf.DUMMYFUNCTION("""COMPUTED_VALUE"""),"Ted Shen")</f>
        <v>Ted Shen</v>
      </c>
      <c r="C83" s="117">
        <f>IFERROR(__xludf.DUMMYFUNCTION("""COMPUTED_VALUE"""),19.0)</f>
        <v>19</v>
      </c>
      <c r="D83" s="117">
        <f>IFERROR(__xludf.DUMMYFUNCTION("""COMPUTED_VALUE"""),3.0)</f>
        <v>3</v>
      </c>
      <c r="E83" s="117">
        <f>IFERROR(__xludf.DUMMYFUNCTION("""COMPUTED_VALUE"""),10.0)</f>
        <v>10</v>
      </c>
      <c r="F83" s="1"/>
    </row>
    <row r="84">
      <c r="A84" s="1"/>
      <c r="B84" s="33" t="str">
        <f>IFERROR(__xludf.DUMMYFUNCTION("""COMPUTED_VALUE"""),"Suleman Alidina")</f>
        <v>Suleman Alidina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IFERROR(__xludf.DUMMYFUNCTION("""COMPUTED_VALUE"""),6.0)</f>
        <v>6</v>
      </c>
      <c r="F84" s="1"/>
    </row>
    <row r="85">
      <c r="A85" s="1"/>
      <c r="B85" s="33" t="str">
        <f>IFERROR(__xludf.DUMMYFUNCTION("""COMPUTED_VALUE"""),"Tina Hanson")</f>
        <v>Tina Hanson</v>
      </c>
      <c r="C85" s="117">
        <f>IFERROR(__xludf.DUMMYFUNCTION("""COMPUTED_VALUE"""),18.0)</f>
        <v>18</v>
      </c>
      <c r="D85" s="117">
        <f>IFERROR(__xludf.DUMMYFUNCTION("""COMPUTED_VALUE"""),3.0)</f>
        <v>3</v>
      </c>
      <c r="E85" s="117">
        <f>IFERROR(__xludf.DUMMYFUNCTION("""COMPUTED_VALUE"""),8.0)</f>
        <v>8</v>
      </c>
      <c r="F85" s="1"/>
    </row>
    <row r="86">
      <c r="A86" s="1"/>
      <c r="B86" s="33" t="str">
        <f>IFERROR(__xludf.DUMMYFUNCTION("""COMPUTED_VALUE"""),"Hongyuan Wen")</f>
        <v>Hongyuan Wen</v>
      </c>
      <c r="C86" s="117">
        <f>IFERROR(__xludf.DUMMYFUNCTION("""COMPUTED_VALUE"""),18.0)</f>
        <v>18</v>
      </c>
      <c r="D86" s="117">
        <f>IFERROR(__xludf.DUMMYFUNCTION("""COMPUTED_VALUE"""),2.0)</f>
        <v>2</v>
      </c>
      <c r="E86" s="117">
        <f>IFERROR(__xludf.DUMMYFUNCTION("""COMPUTED_VALUE"""),4.0)</f>
        <v>4</v>
      </c>
      <c r="F86" s="1"/>
    </row>
    <row r="87">
      <c r="A87" s="1"/>
      <c r="B87" s="33" t="str">
        <f>IFERROR(__xludf.DUMMYFUNCTION("""COMPUTED_VALUE"""),"Jonathan Phan")</f>
        <v>Jonathan Phan</v>
      </c>
      <c r="C87" s="117">
        <f>IFERROR(__xludf.DUMMYFUNCTION("""COMPUTED_VALUE"""),18.0)</f>
        <v>18</v>
      </c>
      <c r="D87" s="117">
        <f>IFERROR(__xludf.DUMMYFUNCTION("""COMPUTED_VALUE"""),2.0)</f>
        <v>2</v>
      </c>
      <c r="E87" s="117">
        <f>IFERROR(__xludf.DUMMYFUNCTION("""COMPUTED_VALUE"""),5.0)</f>
        <v>5</v>
      </c>
      <c r="F87" s="1"/>
    </row>
    <row r="88">
      <c r="A88" s="1"/>
      <c r="B88" s="33" t="str">
        <f>IFERROR(__xludf.DUMMYFUNCTION("""COMPUTED_VALUE"""),"Nicole Ni")</f>
        <v>Nicole Ni</v>
      </c>
      <c r="C88" s="117">
        <f>IFERROR(__xludf.DUMMYFUNCTION("""COMPUTED_VALUE"""),18.0)</f>
        <v>18</v>
      </c>
      <c r="D88" s="117">
        <f>IFERROR(__xludf.DUMMYFUNCTION("""COMPUTED_VALUE"""),2.0)</f>
        <v>2</v>
      </c>
      <c r="E88" s="117">
        <f>IFERROR(__xludf.DUMMYFUNCTION("""COMPUTED_VALUE"""),7.0)</f>
        <v>7</v>
      </c>
      <c r="F88" s="1"/>
    </row>
    <row r="89">
      <c r="A89" s="1"/>
      <c r="B89" s="33" t="str">
        <f>IFERROR(__xludf.DUMMYFUNCTION("""COMPUTED_VALUE"""),"Coco Yan")</f>
        <v>Coco Yan</v>
      </c>
      <c r="C89" s="117">
        <f>IFERROR(__xludf.DUMMYFUNCTION("""COMPUTED_VALUE"""),18.0)</f>
        <v>18</v>
      </c>
      <c r="D89" s="117">
        <f>IFERROR(__xludf.DUMMYFUNCTION("""COMPUTED_VALUE"""),2.0)</f>
        <v>2</v>
      </c>
      <c r="E89" s="117">
        <f>IFERROR(__xludf.DUMMYFUNCTION("""COMPUTED_VALUE"""),7.0)</f>
        <v>7</v>
      </c>
      <c r="F89" s="1"/>
    </row>
    <row r="90">
      <c r="A90" s="1"/>
      <c r="B90" s="33"/>
      <c r="C90" s="117"/>
      <c r="D90" s="117"/>
      <c r="E90" s="117"/>
      <c r="F90" s="1"/>
    </row>
    <row r="91">
      <c r="A91" s="1"/>
      <c r="B91" s="33"/>
      <c r="C91" s="117"/>
      <c r="D91" s="117"/>
      <c r="E91" s="117"/>
      <c r="F91" s="1"/>
    </row>
    <row r="92">
      <c r="A92" s="1"/>
      <c r="C92" s="1"/>
      <c r="D92" s="1"/>
      <c r="E92" s="1"/>
      <c r="F92" s="1"/>
    </row>
    <row r="93">
      <c r="A93" s="1"/>
      <c r="C93" s="1"/>
      <c r="D93" s="1"/>
      <c r="E93" s="1"/>
      <c r="F93" s="1"/>
    </row>
    <row r="94">
      <c r="A94" s="1"/>
      <c r="C94" s="1"/>
      <c r="D94" s="1"/>
      <c r="E94" s="1"/>
      <c r="F94" s="1"/>
    </row>
    <row r="95">
      <c r="A95" s="1"/>
      <c r="C95" s="1"/>
      <c r="D95" s="1"/>
      <c r="E95" s="1"/>
      <c r="F95" s="1"/>
    </row>
    <row r="96">
      <c r="A96" s="1"/>
      <c r="C96" s="1"/>
      <c r="D96" s="1"/>
      <c r="E96" s="1"/>
      <c r="F96" s="1"/>
    </row>
    <row r="97">
      <c r="A97" s="1"/>
      <c r="B97" s="118" t="s">
        <v>167</v>
      </c>
      <c r="C97" s="25"/>
      <c r="D97" s="25"/>
      <c r="E97" s="25"/>
      <c r="F97" s="25"/>
      <c r="G97" s="26"/>
    </row>
    <row r="98">
      <c r="A98" s="1"/>
      <c r="C98" s="1"/>
      <c r="D98" s="1"/>
      <c r="E98" s="1"/>
      <c r="F98" s="1"/>
    </row>
    <row r="99" ht="54.0" customHeight="1">
      <c r="A99" s="1"/>
      <c r="B99" s="110" t="s">
        <v>25</v>
      </c>
      <c r="C99" s="119" t="s">
        <v>168</v>
      </c>
      <c r="D99" s="119" t="s">
        <v>169</v>
      </c>
      <c r="E99" s="119" t="s">
        <v>170</v>
      </c>
      <c r="F99" s="119" t="s">
        <v>171</v>
      </c>
      <c r="G99" s="119" t="s">
        <v>172</v>
      </c>
      <c r="L99" s="119" t="s">
        <v>173</v>
      </c>
    </row>
    <row r="100">
      <c r="A100" s="1"/>
      <c r="B100" s="33" t="str">
        <f>IFERROR(__xludf.DUMMYFUNCTION("query(B5:W69,""select B, W order by W Desc Limit 10"")"),"Ted Shen")</f>
        <v>Ted Shen</v>
      </c>
      <c r="C100" s="117">
        <f>IFERROR(__xludf.DUMMYFUNCTION("""COMPUTED_VALUE"""),15.0)</f>
        <v>15</v>
      </c>
      <c r="D100" s="117">
        <f t="shared" ref="D100:D109" si="74">VLOOKUP(B100,indirect($AC$2&amp;"!B$5:X$69"),23, false)</f>
        <v>32</v>
      </c>
      <c r="E100" s="117">
        <f t="shared" ref="E100:E109" si="75">VLOOKUP(B100,B$5:X$69,23, false)</f>
        <v>17</v>
      </c>
      <c r="F100" s="117">
        <f t="shared" ref="F100:F109" si="76">VLOOKUP(B100,indirect($AC$2&amp;"!B$5:U$70"),11, false)</f>
        <v>19</v>
      </c>
      <c r="G100" s="117">
        <f t="shared" ref="G100:G109" si="77">VLOOKUP(B100,indirect($AC$2&amp;"!B$5:U$70"),6, false)</f>
        <v>10</v>
      </c>
      <c r="L100" s="117" t="str">
        <f t="shared" ref="L100:L109" si="78">if(D100-E100=C100,"ok","Error")</f>
        <v>ok</v>
      </c>
    </row>
    <row r="101">
      <c r="A101" s="1"/>
      <c r="B101" s="33" t="str">
        <f>IFERROR(__xludf.DUMMYFUNCTION("""COMPUTED_VALUE"""),"Hongyuan Wen")</f>
        <v>Hongyuan Wen</v>
      </c>
      <c r="C101" s="117">
        <f>IFERROR(__xludf.DUMMYFUNCTION("""COMPUTED_VALUE"""),12.0)</f>
        <v>12</v>
      </c>
      <c r="D101" s="117">
        <f t="shared" si="74"/>
        <v>23</v>
      </c>
      <c r="E101" s="117">
        <f t="shared" si="75"/>
        <v>11</v>
      </c>
      <c r="F101" s="117">
        <f t="shared" si="76"/>
        <v>18</v>
      </c>
      <c r="G101" s="117">
        <f t="shared" si="77"/>
        <v>4</v>
      </c>
      <c r="L101" s="117" t="str">
        <f t="shared" si="78"/>
        <v>ok</v>
      </c>
    </row>
    <row r="102">
      <c r="A102" s="1"/>
      <c r="B102" s="33" t="str">
        <f>IFERROR(__xludf.DUMMYFUNCTION("""COMPUTED_VALUE"""),"Suleman Alidina")</f>
        <v>Suleman Alidina</v>
      </c>
      <c r="C102" s="117">
        <f>IFERROR(__xludf.DUMMYFUNCTION("""COMPUTED_VALUE"""),12.0)</f>
        <v>12</v>
      </c>
      <c r="D102" s="117">
        <f t="shared" si="74"/>
        <v>31</v>
      </c>
      <c r="E102" s="117">
        <f t="shared" si="75"/>
        <v>19</v>
      </c>
      <c r="F102" s="117">
        <f t="shared" si="76"/>
        <v>18</v>
      </c>
      <c r="G102" s="117">
        <f t="shared" si="77"/>
        <v>6</v>
      </c>
      <c r="L102" s="117" t="str">
        <f t="shared" si="78"/>
        <v>ok</v>
      </c>
    </row>
    <row r="103">
      <c r="A103" s="1"/>
      <c r="B103" s="33" t="str">
        <f>IFERROR(__xludf.DUMMYFUNCTION("""COMPUTED_VALUE"""),"Nicole Ni")</f>
        <v>Nicole Ni</v>
      </c>
      <c r="C103" s="117">
        <f>IFERROR(__xludf.DUMMYFUNCTION("""COMPUTED_VALUE"""),11.0)</f>
        <v>11</v>
      </c>
      <c r="D103" s="117">
        <f t="shared" si="74"/>
        <v>37</v>
      </c>
      <c r="E103" s="117">
        <f t="shared" si="75"/>
        <v>26</v>
      </c>
      <c r="F103" s="117">
        <f t="shared" si="76"/>
        <v>18</v>
      </c>
      <c r="G103" s="117">
        <f t="shared" si="77"/>
        <v>7</v>
      </c>
      <c r="L103" s="117" t="str">
        <f t="shared" si="78"/>
        <v>ok</v>
      </c>
    </row>
    <row r="104">
      <c r="A104" s="1"/>
      <c r="B104" s="33" t="str">
        <f>IFERROR(__xludf.DUMMYFUNCTION("""COMPUTED_VALUE"""),"Tina Hanson")</f>
        <v>Tina Hanson</v>
      </c>
      <c r="C104" s="117">
        <f>IFERROR(__xludf.DUMMYFUNCTION("""COMPUTED_VALUE"""),10.0)</f>
        <v>10</v>
      </c>
      <c r="D104" s="117">
        <f t="shared" si="74"/>
        <v>50</v>
      </c>
      <c r="E104" s="117">
        <f t="shared" si="75"/>
        <v>40</v>
      </c>
      <c r="F104" s="117">
        <f t="shared" si="76"/>
        <v>18</v>
      </c>
      <c r="G104" s="117">
        <f t="shared" si="77"/>
        <v>8</v>
      </c>
      <c r="L104" s="117" t="str">
        <f t="shared" si="78"/>
        <v>ok</v>
      </c>
    </row>
    <row r="105">
      <c r="A105" s="1"/>
      <c r="B105" s="33" t="str">
        <f>IFERROR(__xludf.DUMMYFUNCTION("""COMPUTED_VALUE"""),"Jonathan Phan")</f>
        <v>Jonathan Phan</v>
      </c>
      <c r="C105" s="117">
        <f>IFERROR(__xludf.DUMMYFUNCTION("""COMPUTED_VALUE"""),9.0)</f>
        <v>9</v>
      </c>
      <c r="D105" s="117">
        <f t="shared" si="74"/>
        <v>27</v>
      </c>
      <c r="E105" s="117">
        <f t="shared" si="75"/>
        <v>18</v>
      </c>
      <c r="F105" s="117">
        <f t="shared" si="76"/>
        <v>18</v>
      </c>
      <c r="G105" s="117">
        <f t="shared" si="77"/>
        <v>5</v>
      </c>
      <c r="L105" s="117" t="str">
        <f t="shared" si="78"/>
        <v>ok</v>
      </c>
    </row>
    <row r="106">
      <c r="A106" s="1"/>
      <c r="B106" s="33" t="str">
        <f>IFERROR(__xludf.DUMMYFUNCTION("""COMPUTED_VALUE"""),"Coco Yan")</f>
        <v>Coco Yan</v>
      </c>
      <c r="C106" s="117">
        <f>IFERROR(__xludf.DUMMYFUNCTION("""COMPUTED_VALUE"""),8.0)</f>
        <v>8</v>
      </c>
      <c r="D106" s="117">
        <f t="shared" si="74"/>
        <v>39</v>
      </c>
      <c r="E106" s="117">
        <f t="shared" si="75"/>
        <v>31</v>
      </c>
      <c r="F106" s="117">
        <f t="shared" si="76"/>
        <v>18</v>
      </c>
      <c r="G106" s="117">
        <f t="shared" si="77"/>
        <v>7</v>
      </c>
      <c r="L106" s="117" t="str">
        <f t="shared" si="78"/>
        <v>ok</v>
      </c>
    </row>
    <row r="107">
      <c r="A107" s="1"/>
      <c r="B107" s="33" t="str">
        <f>IFERROR(__xludf.DUMMYFUNCTION("""COMPUTED_VALUE"""),"Scott Li")</f>
        <v>Scott Li</v>
      </c>
      <c r="C107" s="117">
        <f>IFERROR(__xludf.DUMMYFUNCTION("""COMPUTED_VALUE"""),7.0)</f>
        <v>7</v>
      </c>
      <c r="D107" s="117">
        <f t="shared" si="74"/>
        <v>16</v>
      </c>
      <c r="E107" s="117">
        <f t="shared" si="75"/>
        <v>9</v>
      </c>
      <c r="F107" s="117">
        <f t="shared" si="76"/>
        <v>19</v>
      </c>
      <c r="G107" s="117">
        <f t="shared" si="77"/>
        <v>3</v>
      </c>
      <c r="L107" s="117" t="str">
        <f t="shared" si="78"/>
        <v>ok</v>
      </c>
    </row>
    <row r="108">
      <c r="A108" s="1"/>
      <c r="B108" s="33" t="str">
        <f>IFERROR(__xludf.DUMMYFUNCTION("""COMPUTED_VALUE"""),"Troy Wong")</f>
        <v>Troy Wong</v>
      </c>
      <c r="C108" s="117">
        <f>IFERROR(__xludf.DUMMYFUNCTION("""COMPUTED_VALUE"""),7.0)</f>
        <v>7</v>
      </c>
      <c r="D108" s="117">
        <f t="shared" si="74"/>
        <v>49</v>
      </c>
      <c r="E108" s="117">
        <f t="shared" si="75"/>
        <v>42</v>
      </c>
      <c r="F108" s="117">
        <f t="shared" si="76"/>
        <v>15</v>
      </c>
      <c r="G108" s="117">
        <f t="shared" si="77"/>
        <v>11</v>
      </c>
      <c r="L108" s="117" t="str">
        <f t="shared" si="78"/>
        <v>ok</v>
      </c>
    </row>
    <row r="109">
      <c r="A109" s="1"/>
      <c r="B109" s="33" t="str">
        <f>IFERROR(__xludf.DUMMYFUNCTION("""COMPUTED_VALUE"""),"Elayaraja Thangaraj")</f>
        <v>Elayaraja Thangaraj</v>
      </c>
      <c r="C109" s="117">
        <f>IFERROR(__xludf.DUMMYFUNCTION("""COMPUTED_VALUE"""),6.0)</f>
        <v>6</v>
      </c>
      <c r="D109" s="117">
        <f t="shared" si="74"/>
        <v>36</v>
      </c>
      <c r="E109" s="117">
        <f t="shared" si="75"/>
        <v>30</v>
      </c>
      <c r="F109" s="117">
        <f t="shared" si="76"/>
        <v>15</v>
      </c>
      <c r="G109" s="117">
        <f t="shared" si="77"/>
        <v>7</v>
      </c>
      <c r="L109" s="117" t="str">
        <f t="shared" si="78"/>
        <v>ok</v>
      </c>
    </row>
    <row r="110">
      <c r="A110" s="1"/>
      <c r="C110" s="1"/>
      <c r="D110" s="1"/>
      <c r="E110" s="1"/>
      <c r="F110" s="1"/>
    </row>
    <row r="111">
      <c r="A111" s="1"/>
      <c r="C111" s="1"/>
      <c r="D111" s="1"/>
      <c r="E111" s="1"/>
      <c r="F111" s="1"/>
    </row>
    <row r="112">
      <c r="A112" s="1"/>
      <c r="C112" s="1"/>
      <c r="D112" s="1"/>
      <c r="E112" s="1"/>
      <c r="F112" s="1"/>
    </row>
    <row r="113">
      <c r="A113" s="1"/>
      <c r="C113" s="1"/>
      <c r="D113" s="1"/>
      <c r="E113" s="1"/>
      <c r="F113" s="1"/>
    </row>
    <row r="114">
      <c r="A114" s="1"/>
      <c r="C114" s="1"/>
      <c r="D114" s="1"/>
      <c r="E114" s="1"/>
      <c r="F114" s="1"/>
    </row>
    <row r="115">
      <c r="A115" s="118" t="str">
        <f> CONCATENATE("TOP 10 Players after " &amp;D2 &amp; " Weeks")</f>
        <v>TOP 10 Players after 7 Weeks</v>
      </c>
      <c r="B115" s="25"/>
      <c r="C115" s="25"/>
      <c r="D115" s="25"/>
      <c r="E115" s="26"/>
      <c r="F115" s="1"/>
    </row>
    <row r="116">
      <c r="A116" s="1"/>
      <c r="C116" s="1"/>
      <c r="D116" s="1"/>
      <c r="E116" s="1"/>
      <c r="F116" s="1"/>
    </row>
    <row r="117">
      <c r="A117" s="110" t="s">
        <v>31</v>
      </c>
      <c r="B117" s="110" t="s">
        <v>25</v>
      </c>
      <c r="C117" s="110" t="s">
        <v>5</v>
      </c>
      <c r="D117" s="110" t="s">
        <v>7</v>
      </c>
      <c r="E117" s="110" t="s">
        <v>32</v>
      </c>
      <c r="F117" s="1"/>
    </row>
    <row r="118">
      <c r="A118" s="117">
        <f t="shared" ref="A118:E118" si="79">A5</f>
        <v>1</v>
      </c>
      <c r="B118" s="33" t="str">
        <f t="shared" si="79"/>
        <v>Darren Wong</v>
      </c>
      <c r="C118" s="117">
        <f t="shared" si="79"/>
        <v>90</v>
      </c>
      <c r="D118" s="117">
        <f t="shared" si="79"/>
        <v>11</v>
      </c>
      <c r="E118" s="117">
        <f t="shared" si="79"/>
        <v>14.4</v>
      </c>
      <c r="F118" s="1"/>
    </row>
    <row r="119">
      <c r="A119" s="117">
        <f t="shared" ref="A119:E119" si="80">A6</f>
        <v>2</v>
      </c>
      <c r="B119" s="33" t="str">
        <f t="shared" si="80"/>
        <v>Pulkit Mathur</v>
      </c>
      <c r="C119" s="117">
        <f t="shared" si="80"/>
        <v>89</v>
      </c>
      <c r="D119" s="117">
        <f t="shared" si="80"/>
        <v>11</v>
      </c>
      <c r="E119" s="117">
        <f t="shared" si="80"/>
        <v>14.2</v>
      </c>
      <c r="F119" s="1"/>
    </row>
    <row r="120">
      <c r="A120" s="117">
        <f t="shared" ref="A120:E120" si="81">A7</f>
        <v>3</v>
      </c>
      <c r="B120" s="33" t="str">
        <f t="shared" si="81"/>
        <v>Lam Bui</v>
      </c>
      <c r="C120" s="117">
        <f t="shared" si="81"/>
        <v>88</v>
      </c>
      <c r="D120" s="117">
        <f t="shared" si="81"/>
        <v>10</v>
      </c>
      <c r="E120" s="117">
        <f t="shared" si="81"/>
        <v>14</v>
      </c>
      <c r="F120" s="1"/>
    </row>
    <row r="121">
      <c r="A121" s="117">
        <f t="shared" ref="A121:E121" si="82">A8</f>
        <v>4</v>
      </c>
      <c r="B121" s="33" t="str">
        <f t="shared" si="82"/>
        <v>Eric Pan</v>
      </c>
      <c r="C121" s="117">
        <f t="shared" si="82"/>
        <v>88</v>
      </c>
      <c r="D121" s="117">
        <f t="shared" si="82"/>
        <v>10</v>
      </c>
      <c r="E121" s="117">
        <f t="shared" si="82"/>
        <v>13.16666667</v>
      </c>
      <c r="F121" s="1"/>
    </row>
    <row r="122">
      <c r="A122" s="117">
        <f t="shared" ref="A122:E122" si="83">A9</f>
        <v>5</v>
      </c>
      <c r="B122" s="33" t="str">
        <f t="shared" si="83"/>
        <v>Ethan Gu</v>
      </c>
      <c r="C122" s="117">
        <f t="shared" si="83"/>
        <v>86</v>
      </c>
      <c r="D122" s="117">
        <f t="shared" si="83"/>
        <v>11</v>
      </c>
      <c r="E122" s="117">
        <f t="shared" si="83"/>
        <v>12.28571429</v>
      </c>
      <c r="F122" s="1"/>
    </row>
    <row r="123">
      <c r="A123" s="117">
        <f t="shared" ref="A123:E123" si="84">A10</f>
        <v>6</v>
      </c>
      <c r="B123" s="33" t="str">
        <f t="shared" si="84"/>
        <v>Frank Moon</v>
      </c>
      <c r="C123" s="117">
        <f t="shared" si="84"/>
        <v>86</v>
      </c>
      <c r="D123" s="117">
        <f t="shared" si="84"/>
        <v>10</v>
      </c>
      <c r="E123" s="117">
        <f t="shared" si="84"/>
        <v>12.28571429</v>
      </c>
      <c r="F123" s="1"/>
    </row>
    <row r="124">
      <c r="A124" s="117">
        <f t="shared" ref="A124:E124" si="85">A11</f>
        <v>7</v>
      </c>
      <c r="B124" s="33" t="str">
        <f t="shared" si="85"/>
        <v>Tom Le</v>
      </c>
      <c r="C124" s="117">
        <f t="shared" si="85"/>
        <v>84</v>
      </c>
      <c r="D124" s="117">
        <f t="shared" si="85"/>
        <v>9</v>
      </c>
      <c r="E124" s="117">
        <f t="shared" si="85"/>
        <v>13.2</v>
      </c>
      <c r="F124" s="1"/>
    </row>
    <row r="125">
      <c r="A125" s="117">
        <f t="shared" ref="A125:E125" si="86">A12</f>
        <v>8</v>
      </c>
      <c r="B125" s="33" t="str">
        <f t="shared" si="86"/>
        <v>Rajasekar Ramasamy</v>
      </c>
      <c r="C125" s="117">
        <f t="shared" si="86"/>
        <v>83</v>
      </c>
      <c r="D125" s="117">
        <f t="shared" si="86"/>
        <v>10</v>
      </c>
      <c r="E125" s="117">
        <f t="shared" si="86"/>
        <v>11.85714286</v>
      </c>
      <c r="F125" s="1"/>
    </row>
    <row r="126">
      <c r="A126" s="117">
        <f t="shared" ref="A126:E126" si="87">A13</f>
        <v>9</v>
      </c>
      <c r="B126" s="33" t="str">
        <f t="shared" si="87"/>
        <v>Scott Li</v>
      </c>
      <c r="C126" s="117">
        <f t="shared" si="87"/>
        <v>82</v>
      </c>
      <c r="D126" s="117">
        <f t="shared" si="87"/>
        <v>10</v>
      </c>
      <c r="E126" s="117">
        <f t="shared" si="87"/>
        <v>12.16666667</v>
      </c>
      <c r="F126" s="1"/>
    </row>
    <row r="127">
      <c r="A127" s="117">
        <f t="shared" ref="A127:E127" si="88">A14</f>
        <v>10</v>
      </c>
      <c r="B127" s="33" t="str">
        <f t="shared" si="88"/>
        <v>Sandeep Kamalon</v>
      </c>
      <c r="C127" s="117">
        <f t="shared" si="88"/>
        <v>81</v>
      </c>
      <c r="D127" s="117">
        <f t="shared" si="88"/>
        <v>9</v>
      </c>
      <c r="E127" s="117">
        <f t="shared" si="88"/>
        <v>11.33333333</v>
      </c>
      <c r="F127" s="1"/>
    </row>
    <row r="128">
      <c r="A128" s="1"/>
      <c r="C128" s="1"/>
      <c r="D128" s="1"/>
      <c r="E128" s="1"/>
      <c r="F128" s="1"/>
    </row>
    <row r="129">
      <c r="A129" s="1"/>
      <c r="C129" s="1"/>
      <c r="D129" s="1"/>
      <c r="E129" s="1"/>
      <c r="F129" s="1"/>
    </row>
    <row r="130">
      <c r="A130" s="1"/>
      <c r="C130" s="1"/>
      <c r="D130" s="1"/>
      <c r="E130" s="1"/>
      <c r="F130" s="1"/>
    </row>
    <row r="131">
      <c r="A131" s="1"/>
      <c r="B131" s="121" t="s">
        <v>174</v>
      </c>
      <c r="C131" s="26"/>
      <c r="D131" s="1"/>
      <c r="E131" s="1"/>
      <c r="F131" s="1"/>
    </row>
    <row r="132">
      <c r="A132" s="1"/>
      <c r="C132" s="1"/>
      <c r="D132" s="1"/>
      <c r="E132" s="1"/>
      <c r="F132" s="1"/>
    </row>
    <row r="133">
      <c r="A133" s="1"/>
      <c r="B133" s="110" t="s">
        <v>0</v>
      </c>
      <c r="C133" s="110" t="s">
        <v>175</v>
      </c>
      <c r="D133" s="1"/>
      <c r="E133" s="1"/>
      <c r="F133" s="1"/>
    </row>
    <row r="134">
      <c r="A134" s="1"/>
      <c r="B134" s="33" t="str">
        <f>Data!F91</f>
        <v>Adrian Tay</v>
      </c>
      <c r="C134" s="117">
        <f>Data!G91</f>
        <v>12</v>
      </c>
      <c r="D134" s="1"/>
      <c r="E134" s="1"/>
      <c r="F134" s="1"/>
    </row>
    <row r="135">
      <c r="A135" s="1"/>
      <c r="B135" s="33" t="str">
        <f>Data!F92</f>
        <v>Darren Wong</v>
      </c>
      <c r="C135" s="117">
        <f>Data!G92</f>
        <v>4</v>
      </c>
      <c r="D135" s="1"/>
      <c r="E135" s="1"/>
      <c r="F135" s="1"/>
    </row>
    <row r="136">
      <c r="A136" s="1"/>
      <c r="B136" s="33" t="str">
        <f>Data!F93</f>
        <v>Eric Pan</v>
      </c>
      <c r="C136" s="117">
        <f>Data!G93</f>
        <v>1</v>
      </c>
      <c r="D136" s="1"/>
      <c r="E136" s="1"/>
      <c r="F136" s="1"/>
    </row>
    <row r="137">
      <c r="A137" s="1"/>
      <c r="B137" s="33" t="str">
        <f>Data!F94</f>
        <v>Frank Moon</v>
      </c>
      <c r="C137" s="117">
        <f>Data!G94</f>
        <v>1</v>
      </c>
      <c r="D137" s="1"/>
      <c r="E137" s="1"/>
      <c r="F137" s="1"/>
    </row>
    <row r="138">
      <c r="A138" s="1"/>
      <c r="B138" s="33" t="str">
        <f>Data!F95</f>
        <v>Lam Bui</v>
      </c>
      <c r="C138" s="117">
        <f>Data!G95</f>
        <v>1</v>
      </c>
      <c r="D138" s="1"/>
      <c r="E138" s="1"/>
      <c r="F138" s="1"/>
    </row>
    <row r="139">
      <c r="A139" s="1"/>
      <c r="B139" s="33" t="str">
        <f>Data!F96</f>
        <v>Pulkit Mathur</v>
      </c>
      <c r="C139" s="117">
        <f>Data!G96</f>
        <v>4</v>
      </c>
      <c r="D139" s="1"/>
      <c r="E139" s="1"/>
      <c r="F139" s="1"/>
    </row>
    <row r="140">
      <c r="A140" s="1"/>
      <c r="B140" s="33" t="str">
        <f>Data!F97</f>
        <v>Robert Chang</v>
      </c>
      <c r="C140" s="117">
        <f>Data!G97</f>
        <v>1</v>
      </c>
      <c r="D140" s="1"/>
      <c r="E140" s="1"/>
      <c r="F140" s="1"/>
    </row>
    <row r="141">
      <c r="A141" s="1"/>
      <c r="B141" s="33" t="str">
        <f>Data!F98</f>
        <v/>
      </c>
      <c r="C141" s="117" t="str">
        <f>Data!G98</f>
        <v/>
      </c>
      <c r="D141" s="1"/>
      <c r="E141" s="1"/>
      <c r="F141" s="1"/>
    </row>
    <row r="142">
      <c r="A142" s="1"/>
      <c r="B142" s="33" t="str">
        <f>Data!F99</f>
        <v/>
      </c>
      <c r="C142" s="117" t="str">
        <f>Data!G99</f>
        <v/>
      </c>
      <c r="D142" s="1"/>
      <c r="E142" s="1"/>
      <c r="F142" s="1"/>
    </row>
    <row r="143">
      <c r="A143" s="1"/>
      <c r="B143" s="33" t="str">
        <f>Data!F100</f>
        <v/>
      </c>
      <c r="C143" s="117" t="str">
        <f>Data!G100</f>
        <v/>
      </c>
      <c r="D143" s="1"/>
      <c r="E143" s="1"/>
      <c r="F143" s="1"/>
    </row>
    <row r="144">
      <c r="A144" s="1"/>
      <c r="B144" s="33" t="str">
        <f>Data!F101</f>
        <v/>
      </c>
      <c r="C144" s="117" t="str">
        <f>Data!G101</f>
        <v/>
      </c>
      <c r="D144" s="1"/>
      <c r="E144" s="1"/>
      <c r="F144" s="1"/>
    </row>
    <row r="145">
      <c r="A145" s="1"/>
      <c r="C145" s="1"/>
      <c r="D145" s="1"/>
      <c r="E145" s="1"/>
      <c r="F145" s="1"/>
    </row>
    <row r="146">
      <c r="A146" s="1"/>
      <c r="C146" s="1"/>
      <c r="D146" s="1"/>
      <c r="E146" s="1"/>
      <c r="F146" s="1"/>
    </row>
    <row r="147">
      <c r="A147" s="1"/>
      <c r="C147" s="1"/>
      <c r="D147" s="1"/>
      <c r="E147" s="1"/>
      <c r="F147" s="1"/>
    </row>
    <row r="148">
      <c r="A148" s="1"/>
      <c r="C148" s="1"/>
      <c r="D148" s="1"/>
      <c r="E148" s="1"/>
      <c r="F148" s="1"/>
    </row>
    <row r="149">
      <c r="A149" s="1"/>
      <c r="C149" s="1"/>
      <c r="D149" s="1"/>
      <c r="E149" s="1"/>
      <c r="F149" s="1"/>
    </row>
    <row r="150">
      <c r="A150" s="121" t="s">
        <v>176</v>
      </c>
      <c r="B150" s="26"/>
      <c r="C150" s="1"/>
      <c r="D150" s="1"/>
      <c r="E150" s="1"/>
      <c r="F150" s="1"/>
    </row>
    <row r="151">
      <c r="A151" s="1"/>
      <c r="C151" s="1"/>
      <c r="D151" s="1"/>
      <c r="E151" s="1"/>
      <c r="F151" s="1"/>
    </row>
    <row r="152">
      <c r="A152" s="110" t="s">
        <v>22</v>
      </c>
      <c r="B152" s="110" t="s">
        <v>0</v>
      </c>
      <c r="C152" s="1"/>
      <c r="D152" s="1"/>
      <c r="E152" s="1"/>
      <c r="F152" s="1"/>
    </row>
    <row r="153">
      <c r="A153" s="117">
        <f>if(B153&lt;&gt;"",1,0)</f>
        <v>1</v>
      </c>
      <c r="B153" s="33" t="str">
        <f>IFERROR(__xludf.DUMMYFUNCTION("query(B5:V69,""select B where V = 0 order by B ASC"")"),"Alex Hou")</f>
        <v>Alex Hou</v>
      </c>
      <c r="C153" s="1"/>
      <c r="D153" s="1"/>
      <c r="E153" s="1"/>
      <c r="F153" s="1"/>
    </row>
    <row r="154">
      <c r="A154" s="117">
        <f t="shared" ref="A154:A168" si="89">if(B154&lt;&gt;"",A153+1,0)</f>
        <v>2</v>
      </c>
      <c r="B154" s="33" t="str">
        <f>IFERROR(__xludf.DUMMYFUNCTION("""COMPUTED_VALUE"""),"Allen Zhang")</f>
        <v>Allen Zhang</v>
      </c>
      <c r="C154" s="1"/>
      <c r="D154" s="1"/>
      <c r="E154" s="1"/>
      <c r="F154" s="1"/>
    </row>
    <row r="155">
      <c r="A155" s="117">
        <f t="shared" si="89"/>
        <v>3</v>
      </c>
      <c r="B155" s="33" t="str">
        <f>IFERROR(__xludf.DUMMYFUNCTION("""COMPUTED_VALUE"""),"Chinna Ponnaganti")</f>
        <v>Chinna Ponnaganti</v>
      </c>
      <c r="C155" s="1"/>
      <c r="D155" s="1"/>
      <c r="E155" s="1"/>
      <c r="F155" s="1"/>
    </row>
    <row r="156">
      <c r="A156" s="117">
        <f t="shared" si="89"/>
        <v>4</v>
      </c>
      <c r="B156" s="33" t="str">
        <f>IFERROR(__xludf.DUMMYFUNCTION("""COMPUTED_VALUE"""),"David Shin")</f>
        <v>David Shin</v>
      </c>
      <c r="C156" s="1"/>
      <c r="D156" s="1"/>
      <c r="E156" s="1"/>
      <c r="F156" s="1"/>
    </row>
    <row r="157">
      <c r="A157" s="117">
        <f t="shared" si="89"/>
        <v>5</v>
      </c>
      <c r="B157" s="33" t="str">
        <f>IFERROR(__xludf.DUMMYFUNCTION("""COMPUTED_VALUE"""),"Ethan Gu")</f>
        <v>Ethan Gu</v>
      </c>
      <c r="C157" s="1"/>
      <c r="D157" s="1"/>
      <c r="E157" s="1"/>
      <c r="F157" s="1"/>
    </row>
    <row r="158">
      <c r="A158" s="117">
        <f t="shared" si="89"/>
        <v>6</v>
      </c>
      <c r="B158" s="33" t="str">
        <f>IFERROR(__xludf.DUMMYFUNCTION("""COMPUTED_VALUE"""),"Frank Moon")</f>
        <v>Frank Moon</v>
      </c>
      <c r="C158" s="1"/>
      <c r="D158" s="1"/>
      <c r="E158" s="1"/>
      <c r="F158" s="1"/>
    </row>
    <row r="159">
      <c r="A159" s="117">
        <f t="shared" si="89"/>
        <v>7</v>
      </c>
      <c r="B159" s="33" t="str">
        <f>IFERROR(__xludf.DUMMYFUNCTION("""COMPUTED_VALUE"""),"Nicole Ni")</f>
        <v>Nicole Ni</v>
      </c>
      <c r="C159" s="1"/>
      <c r="D159" s="1"/>
      <c r="E159" s="1"/>
      <c r="F159" s="1"/>
    </row>
    <row r="160">
      <c r="A160" s="117">
        <f t="shared" si="89"/>
        <v>8</v>
      </c>
      <c r="B160" s="33" t="str">
        <f>IFERROR(__xludf.DUMMYFUNCTION("""COMPUTED_VALUE"""),"Rajasekar Ramasamy")</f>
        <v>Rajasekar Ramasamy</v>
      </c>
      <c r="C160" s="1"/>
      <c r="D160" s="1"/>
      <c r="E160" s="1"/>
      <c r="F160" s="1"/>
    </row>
    <row r="161">
      <c r="A161" s="117">
        <f t="shared" si="89"/>
        <v>9</v>
      </c>
      <c r="B161" s="33" t="str">
        <f>IFERROR(__xludf.DUMMYFUNCTION("""COMPUTED_VALUE"""),"Sandeep Kamalon")</f>
        <v>Sandeep Kamalon</v>
      </c>
      <c r="C161" s="1"/>
      <c r="D161" s="1"/>
      <c r="E161" s="1"/>
      <c r="F161" s="1"/>
    </row>
    <row r="162">
      <c r="A162" s="117">
        <f t="shared" si="89"/>
        <v>10</v>
      </c>
      <c r="B162" s="33" t="str">
        <f>IFERROR(__xludf.DUMMYFUNCTION("""COMPUTED_VALUE"""),"Vinaya Kajla")</f>
        <v>Vinaya Kajla</v>
      </c>
      <c r="C162" s="1"/>
      <c r="D162" s="1"/>
      <c r="E162" s="1"/>
      <c r="F162" s="1"/>
    </row>
    <row r="163">
      <c r="A163" s="117">
        <f t="shared" si="89"/>
        <v>0</v>
      </c>
      <c r="B163" s="33"/>
      <c r="C163" s="1"/>
      <c r="D163" s="1"/>
      <c r="E163" s="1"/>
      <c r="F163" s="1"/>
    </row>
    <row r="164">
      <c r="A164" s="117">
        <f t="shared" si="89"/>
        <v>0</v>
      </c>
      <c r="B164" s="33"/>
      <c r="C164" s="1"/>
      <c r="D164" s="1"/>
      <c r="E164" s="1"/>
      <c r="F164" s="1"/>
    </row>
    <row r="165">
      <c r="A165" s="117">
        <f t="shared" si="89"/>
        <v>0</v>
      </c>
      <c r="B165" s="33"/>
      <c r="C165" s="1"/>
      <c r="D165" s="1"/>
      <c r="E165" s="1"/>
      <c r="F165" s="1"/>
    </row>
    <row r="166">
      <c r="A166" s="117">
        <f t="shared" si="89"/>
        <v>0</v>
      </c>
      <c r="B166" s="33"/>
      <c r="C166" s="1"/>
      <c r="D166" s="1"/>
      <c r="E166" s="1"/>
      <c r="F166" s="1"/>
    </row>
    <row r="167">
      <c r="A167" s="117">
        <f t="shared" si="89"/>
        <v>0</v>
      </c>
      <c r="B167" s="33"/>
      <c r="C167" s="1"/>
      <c r="D167" s="1"/>
      <c r="E167" s="1"/>
      <c r="F167" s="1"/>
    </row>
    <row r="168">
      <c r="A168" s="117">
        <f t="shared" si="89"/>
        <v>0</v>
      </c>
      <c r="B168" s="33"/>
      <c r="C168" s="1"/>
      <c r="D168" s="1"/>
      <c r="E168" s="1"/>
      <c r="F168" s="1"/>
    </row>
    <row r="169">
      <c r="A169" s="117"/>
      <c r="B169" s="33"/>
      <c r="C169" s="1"/>
      <c r="D169" s="1"/>
      <c r="E169" s="1"/>
      <c r="F169" s="1"/>
    </row>
    <row r="170">
      <c r="A170" s="117"/>
      <c r="B170" s="33"/>
      <c r="C170" s="1"/>
      <c r="D170" s="1"/>
      <c r="E170" s="1"/>
      <c r="F170" s="1"/>
    </row>
    <row r="171">
      <c r="A171" s="117"/>
      <c r="B171" s="33"/>
      <c r="C171" s="1"/>
      <c r="D171" s="1"/>
      <c r="E171" s="1"/>
      <c r="F171" s="1"/>
    </row>
    <row r="172">
      <c r="A172" s="117"/>
      <c r="B172" s="33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B181" s="119" t="str">
        <f>concatenate("Scores for : " &amp; AC2)</f>
        <v>Scores for : 08/09/25</v>
      </c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10" t="s">
        <v>1</v>
      </c>
      <c r="B183" s="110" t="s">
        <v>0</v>
      </c>
      <c r="C183" s="110" t="s">
        <v>12</v>
      </c>
      <c r="D183" s="110" t="s">
        <v>14</v>
      </c>
      <c r="E183" s="110" t="s">
        <v>16</v>
      </c>
      <c r="F183" s="110" t="s">
        <v>18</v>
      </c>
      <c r="G183" s="110" t="s">
        <v>7</v>
      </c>
    </row>
    <row r="184">
      <c r="A184" s="117">
        <f>IFERROR(__xludf.DUMMYFUNCTION("QUERY(indirect(AC2 &amp; ""!B5:M69""),""Select G, B, I, J, K,L, M where G &gt; 0 order by G asc"",0)"),1.0)</f>
        <v>1</v>
      </c>
      <c r="B184" s="33" t="str">
        <f>IFERROR(__xludf.DUMMYFUNCTION("""COMPUTED_VALUE"""),"Ethan Gu")</f>
        <v>Ethan Gu</v>
      </c>
      <c r="C184" s="122">
        <f>IFERROR(__xludf.DUMMYFUNCTION("""COMPUTED_VALUE"""),7.0)</f>
        <v>7</v>
      </c>
      <c r="D184" s="122">
        <f>IFERROR(__xludf.DUMMYFUNCTION("""COMPUTED_VALUE"""),6.0)</f>
        <v>6</v>
      </c>
      <c r="E184" s="122">
        <f>IFERROR(__xludf.DUMMYFUNCTION("""COMPUTED_VALUE"""),3.0)</f>
        <v>3</v>
      </c>
      <c r="F184" s="122">
        <f>IFERROR(__xludf.DUMMYFUNCTION("""COMPUTED_VALUE"""),16.0)</f>
        <v>16</v>
      </c>
      <c r="G184" s="122">
        <f>IFERROR(__xludf.DUMMYFUNCTION("""COMPUTED_VALUE"""),2.0)</f>
        <v>2</v>
      </c>
    </row>
    <row r="185">
      <c r="A185" s="117">
        <f>IFERROR(__xludf.DUMMYFUNCTION("""COMPUTED_VALUE"""),1.0)</f>
        <v>1</v>
      </c>
      <c r="B185" s="33" t="str">
        <f>IFERROR(__xludf.DUMMYFUNCTION("""COMPUTED_VALUE"""),"David Shin")</f>
        <v>David Shin</v>
      </c>
      <c r="C185" s="122">
        <f>IFERROR(__xludf.DUMMYFUNCTION("""COMPUTED_VALUE"""),5.0)</f>
        <v>5</v>
      </c>
      <c r="D185" s="122">
        <f>IFERROR(__xludf.DUMMYFUNCTION("""COMPUTED_VALUE"""),1.0)</f>
        <v>1</v>
      </c>
      <c r="E185" s="122">
        <f>IFERROR(__xludf.DUMMYFUNCTION("""COMPUTED_VALUE"""),3.0)</f>
        <v>3</v>
      </c>
      <c r="F185" s="122">
        <f>IFERROR(__xludf.DUMMYFUNCTION("""COMPUTED_VALUE"""),9.0)</f>
        <v>9</v>
      </c>
      <c r="G185" s="122">
        <f>IFERROR(__xludf.DUMMYFUNCTION("""COMPUTED_VALUE"""),0.0)</f>
        <v>0</v>
      </c>
    </row>
    <row r="186">
      <c r="A186" s="117">
        <f>IFERROR(__xludf.DUMMYFUNCTION("""COMPUTED_VALUE"""),1.0)</f>
        <v>1</v>
      </c>
      <c r="B186" s="33" t="str">
        <f>IFERROR(__xludf.DUMMYFUNCTION("""COMPUTED_VALUE"""),"Rajasekar Ramasamy")</f>
        <v>Rajasekar Ramasamy</v>
      </c>
      <c r="C186" s="122">
        <f>IFERROR(__xludf.DUMMYFUNCTION("""COMPUTED_VALUE"""),7.0)</f>
        <v>7</v>
      </c>
      <c r="D186" s="122">
        <f>IFERROR(__xludf.DUMMYFUNCTION("""COMPUTED_VALUE"""),1.0)</f>
        <v>1</v>
      </c>
      <c r="E186" s="122">
        <f>IFERROR(__xludf.DUMMYFUNCTION("""COMPUTED_VALUE"""),6.0)</f>
        <v>6</v>
      </c>
      <c r="F186" s="122">
        <f>IFERROR(__xludf.DUMMYFUNCTION("""COMPUTED_VALUE"""),14.0)</f>
        <v>14</v>
      </c>
      <c r="G186" s="122">
        <f>IFERROR(__xludf.DUMMYFUNCTION("""COMPUTED_VALUE"""),2.0)</f>
        <v>2</v>
      </c>
    </row>
    <row r="187">
      <c r="A187" s="117">
        <f>IFERROR(__xludf.DUMMYFUNCTION("""COMPUTED_VALUE"""),1.0)</f>
        <v>1</v>
      </c>
      <c r="B187" s="33" t="str">
        <f>IFERROR(__xludf.DUMMYFUNCTION("""COMPUTED_VALUE"""),"Tom Le")</f>
        <v>Tom Le</v>
      </c>
      <c r="C187" s="122">
        <f>IFERROR(__xludf.DUMMYFUNCTION("""COMPUTED_VALUE"""),5.0)</f>
        <v>5</v>
      </c>
      <c r="D187" s="122">
        <f>IFERROR(__xludf.DUMMYFUNCTION("""COMPUTED_VALUE"""),6.0)</f>
        <v>6</v>
      </c>
      <c r="E187" s="122">
        <f>IFERROR(__xludf.DUMMYFUNCTION("""COMPUTED_VALUE"""),6.0)</f>
        <v>6</v>
      </c>
      <c r="F187" s="122">
        <f>IFERROR(__xludf.DUMMYFUNCTION("""COMPUTED_VALUE"""),17.0)</f>
        <v>17</v>
      </c>
      <c r="G187" s="122">
        <f>IFERROR(__xludf.DUMMYFUNCTION("""COMPUTED_VALUE"""),2.0)</f>
        <v>2</v>
      </c>
    </row>
    <row r="188">
      <c r="A188" s="123">
        <f>IFERROR(__xludf.DUMMYFUNCTION("""COMPUTED_VALUE"""),2.0)</f>
        <v>2</v>
      </c>
      <c r="B188" s="124" t="str">
        <f>IFERROR(__xludf.DUMMYFUNCTION("""COMPUTED_VALUE"""),"Frank Moon")</f>
        <v>Frank Moon</v>
      </c>
      <c r="C188" s="125">
        <f>IFERROR(__xludf.DUMMYFUNCTION("""COMPUTED_VALUE"""),7.0)</f>
        <v>7</v>
      </c>
      <c r="D188" s="125">
        <f>IFERROR(__xludf.DUMMYFUNCTION("""COMPUTED_VALUE"""),6.0)</f>
        <v>6</v>
      </c>
      <c r="E188" s="125">
        <f>IFERROR(__xludf.DUMMYFUNCTION("""COMPUTED_VALUE"""),6.0)</f>
        <v>6</v>
      </c>
      <c r="F188" s="125">
        <f>IFERROR(__xludf.DUMMYFUNCTION("""COMPUTED_VALUE"""),19.0)</f>
        <v>19</v>
      </c>
      <c r="G188" s="125">
        <f>IFERROR(__xludf.DUMMYFUNCTION("""COMPUTED_VALUE"""),3.0)</f>
        <v>3</v>
      </c>
    </row>
    <row r="189">
      <c r="A189" s="123">
        <f>IFERROR(__xludf.DUMMYFUNCTION("""COMPUTED_VALUE"""),2.0)</f>
        <v>2</v>
      </c>
      <c r="B189" s="124" t="str">
        <f>IFERROR(__xludf.DUMMYFUNCTION("""COMPUTED_VALUE"""),"Oscar Bonilla")</f>
        <v>Oscar Bonilla</v>
      </c>
      <c r="C189" s="125">
        <f>IFERROR(__xludf.DUMMYFUNCTION("""COMPUTED_VALUE"""),5.0)</f>
        <v>5</v>
      </c>
      <c r="D189" s="125">
        <f>IFERROR(__xludf.DUMMYFUNCTION("""COMPUTED_VALUE"""),3.0)</f>
        <v>3</v>
      </c>
      <c r="E189" s="125">
        <f>IFERROR(__xludf.DUMMYFUNCTION("""COMPUTED_VALUE"""),6.0)</f>
        <v>6</v>
      </c>
      <c r="F189" s="125">
        <f>IFERROR(__xludf.DUMMYFUNCTION("""COMPUTED_VALUE"""),14.0)</f>
        <v>14</v>
      </c>
      <c r="G189" s="125">
        <f>IFERROR(__xludf.DUMMYFUNCTION("""COMPUTED_VALUE"""),1.0)</f>
        <v>1</v>
      </c>
    </row>
    <row r="190">
      <c r="A190" s="123">
        <f>IFERROR(__xludf.DUMMYFUNCTION("""COMPUTED_VALUE"""),2.0)</f>
        <v>2</v>
      </c>
      <c r="B190" s="124" t="str">
        <f>IFERROR(__xludf.DUMMYFUNCTION("""COMPUTED_VALUE"""),"Herman Au")</f>
        <v>Herman Au</v>
      </c>
      <c r="C190" s="125">
        <f>IFERROR(__xludf.DUMMYFUNCTION("""COMPUTED_VALUE"""),5.0)</f>
        <v>5</v>
      </c>
      <c r="D190" s="125">
        <f>IFERROR(__xludf.DUMMYFUNCTION("""COMPUTED_VALUE"""),6.0)</f>
        <v>6</v>
      </c>
      <c r="E190" s="125">
        <f>IFERROR(__xludf.DUMMYFUNCTION("""COMPUTED_VALUE"""),4.0)</f>
        <v>4</v>
      </c>
      <c r="F190" s="125">
        <f>IFERROR(__xludf.DUMMYFUNCTION("""COMPUTED_VALUE"""),15.0)</f>
        <v>15</v>
      </c>
      <c r="G190" s="125">
        <f>IFERROR(__xludf.DUMMYFUNCTION("""COMPUTED_VALUE"""),1.0)</f>
        <v>1</v>
      </c>
    </row>
    <row r="191">
      <c r="A191" s="123">
        <f>IFERROR(__xludf.DUMMYFUNCTION("""COMPUTED_VALUE"""),2.0)</f>
        <v>2</v>
      </c>
      <c r="B191" s="124" t="str">
        <f>IFERROR(__xludf.DUMMYFUNCTION("""COMPUTED_VALUE"""),"Chinna Ponnaganti")</f>
        <v>Chinna Ponnaganti</v>
      </c>
      <c r="C191" s="125">
        <f>IFERROR(__xludf.DUMMYFUNCTION("""COMPUTED_VALUE"""),7.0)</f>
        <v>7</v>
      </c>
      <c r="D191" s="125">
        <f>IFERROR(__xludf.DUMMYFUNCTION("""COMPUTED_VALUE"""),3.0)</f>
        <v>3</v>
      </c>
      <c r="E191" s="125">
        <f>IFERROR(__xludf.DUMMYFUNCTION("""COMPUTED_VALUE"""),4.0)</f>
        <v>4</v>
      </c>
      <c r="F191" s="125">
        <f>IFERROR(__xludf.DUMMYFUNCTION("""COMPUTED_VALUE"""),14.0)</f>
        <v>14</v>
      </c>
      <c r="G191" s="125">
        <f>IFERROR(__xludf.DUMMYFUNCTION("""COMPUTED_VALUE"""),1.0)</f>
        <v>1</v>
      </c>
    </row>
    <row r="192">
      <c r="A192" s="117">
        <f>IFERROR(__xludf.DUMMYFUNCTION("""COMPUTED_VALUE"""),3.0)</f>
        <v>3</v>
      </c>
      <c r="B192" s="33" t="str">
        <f>IFERROR(__xludf.DUMMYFUNCTION("""COMPUTED_VALUE"""),"Jimmy Awolesi")</f>
        <v>Jimmy Awolesi</v>
      </c>
      <c r="C192" s="122">
        <f>IFERROR(__xludf.DUMMYFUNCTION("""COMPUTED_VALUE"""),5.0)</f>
        <v>5</v>
      </c>
      <c r="D192" s="122">
        <f>IFERROR(__xludf.DUMMYFUNCTION("""COMPUTED_VALUE"""),6.0)</f>
        <v>6</v>
      </c>
      <c r="E192" s="122">
        <f>IFERROR(__xludf.DUMMYFUNCTION("""COMPUTED_VALUE"""),1.0)</f>
        <v>1</v>
      </c>
      <c r="F192" s="122">
        <f>IFERROR(__xludf.DUMMYFUNCTION("""COMPUTED_VALUE"""),12.0)</f>
        <v>12</v>
      </c>
      <c r="G192" s="122">
        <f>IFERROR(__xludf.DUMMYFUNCTION("""COMPUTED_VALUE"""),1.0)</f>
        <v>1</v>
      </c>
    </row>
    <row r="193">
      <c r="A193" s="117">
        <f>IFERROR(__xludf.DUMMYFUNCTION("""COMPUTED_VALUE"""),3.0)</f>
        <v>3</v>
      </c>
      <c r="B193" s="33" t="str">
        <f>IFERROR(__xludf.DUMMYFUNCTION("""COMPUTED_VALUE"""),"Scott Li")</f>
        <v>Scott Li</v>
      </c>
      <c r="C193" s="122">
        <f>IFERROR(__xludf.DUMMYFUNCTION("""COMPUTED_VALUE"""),7.0)</f>
        <v>7</v>
      </c>
      <c r="D193" s="122">
        <f>IFERROR(__xludf.DUMMYFUNCTION("""COMPUTED_VALUE"""),6.0)</f>
        <v>6</v>
      </c>
      <c r="E193" s="122">
        <f>IFERROR(__xludf.DUMMYFUNCTION("""COMPUTED_VALUE"""),6.0)</f>
        <v>6</v>
      </c>
      <c r="F193" s="122">
        <f>IFERROR(__xludf.DUMMYFUNCTION("""COMPUTED_VALUE"""),19.0)</f>
        <v>19</v>
      </c>
      <c r="G193" s="122">
        <f>IFERROR(__xludf.DUMMYFUNCTION("""COMPUTED_VALUE"""),3.0)</f>
        <v>3</v>
      </c>
    </row>
    <row r="194">
      <c r="A194" s="117">
        <f>IFERROR(__xludf.DUMMYFUNCTION("""COMPUTED_VALUE"""),3.0)</f>
        <v>3</v>
      </c>
      <c r="B194" s="33" t="str">
        <f>IFERROR(__xludf.DUMMYFUNCTION("""COMPUTED_VALUE"""),"Alex Hou")</f>
        <v>Alex Hou</v>
      </c>
      <c r="C194" s="122">
        <f>IFERROR(__xludf.DUMMYFUNCTION("""COMPUTED_VALUE"""),5.0)</f>
        <v>5</v>
      </c>
      <c r="D194" s="122">
        <f>IFERROR(__xludf.DUMMYFUNCTION("""COMPUTED_VALUE"""),4.0)</f>
        <v>4</v>
      </c>
      <c r="E194" s="122">
        <f>IFERROR(__xludf.DUMMYFUNCTION("""COMPUTED_VALUE"""),6.0)</f>
        <v>6</v>
      </c>
      <c r="F194" s="122">
        <f>IFERROR(__xludf.DUMMYFUNCTION("""COMPUTED_VALUE"""),15.0)</f>
        <v>15</v>
      </c>
      <c r="G194" s="122">
        <f>IFERROR(__xludf.DUMMYFUNCTION("""COMPUTED_VALUE"""),1.0)</f>
        <v>1</v>
      </c>
    </row>
    <row r="195">
      <c r="A195" s="117">
        <f>IFERROR(__xludf.DUMMYFUNCTION("""COMPUTED_VALUE"""),3.0)</f>
        <v>3</v>
      </c>
      <c r="B195" s="33" t="str">
        <f>IFERROR(__xludf.DUMMYFUNCTION("""COMPUTED_VALUE"""),"Rajesh Dorairaj")</f>
        <v>Rajesh Dorairaj</v>
      </c>
      <c r="C195" s="122">
        <f>IFERROR(__xludf.DUMMYFUNCTION("""COMPUTED_VALUE"""),7.0)</f>
        <v>7</v>
      </c>
      <c r="D195" s="122">
        <f>IFERROR(__xludf.DUMMYFUNCTION("""COMPUTED_VALUE"""),4.0)</f>
        <v>4</v>
      </c>
      <c r="E195" s="122">
        <f>IFERROR(__xludf.DUMMYFUNCTION("""COMPUTED_VALUE"""),1.0)</f>
        <v>1</v>
      </c>
      <c r="F195" s="122">
        <f>IFERROR(__xludf.DUMMYFUNCTION("""COMPUTED_VALUE"""),12.0)</f>
        <v>12</v>
      </c>
      <c r="G195" s="122">
        <f>IFERROR(__xludf.DUMMYFUNCTION("""COMPUTED_VALUE"""),1.0)</f>
        <v>1</v>
      </c>
    </row>
    <row r="196">
      <c r="A196" s="123">
        <f>IFERROR(__xludf.DUMMYFUNCTION("""COMPUTED_VALUE"""),4.0)</f>
        <v>4</v>
      </c>
      <c r="B196" s="124" t="str">
        <f>IFERROR(__xludf.DUMMYFUNCTION("""COMPUTED_VALUE"""),"Robert Chang")</f>
        <v>Robert Chang</v>
      </c>
      <c r="C196" s="125">
        <f>IFERROR(__xludf.DUMMYFUNCTION("""COMPUTED_VALUE"""),6.0)</f>
        <v>6</v>
      </c>
      <c r="D196" s="125">
        <f>IFERROR(__xludf.DUMMYFUNCTION("""COMPUTED_VALUE"""),1.0)</f>
        <v>1</v>
      </c>
      <c r="E196" s="125">
        <f>IFERROR(__xludf.DUMMYFUNCTION("""COMPUTED_VALUE"""),0.0)</f>
        <v>0</v>
      </c>
      <c r="F196" s="125">
        <f>IFERROR(__xludf.DUMMYFUNCTION("""COMPUTED_VALUE"""),7.0)</f>
        <v>7</v>
      </c>
      <c r="G196" s="125">
        <f>IFERROR(__xludf.DUMMYFUNCTION("""COMPUTED_VALUE"""),0.0)</f>
        <v>0</v>
      </c>
    </row>
    <row r="197">
      <c r="A197" s="123">
        <f>IFERROR(__xludf.DUMMYFUNCTION("""COMPUTED_VALUE"""),4.0)</f>
        <v>4</v>
      </c>
      <c r="B197" s="124" t="str">
        <f>IFERROR(__xludf.DUMMYFUNCTION("""COMPUTED_VALUE"""),"Ramesh Bandaru")</f>
        <v>Ramesh Bandaru</v>
      </c>
      <c r="C197" s="125">
        <f>IFERROR(__xludf.DUMMYFUNCTION("""COMPUTED_VALUE"""),7.0)</f>
        <v>7</v>
      </c>
      <c r="D197" s="125">
        <f>IFERROR(__xludf.DUMMYFUNCTION("""COMPUTED_VALUE"""),1.0)</f>
        <v>1</v>
      </c>
      <c r="E197" s="125">
        <f>IFERROR(__xludf.DUMMYFUNCTION("""COMPUTED_VALUE"""),6.0)</f>
        <v>6</v>
      </c>
      <c r="F197" s="125">
        <f>IFERROR(__xludf.DUMMYFUNCTION("""COMPUTED_VALUE"""),14.0)</f>
        <v>14</v>
      </c>
      <c r="G197" s="125">
        <f>IFERROR(__xludf.DUMMYFUNCTION("""COMPUTED_VALUE"""),2.0)</f>
        <v>2</v>
      </c>
    </row>
    <row r="198">
      <c r="A198" s="123">
        <f>IFERROR(__xludf.DUMMYFUNCTION("""COMPUTED_VALUE"""),4.0)</f>
        <v>4</v>
      </c>
      <c r="B198" s="124" t="str">
        <f>IFERROR(__xludf.DUMMYFUNCTION("""COMPUTED_VALUE"""),"Adrian Tay")</f>
        <v>Adrian Tay</v>
      </c>
      <c r="C198" s="125">
        <f>IFERROR(__xludf.DUMMYFUNCTION("""COMPUTED_VALUE"""),7.0)</f>
        <v>7</v>
      </c>
      <c r="D198" s="125">
        <f>IFERROR(__xludf.DUMMYFUNCTION("""COMPUTED_VALUE"""),6.0)</f>
        <v>6</v>
      </c>
      <c r="E198" s="125">
        <f>IFERROR(__xludf.DUMMYFUNCTION("""COMPUTED_VALUE"""),0.0)</f>
        <v>0</v>
      </c>
      <c r="F198" s="125">
        <f>IFERROR(__xludf.DUMMYFUNCTION("""COMPUTED_VALUE"""),13.0)</f>
        <v>13</v>
      </c>
      <c r="G198" s="125">
        <f>IFERROR(__xludf.DUMMYFUNCTION("""COMPUTED_VALUE"""),2.0)</f>
        <v>2</v>
      </c>
    </row>
    <row r="199">
      <c r="A199" s="123">
        <f>IFERROR(__xludf.DUMMYFUNCTION("""COMPUTED_VALUE"""),4.0)</f>
        <v>4</v>
      </c>
      <c r="B199" s="124" t="str">
        <f>IFERROR(__xludf.DUMMYFUNCTION("""COMPUTED_VALUE"""),"Hongyuan Wen")</f>
        <v>Hongyuan Wen</v>
      </c>
      <c r="C199" s="125">
        <f>IFERROR(__xludf.DUMMYFUNCTION("""COMPUTED_VALUE"""),6.0)</f>
        <v>6</v>
      </c>
      <c r="D199" s="125">
        <f>IFERROR(__xludf.DUMMYFUNCTION("""COMPUTED_VALUE"""),6.0)</f>
        <v>6</v>
      </c>
      <c r="E199" s="125">
        <f>IFERROR(__xludf.DUMMYFUNCTION("""COMPUTED_VALUE"""),6.0)</f>
        <v>6</v>
      </c>
      <c r="F199" s="125">
        <f>IFERROR(__xludf.DUMMYFUNCTION("""COMPUTED_VALUE"""),18.0)</f>
        <v>18</v>
      </c>
      <c r="G199" s="125">
        <f>IFERROR(__xludf.DUMMYFUNCTION("""COMPUTED_VALUE"""),2.0)</f>
        <v>2</v>
      </c>
    </row>
    <row r="200">
      <c r="A200" s="117">
        <f>IFERROR(__xludf.DUMMYFUNCTION("""COMPUTED_VALUE"""),5.0)</f>
        <v>5</v>
      </c>
      <c r="B200" s="33" t="str">
        <f>IFERROR(__xludf.DUMMYFUNCTION("""COMPUTED_VALUE"""),"Sean Chang")</f>
        <v>Sean Chang</v>
      </c>
      <c r="C200" s="122">
        <f>IFERROR(__xludf.DUMMYFUNCTION("""COMPUTED_VALUE"""),7.0)</f>
        <v>7</v>
      </c>
      <c r="D200" s="122">
        <f>IFERROR(__xludf.DUMMYFUNCTION("""COMPUTED_VALUE"""),1.0)</f>
        <v>1</v>
      </c>
      <c r="E200" s="122">
        <f>IFERROR(__xludf.DUMMYFUNCTION("""COMPUTED_VALUE"""),6.0)</f>
        <v>6</v>
      </c>
      <c r="F200" s="122">
        <f>IFERROR(__xludf.DUMMYFUNCTION("""COMPUTED_VALUE"""),14.0)</f>
        <v>14</v>
      </c>
      <c r="G200" s="122">
        <f>IFERROR(__xludf.DUMMYFUNCTION("""COMPUTED_VALUE"""),2.0)</f>
        <v>2</v>
      </c>
    </row>
    <row r="201">
      <c r="A201" s="117">
        <f>IFERROR(__xludf.DUMMYFUNCTION("""COMPUTED_VALUE"""),5.0)</f>
        <v>5</v>
      </c>
      <c r="B201" s="33" t="str">
        <f>IFERROR(__xludf.DUMMYFUNCTION("""COMPUTED_VALUE"""),"Joe Luzzi")</f>
        <v>Joe Luzzi</v>
      </c>
      <c r="C201" s="122">
        <f>IFERROR(__xludf.DUMMYFUNCTION("""COMPUTED_VALUE"""),6.0)</f>
        <v>6</v>
      </c>
      <c r="D201" s="122">
        <f>IFERROR(__xludf.DUMMYFUNCTION("""COMPUTED_VALUE"""),1.0)</f>
        <v>1</v>
      </c>
      <c r="E201" s="122">
        <f>IFERROR(__xludf.DUMMYFUNCTION("""COMPUTED_VALUE"""),3.0)</f>
        <v>3</v>
      </c>
      <c r="F201" s="122">
        <f>IFERROR(__xludf.DUMMYFUNCTION("""COMPUTED_VALUE"""),10.0)</f>
        <v>10</v>
      </c>
      <c r="G201" s="122">
        <f>IFERROR(__xludf.DUMMYFUNCTION("""COMPUTED_VALUE"""),0.0)</f>
        <v>0</v>
      </c>
    </row>
    <row r="202">
      <c r="A202" s="117">
        <f>IFERROR(__xludf.DUMMYFUNCTION("""COMPUTED_VALUE"""),5.0)</f>
        <v>5</v>
      </c>
      <c r="B202" s="33" t="str">
        <f>IFERROR(__xludf.DUMMYFUNCTION("""COMPUTED_VALUE"""),"Manish Anand")</f>
        <v>Manish Anand</v>
      </c>
      <c r="C202" s="122">
        <f>IFERROR(__xludf.DUMMYFUNCTION("""COMPUTED_VALUE"""),7.0)</f>
        <v>7</v>
      </c>
      <c r="D202" s="122">
        <f>IFERROR(__xludf.DUMMYFUNCTION("""COMPUTED_VALUE"""),6.0)</f>
        <v>6</v>
      </c>
      <c r="E202" s="122">
        <f>IFERROR(__xludf.DUMMYFUNCTION("""COMPUTED_VALUE"""),3.0)</f>
        <v>3</v>
      </c>
      <c r="F202" s="122">
        <f>IFERROR(__xludf.DUMMYFUNCTION("""COMPUTED_VALUE"""),16.0)</f>
        <v>16</v>
      </c>
      <c r="G202" s="122">
        <f>IFERROR(__xludf.DUMMYFUNCTION("""COMPUTED_VALUE"""),2.0)</f>
        <v>2</v>
      </c>
    </row>
    <row r="203">
      <c r="A203" s="117">
        <f>IFERROR(__xludf.DUMMYFUNCTION("""COMPUTED_VALUE"""),5.0)</f>
        <v>5</v>
      </c>
      <c r="B203" s="33" t="str">
        <f>IFERROR(__xludf.DUMMYFUNCTION("""COMPUTED_VALUE"""),"Jonathan Phan")</f>
        <v>Jonathan Phan</v>
      </c>
      <c r="C203" s="122">
        <f>IFERROR(__xludf.DUMMYFUNCTION("""COMPUTED_VALUE"""),6.0)</f>
        <v>6</v>
      </c>
      <c r="D203" s="122">
        <f>IFERROR(__xludf.DUMMYFUNCTION("""COMPUTED_VALUE"""),6.0)</f>
        <v>6</v>
      </c>
      <c r="E203" s="122">
        <f>IFERROR(__xludf.DUMMYFUNCTION("""COMPUTED_VALUE"""),6.0)</f>
        <v>6</v>
      </c>
      <c r="F203" s="122">
        <f>IFERROR(__xludf.DUMMYFUNCTION("""COMPUTED_VALUE"""),18.0)</f>
        <v>18</v>
      </c>
      <c r="G203" s="122">
        <f>IFERROR(__xludf.DUMMYFUNCTION("""COMPUTED_VALUE"""),2.0)</f>
        <v>2</v>
      </c>
    </row>
    <row r="204">
      <c r="A204" s="123">
        <f>IFERROR(__xludf.DUMMYFUNCTION("""COMPUTED_VALUE"""),6.0)</f>
        <v>6</v>
      </c>
      <c r="B204" s="124" t="str">
        <f>IFERROR(__xludf.DUMMYFUNCTION("""COMPUTED_VALUE"""),"Erik Hoeckmann")</f>
        <v>Erik Hoeckmann</v>
      </c>
      <c r="C204" s="125">
        <f>IFERROR(__xludf.DUMMYFUNCTION("""COMPUTED_VALUE"""),2.0)</f>
        <v>2</v>
      </c>
      <c r="D204" s="125">
        <f>IFERROR(__xludf.DUMMYFUNCTION("""COMPUTED_VALUE"""),4.0)</f>
        <v>4</v>
      </c>
      <c r="E204" s="125">
        <f>IFERROR(__xludf.DUMMYFUNCTION("""COMPUTED_VALUE"""),6.0)</f>
        <v>6</v>
      </c>
      <c r="F204" s="125">
        <f>IFERROR(__xludf.DUMMYFUNCTION("""COMPUTED_VALUE"""),12.0)</f>
        <v>12</v>
      </c>
      <c r="G204" s="125">
        <f>IFERROR(__xludf.DUMMYFUNCTION("""COMPUTED_VALUE"""),1.0)</f>
        <v>1</v>
      </c>
    </row>
    <row r="205">
      <c r="A205" s="123">
        <f>IFERROR(__xludf.DUMMYFUNCTION("""COMPUTED_VALUE"""),6.0)</f>
        <v>6</v>
      </c>
      <c r="B205" s="124" t="str">
        <f>IFERROR(__xludf.DUMMYFUNCTION("""COMPUTED_VALUE"""),"Trish Newlin")</f>
        <v>Trish Newlin</v>
      </c>
      <c r="C205" s="125">
        <f>IFERROR(__xludf.DUMMYFUNCTION("""COMPUTED_VALUE"""),2.0)</f>
        <v>2</v>
      </c>
      <c r="D205" s="125">
        <f>IFERROR(__xludf.DUMMYFUNCTION("""COMPUTED_VALUE"""),6.0)</f>
        <v>6</v>
      </c>
      <c r="E205" s="125">
        <f>IFERROR(__xludf.DUMMYFUNCTION("""COMPUTED_VALUE"""),1.0)</f>
        <v>1</v>
      </c>
      <c r="F205" s="125">
        <f>IFERROR(__xludf.DUMMYFUNCTION("""COMPUTED_VALUE"""),9.0)</f>
        <v>9</v>
      </c>
      <c r="G205" s="125">
        <f>IFERROR(__xludf.DUMMYFUNCTION("""COMPUTED_VALUE"""),1.0)</f>
        <v>1</v>
      </c>
    </row>
    <row r="206">
      <c r="A206" s="123">
        <f>IFERROR(__xludf.DUMMYFUNCTION("""COMPUTED_VALUE"""),6.0)</f>
        <v>6</v>
      </c>
      <c r="B206" s="124" t="str">
        <f>IFERROR(__xludf.DUMMYFUNCTION("""COMPUTED_VALUE"""),"Andrew Wen")</f>
        <v>Andrew Wen</v>
      </c>
      <c r="C206" s="125">
        <f>IFERROR(__xludf.DUMMYFUNCTION("""COMPUTED_VALUE"""),6.0)</f>
        <v>6</v>
      </c>
      <c r="D206" s="125">
        <f>IFERROR(__xludf.DUMMYFUNCTION("""COMPUTED_VALUE"""),4.0)</f>
        <v>4</v>
      </c>
      <c r="E206" s="125">
        <f>IFERROR(__xludf.DUMMYFUNCTION("""COMPUTED_VALUE"""),1.0)</f>
        <v>1</v>
      </c>
      <c r="F206" s="125">
        <f>IFERROR(__xludf.DUMMYFUNCTION("""COMPUTED_VALUE"""),11.0)</f>
        <v>11</v>
      </c>
      <c r="G206" s="125">
        <f>IFERROR(__xludf.DUMMYFUNCTION("""COMPUTED_VALUE"""),1.0)</f>
        <v>1</v>
      </c>
    </row>
    <row r="207">
      <c r="A207" s="123">
        <f>IFERROR(__xludf.DUMMYFUNCTION("""COMPUTED_VALUE"""),6.0)</f>
        <v>6</v>
      </c>
      <c r="B207" s="124" t="str">
        <f>IFERROR(__xludf.DUMMYFUNCTION("""COMPUTED_VALUE"""),"Suleman Alidina")</f>
        <v>Suleman Alidina</v>
      </c>
      <c r="C207" s="125">
        <f>IFERROR(__xludf.DUMMYFUNCTION("""COMPUTED_VALUE"""),6.0)</f>
        <v>6</v>
      </c>
      <c r="D207" s="125">
        <f>IFERROR(__xludf.DUMMYFUNCTION("""COMPUTED_VALUE"""),6.0)</f>
        <v>6</v>
      </c>
      <c r="E207" s="125">
        <f>IFERROR(__xludf.DUMMYFUNCTION("""COMPUTED_VALUE"""),6.0)</f>
        <v>6</v>
      </c>
      <c r="F207" s="125">
        <f>IFERROR(__xludf.DUMMYFUNCTION("""COMPUTED_VALUE"""),18.0)</f>
        <v>18</v>
      </c>
      <c r="G207" s="125">
        <f>IFERROR(__xludf.DUMMYFUNCTION("""COMPUTED_VALUE"""),3.0)</f>
        <v>3</v>
      </c>
    </row>
    <row r="208">
      <c r="A208" s="117">
        <f>IFERROR(__xludf.DUMMYFUNCTION("""COMPUTED_VALUE"""),7.0)</f>
        <v>7</v>
      </c>
      <c r="B208" s="33" t="str">
        <f>IFERROR(__xludf.DUMMYFUNCTION("""COMPUTED_VALUE"""),"Elayaraja Thangaraj")</f>
        <v>Elayaraja Thangaraj</v>
      </c>
      <c r="C208" s="122">
        <f>IFERROR(__xludf.DUMMYFUNCTION("""COMPUTED_VALUE"""),1.0)</f>
        <v>1</v>
      </c>
      <c r="D208" s="122">
        <f>IFERROR(__xludf.DUMMYFUNCTION("""COMPUTED_VALUE"""),7.0)</f>
        <v>7</v>
      </c>
      <c r="E208" s="122">
        <f>IFERROR(__xludf.DUMMYFUNCTION("""COMPUTED_VALUE"""),7.0)</f>
        <v>7</v>
      </c>
      <c r="F208" s="122">
        <f>IFERROR(__xludf.DUMMYFUNCTION("""COMPUTED_VALUE"""),15.0)</f>
        <v>15</v>
      </c>
      <c r="G208" s="122">
        <f>IFERROR(__xludf.DUMMYFUNCTION("""COMPUTED_VALUE"""),2.0)</f>
        <v>2</v>
      </c>
    </row>
    <row r="209">
      <c r="A209" s="117">
        <f>IFERROR(__xludf.DUMMYFUNCTION("""COMPUTED_VALUE"""),7.0)</f>
        <v>7</v>
      </c>
      <c r="B209" s="33" t="str">
        <f>IFERROR(__xludf.DUMMYFUNCTION("""COMPUTED_VALUE"""),"Nicole Ni")</f>
        <v>Nicole Ni</v>
      </c>
      <c r="C209" s="122">
        <f>IFERROR(__xludf.DUMMYFUNCTION("""COMPUTED_VALUE"""),6.0)</f>
        <v>6</v>
      </c>
      <c r="D209" s="122">
        <f>IFERROR(__xludf.DUMMYFUNCTION("""COMPUTED_VALUE"""),5.0)</f>
        <v>5</v>
      </c>
      <c r="E209" s="122">
        <f>IFERROR(__xludf.DUMMYFUNCTION("""COMPUTED_VALUE"""),7.0)</f>
        <v>7</v>
      </c>
      <c r="F209" s="122">
        <f>IFERROR(__xludf.DUMMYFUNCTION("""COMPUTED_VALUE"""),18.0)</f>
        <v>18</v>
      </c>
      <c r="G209" s="122">
        <f>IFERROR(__xludf.DUMMYFUNCTION("""COMPUTED_VALUE"""),2.0)</f>
        <v>2</v>
      </c>
    </row>
    <row r="210">
      <c r="A210" s="117">
        <f>IFERROR(__xludf.DUMMYFUNCTION("""COMPUTED_VALUE"""),7.0)</f>
        <v>7</v>
      </c>
      <c r="B210" s="33" t="str">
        <f>IFERROR(__xludf.DUMMYFUNCTION("""COMPUTED_VALUE"""),"Coco Yan")</f>
        <v>Coco Yan</v>
      </c>
      <c r="C210" s="122">
        <f>IFERROR(__xludf.DUMMYFUNCTION("""COMPUTED_VALUE"""),6.0)</f>
        <v>6</v>
      </c>
      <c r="D210" s="122">
        <f>IFERROR(__xludf.DUMMYFUNCTION("""COMPUTED_VALUE"""),7.0)</f>
        <v>7</v>
      </c>
      <c r="E210" s="122">
        <f>IFERROR(__xludf.DUMMYFUNCTION("""COMPUTED_VALUE"""),5.0)</f>
        <v>5</v>
      </c>
      <c r="F210" s="122">
        <f>IFERROR(__xludf.DUMMYFUNCTION("""COMPUTED_VALUE"""),18.0)</f>
        <v>18</v>
      </c>
      <c r="G210" s="122">
        <f>IFERROR(__xludf.DUMMYFUNCTION("""COMPUTED_VALUE"""),2.0)</f>
        <v>2</v>
      </c>
    </row>
    <row r="211">
      <c r="A211" s="117">
        <f>IFERROR(__xludf.DUMMYFUNCTION("""COMPUTED_VALUE"""),7.0)</f>
        <v>7</v>
      </c>
      <c r="B211" s="33" t="str">
        <f>IFERROR(__xludf.DUMMYFUNCTION("""COMPUTED_VALUE"""),"Sandy Weyant")</f>
        <v>Sandy Weyant</v>
      </c>
      <c r="C211" s="122">
        <f>IFERROR(__xludf.DUMMYFUNCTION("""COMPUTED_VALUE"""),1.0)</f>
        <v>1</v>
      </c>
      <c r="D211" s="122">
        <f>IFERROR(__xludf.DUMMYFUNCTION("""COMPUTED_VALUE"""),5.0)</f>
        <v>5</v>
      </c>
      <c r="E211" s="122">
        <f>IFERROR(__xludf.DUMMYFUNCTION("""COMPUTED_VALUE"""),5.0)</f>
        <v>5</v>
      </c>
      <c r="F211" s="122">
        <f>IFERROR(__xludf.DUMMYFUNCTION("""COMPUTED_VALUE"""),11.0)</f>
        <v>11</v>
      </c>
      <c r="G211" s="122">
        <f>IFERROR(__xludf.DUMMYFUNCTION("""COMPUTED_VALUE"""),0.0)</f>
        <v>0</v>
      </c>
    </row>
    <row r="212">
      <c r="A212" s="123">
        <f>IFERROR(__xludf.DUMMYFUNCTION("""COMPUTED_VALUE"""),8.0)</f>
        <v>8</v>
      </c>
      <c r="B212" s="124" t="str">
        <f>IFERROR(__xludf.DUMMYFUNCTION("""COMPUTED_VALUE"""),"Tina Hanson")</f>
        <v>Tina Hanson</v>
      </c>
      <c r="C212" s="125">
        <f>IFERROR(__xludf.DUMMYFUNCTION("""COMPUTED_VALUE"""),6.0)</f>
        <v>6</v>
      </c>
      <c r="D212" s="125">
        <f>IFERROR(__xludf.DUMMYFUNCTION("""COMPUTED_VALUE"""),6.0)</f>
        <v>6</v>
      </c>
      <c r="E212" s="125">
        <f>IFERROR(__xludf.DUMMYFUNCTION("""COMPUTED_VALUE"""),6.0)</f>
        <v>6</v>
      </c>
      <c r="F212" s="125">
        <f>IFERROR(__xludf.DUMMYFUNCTION("""COMPUTED_VALUE"""),18.0)</f>
        <v>18</v>
      </c>
      <c r="G212" s="125">
        <f>IFERROR(__xludf.DUMMYFUNCTION("""COMPUTED_VALUE"""),3.0)</f>
        <v>3</v>
      </c>
    </row>
    <row r="213">
      <c r="A213" s="123">
        <f>IFERROR(__xludf.DUMMYFUNCTION("""COMPUTED_VALUE"""),8.0)</f>
        <v>8</v>
      </c>
      <c r="B213" s="124" t="str">
        <f>IFERROR(__xludf.DUMMYFUNCTION("""COMPUTED_VALUE"""),"Saravanan Veerapandian")</f>
        <v>Saravanan Veerapandian</v>
      </c>
      <c r="C213" s="125">
        <f>IFERROR(__xludf.DUMMYFUNCTION("""COMPUTED_VALUE"""),6.0)</f>
        <v>6</v>
      </c>
      <c r="D213" s="125">
        <f>IFERROR(__xludf.DUMMYFUNCTION("""COMPUTED_VALUE"""),1.0)</f>
        <v>1</v>
      </c>
      <c r="E213" s="125">
        <f>IFERROR(__xludf.DUMMYFUNCTION("""COMPUTED_VALUE"""),2.0)</f>
        <v>2</v>
      </c>
      <c r="F213" s="125">
        <f>IFERROR(__xludf.DUMMYFUNCTION("""COMPUTED_VALUE"""),9.0)</f>
        <v>9</v>
      </c>
      <c r="G213" s="125">
        <f>IFERROR(__xludf.DUMMYFUNCTION("""COMPUTED_VALUE"""),1.0)</f>
        <v>1</v>
      </c>
    </row>
    <row r="214">
      <c r="A214" s="123">
        <f>IFERROR(__xludf.DUMMYFUNCTION("""COMPUTED_VALUE"""),8.0)</f>
        <v>8</v>
      </c>
      <c r="B214" s="124" t="str">
        <f>IFERROR(__xludf.DUMMYFUNCTION("""COMPUTED_VALUE"""),"Joyce Zhu")</f>
        <v>Joyce Zhu</v>
      </c>
      <c r="C214" s="125">
        <f>IFERROR(__xludf.DUMMYFUNCTION("""COMPUTED_VALUE"""),2.0)</f>
        <v>2</v>
      </c>
      <c r="D214" s="125">
        <f>IFERROR(__xludf.DUMMYFUNCTION("""COMPUTED_VALUE"""),6.0)</f>
        <v>6</v>
      </c>
      <c r="E214" s="125">
        <f>IFERROR(__xludf.DUMMYFUNCTION("""COMPUTED_VALUE"""),2.0)</f>
        <v>2</v>
      </c>
      <c r="F214" s="125">
        <f>IFERROR(__xludf.DUMMYFUNCTION("""COMPUTED_VALUE"""),10.0)</f>
        <v>10</v>
      </c>
      <c r="G214" s="125">
        <f>IFERROR(__xludf.DUMMYFUNCTION("""COMPUTED_VALUE"""),1.0)</f>
        <v>1</v>
      </c>
    </row>
    <row r="215">
      <c r="A215" s="123">
        <f>IFERROR(__xludf.DUMMYFUNCTION("""COMPUTED_VALUE"""),8.0)</f>
        <v>8</v>
      </c>
      <c r="B215" s="124" t="str">
        <f>IFERROR(__xludf.DUMMYFUNCTION("""COMPUTED_VALUE"""),"Barathi Sundaram")</f>
        <v>Barathi Sundaram</v>
      </c>
      <c r="C215" s="125">
        <f>IFERROR(__xludf.DUMMYFUNCTION("""COMPUTED_VALUE"""),2.0)</f>
        <v>2</v>
      </c>
      <c r="D215" s="125">
        <f>IFERROR(__xludf.DUMMYFUNCTION("""COMPUTED_VALUE"""),1.0)</f>
        <v>1</v>
      </c>
      <c r="E215" s="125">
        <f>IFERROR(__xludf.DUMMYFUNCTION("""COMPUTED_VALUE"""),6.0)</f>
        <v>6</v>
      </c>
      <c r="F215" s="125">
        <f>IFERROR(__xludf.DUMMYFUNCTION("""COMPUTED_VALUE"""),9.0)</f>
        <v>9</v>
      </c>
      <c r="G215" s="125">
        <f>IFERROR(__xludf.DUMMYFUNCTION("""COMPUTED_VALUE"""),1.0)</f>
        <v>1</v>
      </c>
    </row>
    <row r="216">
      <c r="A216" s="117">
        <f>IFERROR(__xludf.DUMMYFUNCTION("""COMPUTED_VALUE"""),9.0)</f>
        <v>9</v>
      </c>
      <c r="B216" s="33" t="str">
        <f>IFERROR(__xludf.DUMMYFUNCTION("""COMPUTED_VALUE"""),"Lam Bui")</f>
        <v>Lam Bui</v>
      </c>
      <c r="C216" s="122">
        <f>IFERROR(__xludf.DUMMYFUNCTION("""COMPUTED_VALUE"""),6.0)</f>
        <v>6</v>
      </c>
      <c r="D216" s="122">
        <f>IFERROR(__xludf.DUMMYFUNCTION("""COMPUTED_VALUE"""),6.0)</f>
        <v>6</v>
      </c>
      <c r="E216" s="122">
        <f>IFERROR(__xludf.DUMMYFUNCTION("""COMPUTED_VALUE"""),2.0)</f>
        <v>2</v>
      </c>
      <c r="F216" s="122">
        <f>IFERROR(__xludf.DUMMYFUNCTION("""COMPUTED_VALUE"""),14.0)</f>
        <v>14</v>
      </c>
      <c r="G216" s="122">
        <f>IFERROR(__xludf.DUMMYFUNCTION("""COMPUTED_VALUE"""),2.0)</f>
        <v>2</v>
      </c>
    </row>
    <row r="217">
      <c r="A217" s="117">
        <f>IFERROR(__xludf.DUMMYFUNCTION("""COMPUTED_VALUE"""),9.0)</f>
        <v>9</v>
      </c>
      <c r="B217" s="33" t="str">
        <f>IFERROR(__xludf.DUMMYFUNCTION("""COMPUTED_VALUE"""),"Pulkit Mathur")</f>
        <v>Pulkit Mathur</v>
      </c>
      <c r="C217" s="122">
        <f>IFERROR(__xludf.DUMMYFUNCTION("""COMPUTED_VALUE"""),4.0)</f>
        <v>4</v>
      </c>
      <c r="D217" s="122">
        <f>IFERROR(__xludf.DUMMYFUNCTION("""COMPUTED_VALUE"""),6.0)</f>
        <v>6</v>
      </c>
      <c r="E217" s="122">
        <f>IFERROR(__xludf.DUMMYFUNCTION("""COMPUTED_VALUE"""),6.0)</f>
        <v>6</v>
      </c>
      <c r="F217" s="122">
        <f>IFERROR(__xludf.DUMMYFUNCTION("""COMPUTED_VALUE"""),16.0)</f>
        <v>16</v>
      </c>
      <c r="G217" s="122">
        <f>IFERROR(__xludf.DUMMYFUNCTION("""COMPUTED_VALUE"""),2.0)</f>
        <v>2</v>
      </c>
    </row>
    <row r="218">
      <c r="A218" s="117">
        <f>IFERROR(__xludf.DUMMYFUNCTION("""COMPUTED_VALUE"""),9.0)</f>
        <v>9</v>
      </c>
      <c r="B218" s="33" t="str">
        <f>IFERROR(__xludf.DUMMYFUNCTION("""COMPUTED_VALUE"""),"Eric Pan")</f>
        <v>Eric Pan</v>
      </c>
      <c r="C218" s="122">
        <f>IFERROR(__xludf.DUMMYFUNCTION("""COMPUTED_VALUE"""),6.0)</f>
        <v>6</v>
      </c>
      <c r="D218" s="122">
        <f>IFERROR(__xludf.DUMMYFUNCTION("""COMPUTED_VALUE"""),3.0)</f>
        <v>3</v>
      </c>
      <c r="E218" s="122">
        <f>IFERROR(__xludf.DUMMYFUNCTION("""COMPUTED_VALUE"""),6.0)</f>
        <v>6</v>
      </c>
      <c r="F218" s="122">
        <f>IFERROR(__xludf.DUMMYFUNCTION("""COMPUTED_VALUE"""),15.0)</f>
        <v>15</v>
      </c>
      <c r="G218" s="122">
        <f>IFERROR(__xludf.DUMMYFUNCTION("""COMPUTED_VALUE"""),2.0)</f>
        <v>2</v>
      </c>
    </row>
    <row r="219">
      <c r="A219" s="117">
        <f>IFERROR(__xludf.DUMMYFUNCTION("""COMPUTED_VALUE"""),9.0)</f>
        <v>9</v>
      </c>
      <c r="B219" s="33" t="str">
        <f>IFERROR(__xludf.DUMMYFUNCTION("""COMPUTED_VALUE"""),"Sandeep Kamalon")</f>
        <v>Sandeep Kamalon</v>
      </c>
      <c r="C219" s="122">
        <f>IFERROR(__xludf.DUMMYFUNCTION("""COMPUTED_VALUE"""),4.0)</f>
        <v>4</v>
      </c>
      <c r="D219" s="122">
        <f>IFERROR(__xludf.DUMMYFUNCTION("""COMPUTED_VALUE"""),3.0)</f>
        <v>3</v>
      </c>
      <c r="E219" s="122">
        <f>IFERROR(__xludf.DUMMYFUNCTION("""COMPUTED_VALUE"""),2.0)</f>
        <v>2</v>
      </c>
      <c r="F219" s="122">
        <f>IFERROR(__xludf.DUMMYFUNCTION("""COMPUTED_VALUE"""),9.0)</f>
        <v>9</v>
      </c>
      <c r="G219" s="122">
        <f>IFERROR(__xludf.DUMMYFUNCTION("""COMPUTED_VALUE"""),0.0)</f>
        <v>0</v>
      </c>
    </row>
    <row r="220">
      <c r="A220" s="123">
        <f>IFERROR(__xludf.DUMMYFUNCTION("""COMPUTED_VALUE"""),10.0)</f>
        <v>10</v>
      </c>
      <c r="B220" s="124" t="str">
        <f>IFERROR(__xludf.DUMMYFUNCTION("""COMPUTED_VALUE"""),"Ted Shen")</f>
        <v>Ted Shen</v>
      </c>
      <c r="C220" s="125">
        <f>IFERROR(__xludf.DUMMYFUNCTION("""COMPUTED_VALUE"""),6.0)</f>
        <v>6</v>
      </c>
      <c r="D220" s="125">
        <f>IFERROR(__xludf.DUMMYFUNCTION("""COMPUTED_VALUE"""),7.0)</f>
        <v>7</v>
      </c>
      <c r="E220" s="125">
        <f>IFERROR(__xludf.DUMMYFUNCTION("""COMPUTED_VALUE"""),6.0)</f>
        <v>6</v>
      </c>
      <c r="F220" s="125">
        <f>IFERROR(__xludf.DUMMYFUNCTION("""COMPUTED_VALUE"""),19.0)</f>
        <v>19</v>
      </c>
      <c r="G220" s="125">
        <f>IFERROR(__xludf.DUMMYFUNCTION("""COMPUTED_VALUE"""),3.0)</f>
        <v>3</v>
      </c>
    </row>
    <row r="221">
      <c r="A221" s="123">
        <f>IFERROR(__xludf.DUMMYFUNCTION("""COMPUTED_VALUE"""),10.0)</f>
        <v>10</v>
      </c>
      <c r="B221" s="124" t="str">
        <f>IFERROR(__xludf.DUMMYFUNCTION("""COMPUTED_VALUE"""),"Eric Tan")</f>
        <v>Eric Tan</v>
      </c>
      <c r="C221" s="125">
        <f>IFERROR(__xludf.DUMMYFUNCTION("""COMPUTED_VALUE"""),2.0)</f>
        <v>2</v>
      </c>
      <c r="D221" s="125">
        <f>IFERROR(__xludf.DUMMYFUNCTION("""COMPUTED_VALUE"""),6.0)</f>
        <v>6</v>
      </c>
      <c r="E221" s="125">
        <f>IFERROR(__xludf.DUMMYFUNCTION("""COMPUTED_VALUE"""),6.0)</f>
        <v>6</v>
      </c>
      <c r="F221" s="125">
        <f>IFERROR(__xludf.DUMMYFUNCTION("""COMPUTED_VALUE"""),14.0)</f>
        <v>14</v>
      </c>
      <c r="G221" s="125">
        <f>IFERROR(__xludf.DUMMYFUNCTION("""COMPUTED_VALUE"""),1.0)</f>
        <v>1</v>
      </c>
    </row>
    <row r="222">
      <c r="A222" s="123">
        <f>IFERROR(__xludf.DUMMYFUNCTION("""COMPUTED_VALUE"""),10.0)</f>
        <v>10</v>
      </c>
      <c r="B222" s="124" t="str">
        <f>IFERROR(__xludf.DUMMYFUNCTION("""COMPUTED_VALUE"""),"Kumar Palakeel")</f>
        <v>Kumar Palakeel</v>
      </c>
      <c r="C222" s="125">
        <f>IFERROR(__xludf.DUMMYFUNCTION("""COMPUTED_VALUE"""),2.0)</f>
        <v>2</v>
      </c>
      <c r="D222" s="125">
        <f>IFERROR(__xludf.DUMMYFUNCTION("""COMPUTED_VALUE"""),7.0)</f>
        <v>7</v>
      </c>
      <c r="E222" s="125">
        <f>IFERROR(__xludf.DUMMYFUNCTION("""COMPUTED_VALUE"""),3.0)</f>
        <v>3</v>
      </c>
      <c r="F222" s="125">
        <f>IFERROR(__xludf.DUMMYFUNCTION("""COMPUTED_VALUE"""),12.0)</f>
        <v>12</v>
      </c>
      <c r="G222" s="125">
        <f>IFERROR(__xludf.DUMMYFUNCTION("""COMPUTED_VALUE"""),1.0)</f>
        <v>1</v>
      </c>
    </row>
    <row r="223">
      <c r="A223" s="123">
        <f>IFERROR(__xludf.DUMMYFUNCTION("""COMPUTED_VALUE"""),10.0)</f>
        <v>10</v>
      </c>
      <c r="B223" s="124" t="str">
        <f>IFERROR(__xludf.DUMMYFUNCTION("""COMPUTED_VALUE"""),"Allen Zhang")</f>
        <v>Allen Zhang</v>
      </c>
      <c r="C223" s="125">
        <f>IFERROR(__xludf.DUMMYFUNCTION("""COMPUTED_VALUE"""),6.0)</f>
        <v>6</v>
      </c>
      <c r="D223" s="125">
        <f>IFERROR(__xludf.DUMMYFUNCTION("""COMPUTED_VALUE"""),6.0)</f>
        <v>6</v>
      </c>
      <c r="E223" s="125">
        <f>IFERROR(__xludf.DUMMYFUNCTION("""COMPUTED_VALUE"""),3.0)</f>
        <v>3</v>
      </c>
      <c r="F223" s="125">
        <f>IFERROR(__xludf.DUMMYFUNCTION("""COMPUTED_VALUE"""),15.0)</f>
        <v>15</v>
      </c>
      <c r="G223" s="125">
        <f>IFERROR(__xludf.DUMMYFUNCTION("""COMPUTED_VALUE"""),1.0)</f>
        <v>1</v>
      </c>
    </row>
    <row r="224">
      <c r="A224" s="117">
        <f>IFERROR(__xludf.DUMMYFUNCTION("""COMPUTED_VALUE"""),11.0)</f>
        <v>11</v>
      </c>
      <c r="B224" s="33" t="str">
        <f>IFERROR(__xludf.DUMMYFUNCTION("""COMPUTED_VALUE"""),"Matthew Huang")</f>
        <v>Matthew Huang</v>
      </c>
      <c r="C224" s="122">
        <f>IFERROR(__xludf.DUMMYFUNCTION("""COMPUTED_VALUE"""),6.0)</f>
        <v>6</v>
      </c>
      <c r="D224" s="122">
        <f>IFERROR(__xludf.DUMMYFUNCTION("""COMPUTED_VALUE"""),4.0)</f>
        <v>4</v>
      </c>
      <c r="E224" s="122">
        <f>IFERROR(__xludf.DUMMYFUNCTION("""COMPUTED_VALUE"""),6.0)</f>
        <v>6</v>
      </c>
      <c r="F224" s="122">
        <f>IFERROR(__xludf.DUMMYFUNCTION("""COMPUTED_VALUE"""),16.0)</f>
        <v>16</v>
      </c>
      <c r="G224" s="122">
        <f>IFERROR(__xludf.DUMMYFUNCTION("""COMPUTED_VALUE"""),2.0)</f>
        <v>2</v>
      </c>
    </row>
    <row r="225">
      <c r="A225" s="117">
        <f>IFERROR(__xludf.DUMMYFUNCTION("""COMPUTED_VALUE"""),11.0)</f>
        <v>11</v>
      </c>
      <c r="B225" s="33" t="str">
        <f>IFERROR(__xludf.DUMMYFUNCTION("""COMPUTED_VALUE"""),"Wayne Liu")</f>
        <v>Wayne Liu</v>
      </c>
      <c r="C225" s="122">
        <f>IFERROR(__xludf.DUMMYFUNCTION("""COMPUTED_VALUE"""),0.0)</f>
        <v>0</v>
      </c>
      <c r="D225" s="122">
        <f>IFERROR(__xludf.DUMMYFUNCTION("""COMPUTED_VALUE"""),4.0)</f>
        <v>4</v>
      </c>
      <c r="E225" s="122">
        <f>IFERROR(__xludf.DUMMYFUNCTION("""COMPUTED_VALUE"""),3.0)</f>
        <v>3</v>
      </c>
      <c r="F225" s="122">
        <f>IFERROR(__xludf.DUMMYFUNCTION("""COMPUTED_VALUE"""),7.0)</f>
        <v>7</v>
      </c>
      <c r="G225" s="122">
        <f>IFERROR(__xludf.DUMMYFUNCTION("""COMPUTED_VALUE"""),0.0)</f>
        <v>0</v>
      </c>
    </row>
    <row r="226">
      <c r="A226" s="117">
        <f>IFERROR(__xludf.DUMMYFUNCTION("""COMPUTED_VALUE"""),11.0)</f>
        <v>11</v>
      </c>
      <c r="B226" s="33" t="str">
        <f>IFERROR(__xludf.DUMMYFUNCTION("""COMPUTED_VALUE"""),"Vinaya Kajla")</f>
        <v>Vinaya Kajla</v>
      </c>
      <c r="C226" s="122">
        <f>IFERROR(__xludf.DUMMYFUNCTION("""COMPUTED_VALUE"""),0.0)</f>
        <v>0</v>
      </c>
      <c r="D226" s="122">
        <f>IFERROR(__xludf.DUMMYFUNCTION("""COMPUTED_VALUE"""),6.0)</f>
        <v>6</v>
      </c>
      <c r="E226" s="122">
        <f>IFERROR(__xludf.DUMMYFUNCTION("""COMPUTED_VALUE"""),6.0)</f>
        <v>6</v>
      </c>
      <c r="F226" s="122">
        <f>IFERROR(__xludf.DUMMYFUNCTION("""COMPUTED_VALUE"""),12.0)</f>
        <v>12</v>
      </c>
      <c r="G226" s="122">
        <f>IFERROR(__xludf.DUMMYFUNCTION("""COMPUTED_VALUE"""),2.0)</f>
        <v>2</v>
      </c>
    </row>
    <row r="227">
      <c r="A227" s="117">
        <f>IFERROR(__xludf.DUMMYFUNCTION("""COMPUTED_VALUE"""),11.0)</f>
        <v>11</v>
      </c>
      <c r="B227" s="33" t="str">
        <f>IFERROR(__xludf.DUMMYFUNCTION("""COMPUTED_VALUE"""),"Troy Wong")</f>
        <v>Troy Wong</v>
      </c>
      <c r="C227" s="122">
        <f>IFERROR(__xludf.DUMMYFUNCTION("""COMPUTED_VALUE"""),6.0)</f>
        <v>6</v>
      </c>
      <c r="D227" s="122">
        <f>IFERROR(__xludf.DUMMYFUNCTION("""COMPUTED_VALUE"""),6.0)</f>
        <v>6</v>
      </c>
      <c r="E227" s="122">
        <f>IFERROR(__xludf.DUMMYFUNCTION("""COMPUTED_VALUE"""),3.0)</f>
        <v>3</v>
      </c>
      <c r="F227" s="122">
        <f>IFERROR(__xludf.DUMMYFUNCTION("""COMPUTED_VALUE"""),15.0)</f>
        <v>15</v>
      </c>
      <c r="G227" s="122">
        <f>IFERROR(__xludf.DUMMYFUNCTION("""COMPUTED_VALUE"""),2.0)</f>
        <v>2</v>
      </c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</sheetData>
  <mergeCells count="13">
    <mergeCell ref="B75:J75"/>
    <mergeCell ref="B78:E78"/>
    <mergeCell ref="B97:G97"/>
    <mergeCell ref="A115:E115"/>
    <mergeCell ref="B131:C131"/>
    <mergeCell ref="A150:B150"/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45878.0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6.0</v>
      </c>
      <c r="E2" s="1"/>
      <c r="F2" s="1"/>
      <c r="R2" s="17"/>
      <c r="AC2" s="21" t="str">
        <f>text(C1-7,"mm/dd/yy")</f>
        <v>08/02/25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30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  <c r="Z4" s="29" t="s">
        <v>44</v>
      </c>
    </row>
    <row r="5">
      <c r="A5" s="32">
        <v>1.0</v>
      </c>
      <c r="B5" s="33" t="s">
        <v>67</v>
      </c>
      <c r="C5" s="34">
        <v>81.0</v>
      </c>
      <c r="D5" s="34">
        <v>11.0</v>
      </c>
      <c r="E5" s="35">
        <f t="shared" ref="E5:E69" si="2">if(S5&gt;0,(C5-(V5*9)-(T5*13))/S5,0)</f>
        <v>15.75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90</v>
      </c>
      <c r="O5" s="34">
        <f t="shared" si="1"/>
        <v>11</v>
      </c>
      <c r="P5" s="49" t="s">
        <v>58</v>
      </c>
      <c r="Q5" s="49" t="s">
        <v>58</v>
      </c>
      <c r="R5" s="49"/>
      <c r="S5" s="52">
        <f t="shared" ref="S5:S69" si="4">vlookup(B5,indirect("'" &amp; AC$2 &amp; "'!B5:W69"),18,false)++if(text(C$1,"mm/dd/yy")=$AC$2,0,if(H5&gt;0,0,1))</f>
        <v>4</v>
      </c>
      <c r="T5" s="52">
        <f t="shared" ref="T5:T69" si="5">if(H5=13,1,0)+vlookup(B5,indirect("'" &amp; AC$2 &amp; "'!B5:W69"),19,false)</f>
        <v>0</v>
      </c>
      <c r="U5" s="52"/>
      <c r="V5" s="52">
        <f t="shared" ref="V5:V69" si="6">vlookup(B5,indirect("'" &amp; AC$2 &amp; "'!B5:W69"),21,false)+if(text(C$1,"mm/dd/yy")=$AC$2,0,if(H5=9,1,0))</f>
        <v>2</v>
      </c>
      <c r="W5" s="52">
        <f t="shared" ref="W5:W69" si="7">vlookup(B5,indirect("'" &amp; AC$2 &amp; "'!B5:x69"),23,false)-X5</f>
        <v>1</v>
      </c>
      <c r="X5" s="32">
        <v>1.0</v>
      </c>
      <c r="Z5" s="16" t="str">
        <f t="shared" ref="Z5:Z69" si="8">if($D$2=sum(S5:V5),"","Error")</f>
        <v/>
      </c>
    </row>
    <row r="6">
      <c r="A6" s="32">
        <f t="shared" ref="A6:A69" si="9">A5+1</f>
        <v>2</v>
      </c>
      <c r="B6" s="33" t="s">
        <v>73</v>
      </c>
      <c r="C6" s="34">
        <v>74.0</v>
      </c>
      <c r="D6" s="34">
        <v>8.0</v>
      </c>
      <c r="E6" s="35">
        <f t="shared" si="2"/>
        <v>13</v>
      </c>
      <c r="F6" s="95">
        <v>2.0</v>
      </c>
      <c r="G6" s="96">
        <v>9.0</v>
      </c>
      <c r="H6" s="97">
        <v>0.0</v>
      </c>
      <c r="I6" s="96">
        <v>6.0</v>
      </c>
      <c r="J6" s="96">
        <v>6.0</v>
      </c>
      <c r="K6" s="96">
        <v>2.0</v>
      </c>
      <c r="L6" s="98">
        <v>14.0</v>
      </c>
      <c r="M6" s="96">
        <v>2.0</v>
      </c>
      <c r="N6" s="34">
        <f t="shared" ref="N6:O6" si="3">C6+L6</f>
        <v>88</v>
      </c>
      <c r="O6" s="34">
        <f t="shared" si="3"/>
        <v>10</v>
      </c>
      <c r="P6" s="49" t="s">
        <v>58</v>
      </c>
      <c r="Q6" s="49" t="s">
        <v>58</v>
      </c>
      <c r="R6" s="49"/>
      <c r="S6" s="52">
        <f t="shared" si="4"/>
        <v>5</v>
      </c>
      <c r="T6" s="52">
        <f t="shared" si="5"/>
        <v>0</v>
      </c>
      <c r="U6" s="52"/>
      <c r="V6" s="52">
        <f t="shared" si="6"/>
        <v>1</v>
      </c>
      <c r="W6" s="52">
        <f t="shared" si="7"/>
        <v>-1</v>
      </c>
      <c r="X6" s="32">
        <f t="shared" ref="X6:X69" si="11">X5+1</f>
        <v>2</v>
      </c>
      <c r="Z6" s="16" t="str">
        <f t="shared" si="8"/>
        <v/>
      </c>
    </row>
    <row r="7">
      <c r="A7" s="32">
        <f t="shared" si="9"/>
        <v>3</v>
      </c>
      <c r="B7" s="33" t="s">
        <v>84</v>
      </c>
      <c r="C7" s="34">
        <v>73.0</v>
      </c>
      <c r="D7" s="34">
        <v>9.0</v>
      </c>
      <c r="E7" s="35">
        <f t="shared" si="2"/>
        <v>12.8</v>
      </c>
      <c r="F7" s="95">
        <v>2.0</v>
      </c>
      <c r="G7" s="96">
        <v>9.0</v>
      </c>
      <c r="H7" s="97">
        <v>0.0</v>
      </c>
      <c r="I7" s="96">
        <v>4.0</v>
      </c>
      <c r="J7" s="96">
        <v>6.0</v>
      </c>
      <c r="K7" s="96">
        <v>6.0</v>
      </c>
      <c r="L7" s="98">
        <v>16.0</v>
      </c>
      <c r="M7" s="96">
        <v>2.0</v>
      </c>
      <c r="N7" s="34">
        <f t="shared" ref="N7:O7" si="10">C7+L7</f>
        <v>89</v>
      </c>
      <c r="O7" s="34">
        <f t="shared" si="10"/>
        <v>11</v>
      </c>
      <c r="P7" s="49" t="s">
        <v>58</v>
      </c>
      <c r="Q7" s="49" t="s">
        <v>58</v>
      </c>
      <c r="R7" s="49"/>
      <c r="S7" s="52">
        <f t="shared" si="4"/>
        <v>5</v>
      </c>
      <c r="T7" s="52">
        <f t="shared" si="5"/>
        <v>0</v>
      </c>
      <c r="U7" s="52"/>
      <c r="V7" s="52">
        <f t="shared" si="6"/>
        <v>1</v>
      </c>
      <c r="W7" s="52">
        <f t="shared" si="7"/>
        <v>7</v>
      </c>
      <c r="X7" s="32">
        <f t="shared" si="11"/>
        <v>3</v>
      </c>
      <c r="Z7" s="16" t="str">
        <f t="shared" si="8"/>
        <v/>
      </c>
    </row>
    <row r="8">
      <c r="A8" s="32">
        <f t="shared" si="9"/>
        <v>4</v>
      </c>
      <c r="B8" s="33" t="s">
        <v>83</v>
      </c>
      <c r="C8" s="34">
        <v>73.0</v>
      </c>
      <c r="D8" s="34">
        <v>8.0</v>
      </c>
      <c r="E8" s="35">
        <f t="shared" si="2"/>
        <v>12.8</v>
      </c>
      <c r="F8" s="95">
        <v>2.0</v>
      </c>
      <c r="G8" s="96">
        <v>9.0</v>
      </c>
      <c r="H8" s="97">
        <v>0.0</v>
      </c>
      <c r="I8" s="96">
        <v>6.0</v>
      </c>
      <c r="J8" s="96">
        <v>3.0</v>
      </c>
      <c r="K8" s="96">
        <v>6.0</v>
      </c>
      <c r="L8" s="98">
        <v>15.0</v>
      </c>
      <c r="M8" s="96">
        <v>2.0</v>
      </c>
      <c r="N8" s="34">
        <f t="shared" ref="N8:O8" si="12">C8+L8</f>
        <v>88</v>
      </c>
      <c r="O8" s="34">
        <f t="shared" si="12"/>
        <v>10</v>
      </c>
      <c r="P8" s="49" t="s">
        <v>58</v>
      </c>
      <c r="Q8" s="49" t="s">
        <v>58</v>
      </c>
      <c r="R8" s="49"/>
      <c r="S8" s="52">
        <f t="shared" si="4"/>
        <v>5</v>
      </c>
      <c r="T8" s="52">
        <f t="shared" si="5"/>
        <v>0</v>
      </c>
      <c r="U8" s="52"/>
      <c r="V8" s="52">
        <f t="shared" si="6"/>
        <v>1</v>
      </c>
      <c r="W8" s="52">
        <f t="shared" si="7"/>
        <v>4</v>
      </c>
      <c r="X8" s="32">
        <f t="shared" si="11"/>
        <v>4</v>
      </c>
      <c r="Z8" s="16" t="str">
        <f t="shared" si="8"/>
        <v/>
      </c>
    </row>
    <row r="9">
      <c r="A9" s="32">
        <f t="shared" si="9"/>
        <v>5</v>
      </c>
      <c r="B9" s="33" t="s">
        <v>90</v>
      </c>
      <c r="C9" s="34">
        <v>72.0</v>
      </c>
      <c r="D9" s="34">
        <v>9.0</v>
      </c>
      <c r="E9" s="35">
        <f t="shared" si="2"/>
        <v>11.8</v>
      </c>
      <c r="F9" s="95">
        <v>1.0</v>
      </c>
      <c r="G9" s="96">
        <v>9.0</v>
      </c>
      <c r="H9" s="97">
        <v>0.0</v>
      </c>
      <c r="I9" s="96">
        <v>4.0</v>
      </c>
      <c r="J9" s="96">
        <v>3.0</v>
      </c>
      <c r="K9" s="96">
        <v>2.0</v>
      </c>
      <c r="L9" s="98">
        <v>9.0</v>
      </c>
      <c r="M9" s="96">
        <v>0.0</v>
      </c>
      <c r="N9" s="34">
        <f t="shared" ref="N9:O9" si="13">C9+L9</f>
        <v>81</v>
      </c>
      <c r="O9" s="34">
        <f t="shared" si="13"/>
        <v>9</v>
      </c>
      <c r="P9" s="49" t="s">
        <v>58</v>
      </c>
      <c r="Q9" s="49" t="s">
        <v>58</v>
      </c>
      <c r="R9" s="49"/>
      <c r="S9" s="52">
        <f t="shared" si="4"/>
        <v>5</v>
      </c>
      <c r="T9" s="52">
        <f t="shared" si="5"/>
        <v>1</v>
      </c>
      <c r="U9" s="52"/>
      <c r="V9" s="52">
        <f t="shared" si="6"/>
        <v>0</v>
      </c>
      <c r="W9" s="52">
        <f t="shared" si="7"/>
        <v>-2</v>
      </c>
      <c r="X9" s="32">
        <f t="shared" si="11"/>
        <v>5</v>
      </c>
      <c r="Z9" s="16" t="str">
        <f t="shared" si="8"/>
        <v/>
      </c>
    </row>
    <row r="10">
      <c r="A10" s="32">
        <f t="shared" si="9"/>
        <v>6</v>
      </c>
      <c r="B10" s="33" t="s">
        <v>98</v>
      </c>
      <c r="C10" s="34">
        <v>70.0</v>
      </c>
      <c r="D10" s="34">
        <v>9.0</v>
      </c>
      <c r="E10" s="35">
        <f t="shared" si="2"/>
        <v>11.66666667</v>
      </c>
      <c r="F10" s="95">
        <v>1.0</v>
      </c>
      <c r="G10" s="96">
        <v>1.0</v>
      </c>
      <c r="H10" s="97">
        <v>0.0</v>
      </c>
      <c r="I10" s="96">
        <v>7.0</v>
      </c>
      <c r="J10" s="96">
        <v>6.0</v>
      </c>
      <c r="K10" s="96">
        <v>3.0</v>
      </c>
      <c r="L10" s="98">
        <v>16.0</v>
      </c>
      <c r="M10" s="96">
        <v>2.0</v>
      </c>
      <c r="N10" s="34">
        <f t="shared" ref="N10:O10" si="14">C10+L10</f>
        <v>86</v>
      </c>
      <c r="O10" s="34">
        <f t="shared" si="14"/>
        <v>11</v>
      </c>
      <c r="P10" s="49" t="s">
        <v>58</v>
      </c>
      <c r="Q10" s="49" t="s">
        <v>58</v>
      </c>
      <c r="R10" s="49"/>
      <c r="S10" s="52">
        <f t="shared" si="4"/>
        <v>6</v>
      </c>
      <c r="T10" s="52">
        <f t="shared" si="5"/>
        <v>0</v>
      </c>
      <c r="U10" s="52"/>
      <c r="V10" s="52">
        <f t="shared" si="6"/>
        <v>0</v>
      </c>
      <c r="W10" s="52">
        <f t="shared" si="7"/>
        <v>-2</v>
      </c>
      <c r="X10" s="32">
        <f t="shared" si="11"/>
        <v>6</v>
      </c>
      <c r="Z10" s="16" t="str">
        <f t="shared" si="8"/>
        <v/>
      </c>
    </row>
    <row r="11">
      <c r="A11" s="32">
        <f t="shared" si="9"/>
        <v>7</v>
      </c>
      <c r="B11" s="33" t="s">
        <v>94</v>
      </c>
      <c r="C11" s="34">
        <v>70.0</v>
      </c>
      <c r="D11" s="34">
        <v>6.0</v>
      </c>
      <c r="E11" s="35">
        <f t="shared" si="2"/>
        <v>11.66666667</v>
      </c>
      <c r="F11" s="95">
        <v>1.0</v>
      </c>
      <c r="G11" s="96">
        <v>1.0</v>
      </c>
      <c r="H11" s="97">
        <v>0.0</v>
      </c>
      <c r="I11" s="96">
        <v>5.0</v>
      </c>
      <c r="J11" s="96">
        <v>1.0</v>
      </c>
      <c r="K11" s="96">
        <v>3.0</v>
      </c>
      <c r="L11" s="98">
        <v>9.0</v>
      </c>
      <c r="M11" s="96">
        <v>0.0</v>
      </c>
      <c r="N11" s="34">
        <f t="shared" ref="N11:O11" si="15">C11+L11</f>
        <v>79</v>
      </c>
      <c r="O11" s="34">
        <f t="shared" si="15"/>
        <v>6</v>
      </c>
      <c r="P11" s="49" t="s">
        <v>58</v>
      </c>
      <c r="Q11" s="49" t="s">
        <v>58</v>
      </c>
      <c r="R11" s="49"/>
      <c r="S11" s="52">
        <f t="shared" si="4"/>
        <v>6</v>
      </c>
      <c r="T11" s="52">
        <f t="shared" si="5"/>
        <v>0</v>
      </c>
      <c r="U11" s="52"/>
      <c r="V11" s="52">
        <f t="shared" si="6"/>
        <v>0</v>
      </c>
      <c r="W11" s="52">
        <f t="shared" si="7"/>
        <v>-2</v>
      </c>
      <c r="X11" s="32">
        <f t="shared" si="11"/>
        <v>7</v>
      </c>
      <c r="Z11" s="16" t="str">
        <f t="shared" si="8"/>
        <v/>
      </c>
    </row>
    <row r="12">
      <c r="A12" s="32">
        <f t="shared" si="9"/>
        <v>8</v>
      </c>
      <c r="B12" s="33" t="s">
        <v>91</v>
      </c>
      <c r="C12" s="34">
        <v>69.0</v>
      </c>
      <c r="D12" s="34">
        <v>8.0</v>
      </c>
      <c r="E12" s="35">
        <f t="shared" si="2"/>
        <v>11.5</v>
      </c>
      <c r="F12" s="95">
        <v>1.0</v>
      </c>
      <c r="G12" s="96">
        <v>1.0</v>
      </c>
      <c r="H12" s="97">
        <v>0.0</v>
      </c>
      <c r="I12" s="96">
        <v>7.0</v>
      </c>
      <c r="J12" s="96">
        <v>1.0</v>
      </c>
      <c r="K12" s="96">
        <v>6.0</v>
      </c>
      <c r="L12" s="98">
        <v>14.0</v>
      </c>
      <c r="M12" s="96">
        <v>2.0</v>
      </c>
      <c r="N12" s="34">
        <f t="shared" ref="N12:O12" si="16">C12+L12</f>
        <v>83</v>
      </c>
      <c r="O12" s="34">
        <f t="shared" si="16"/>
        <v>10</v>
      </c>
      <c r="P12" s="49" t="s">
        <v>58</v>
      </c>
      <c r="Q12" s="49" t="s">
        <v>58</v>
      </c>
      <c r="R12" s="49"/>
      <c r="S12" s="52">
        <f t="shared" si="4"/>
        <v>6</v>
      </c>
      <c r="T12" s="52">
        <f t="shared" si="5"/>
        <v>0</v>
      </c>
      <c r="U12" s="52"/>
      <c r="V12" s="52">
        <f t="shared" si="6"/>
        <v>0</v>
      </c>
      <c r="W12" s="52">
        <f t="shared" si="7"/>
        <v>6</v>
      </c>
      <c r="X12" s="32">
        <f t="shared" si="11"/>
        <v>8</v>
      </c>
      <c r="Z12" s="16" t="str">
        <f t="shared" si="8"/>
        <v/>
      </c>
    </row>
    <row r="13">
      <c r="A13" s="32">
        <f t="shared" si="9"/>
        <v>9</v>
      </c>
      <c r="B13" s="33" t="s">
        <v>107</v>
      </c>
      <c r="C13" s="34">
        <v>67.0</v>
      </c>
      <c r="D13" s="34">
        <v>7.0</v>
      </c>
      <c r="E13" s="35">
        <f t="shared" si="2"/>
        <v>12.25</v>
      </c>
      <c r="F13" s="95">
        <v>2.0</v>
      </c>
      <c r="G13" s="96">
        <v>1.0</v>
      </c>
      <c r="H13" s="97">
        <v>0.0</v>
      </c>
      <c r="I13" s="96">
        <v>5.0</v>
      </c>
      <c r="J13" s="96">
        <v>6.0</v>
      </c>
      <c r="K13" s="96">
        <v>6.0</v>
      </c>
      <c r="L13" s="98">
        <v>17.0</v>
      </c>
      <c r="M13" s="96">
        <v>2.0</v>
      </c>
      <c r="N13" s="34">
        <f t="shared" ref="N13:O13" si="17">C13+L13</f>
        <v>84</v>
      </c>
      <c r="O13" s="34">
        <f t="shared" si="17"/>
        <v>9</v>
      </c>
      <c r="P13" s="49" t="s">
        <v>58</v>
      </c>
      <c r="Q13" s="49" t="s">
        <v>58</v>
      </c>
      <c r="R13" s="49"/>
      <c r="S13" s="52">
        <f t="shared" si="4"/>
        <v>4</v>
      </c>
      <c r="T13" s="52">
        <f t="shared" si="5"/>
        <v>0</v>
      </c>
      <c r="U13" s="52"/>
      <c r="V13" s="52">
        <f t="shared" si="6"/>
        <v>2</v>
      </c>
      <c r="W13" s="52">
        <f t="shared" si="7"/>
        <v>15</v>
      </c>
      <c r="X13" s="32">
        <f t="shared" si="11"/>
        <v>9</v>
      </c>
      <c r="Z13" s="16" t="str">
        <f t="shared" si="8"/>
        <v/>
      </c>
    </row>
    <row r="14">
      <c r="A14" s="32">
        <f t="shared" si="9"/>
        <v>10</v>
      </c>
      <c r="B14" s="33" t="s">
        <v>110</v>
      </c>
      <c r="C14" s="34">
        <v>67.0</v>
      </c>
      <c r="D14" s="34">
        <v>7.0</v>
      </c>
      <c r="E14" s="35">
        <f t="shared" si="2"/>
        <v>11.16666667</v>
      </c>
      <c r="F14" s="95">
        <v>1.0</v>
      </c>
      <c r="G14" s="96">
        <v>2.0</v>
      </c>
      <c r="H14" s="97">
        <v>0.0</v>
      </c>
      <c r="I14" s="96">
        <v>7.0</v>
      </c>
      <c r="J14" s="96">
        <v>6.0</v>
      </c>
      <c r="K14" s="96">
        <v>6.0</v>
      </c>
      <c r="L14" s="98">
        <v>19.0</v>
      </c>
      <c r="M14" s="96">
        <v>3.0</v>
      </c>
      <c r="N14" s="34">
        <f t="shared" ref="N14:O14" si="18">C14+L14</f>
        <v>86</v>
      </c>
      <c r="O14" s="34">
        <f t="shared" si="18"/>
        <v>10</v>
      </c>
      <c r="P14" s="49" t="s">
        <v>58</v>
      </c>
      <c r="Q14" s="49" t="s">
        <v>58</v>
      </c>
      <c r="R14" s="49"/>
      <c r="S14" s="52">
        <f t="shared" si="4"/>
        <v>6</v>
      </c>
      <c r="T14" s="52">
        <f t="shared" si="5"/>
        <v>0</v>
      </c>
      <c r="U14" s="52"/>
      <c r="V14" s="52">
        <f t="shared" si="6"/>
        <v>0</v>
      </c>
      <c r="W14" s="52">
        <f t="shared" si="7"/>
        <v>-4</v>
      </c>
      <c r="X14" s="32">
        <f t="shared" si="11"/>
        <v>10</v>
      </c>
      <c r="Z14" s="16" t="str">
        <f t="shared" si="8"/>
        <v/>
      </c>
    </row>
    <row r="15">
      <c r="A15" s="32">
        <f t="shared" si="9"/>
        <v>11</v>
      </c>
      <c r="B15" s="33" t="s">
        <v>125</v>
      </c>
      <c r="C15" s="34">
        <v>65.0</v>
      </c>
      <c r="D15" s="34">
        <v>6.0</v>
      </c>
      <c r="E15" s="35">
        <f t="shared" si="2"/>
        <v>11.2</v>
      </c>
      <c r="F15" s="95">
        <v>1.0</v>
      </c>
      <c r="G15" s="96">
        <v>2.0</v>
      </c>
      <c r="H15" s="97">
        <v>0.0</v>
      </c>
      <c r="I15" s="96">
        <v>5.0</v>
      </c>
      <c r="J15" s="96">
        <v>3.0</v>
      </c>
      <c r="K15" s="96">
        <v>6.0</v>
      </c>
      <c r="L15" s="98">
        <v>14.0</v>
      </c>
      <c r="M15" s="96">
        <v>1.0</v>
      </c>
      <c r="N15" s="34">
        <f t="shared" ref="N15:O15" si="19">C15+L15</f>
        <v>79</v>
      </c>
      <c r="O15" s="34">
        <f t="shared" si="19"/>
        <v>7</v>
      </c>
      <c r="P15" s="49" t="s">
        <v>58</v>
      </c>
      <c r="Q15" s="49" t="s">
        <v>58</v>
      </c>
      <c r="R15" s="49"/>
      <c r="S15" s="52">
        <f t="shared" si="4"/>
        <v>5</v>
      </c>
      <c r="T15" s="52">
        <f t="shared" si="5"/>
        <v>0</v>
      </c>
      <c r="U15" s="52"/>
      <c r="V15" s="52">
        <f t="shared" si="6"/>
        <v>1</v>
      </c>
      <c r="W15" s="52">
        <f t="shared" si="7"/>
        <v>-4</v>
      </c>
      <c r="X15" s="32">
        <f t="shared" si="11"/>
        <v>11</v>
      </c>
      <c r="Z15" s="16" t="str">
        <f t="shared" si="8"/>
        <v/>
      </c>
    </row>
    <row r="16">
      <c r="A16" s="32">
        <f t="shared" si="9"/>
        <v>12</v>
      </c>
      <c r="B16" s="33" t="s">
        <v>111</v>
      </c>
      <c r="C16" s="34">
        <v>65.0</v>
      </c>
      <c r="D16" s="34">
        <v>4.0</v>
      </c>
      <c r="E16" s="35">
        <f t="shared" si="2"/>
        <v>10.75</v>
      </c>
      <c r="F16" s="95">
        <v>1.0</v>
      </c>
      <c r="G16" s="96">
        <v>2.0</v>
      </c>
      <c r="H16" s="97">
        <v>0.0</v>
      </c>
      <c r="I16" s="96">
        <v>5.0</v>
      </c>
      <c r="J16" s="96">
        <v>6.0</v>
      </c>
      <c r="K16" s="96">
        <v>4.0</v>
      </c>
      <c r="L16" s="98">
        <v>15.0</v>
      </c>
      <c r="M16" s="96">
        <v>1.0</v>
      </c>
      <c r="N16" s="34">
        <f t="shared" ref="N16:O16" si="20">C16+L16</f>
        <v>80</v>
      </c>
      <c r="O16" s="34">
        <f t="shared" si="20"/>
        <v>5</v>
      </c>
      <c r="P16" s="49" t="s">
        <v>58</v>
      </c>
      <c r="Q16" s="49" t="s">
        <v>58</v>
      </c>
      <c r="R16" s="49"/>
      <c r="S16" s="52">
        <f t="shared" si="4"/>
        <v>4</v>
      </c>
      <c r="T16" s="52">
        <f t="shared" si="5"/>
        <v>1</v>
      </c>
      <c r="U16" s="52"/>
      <c r="V16" s="52">
        <f t="shared" si="6"/>
        <v>1</v>
      </c>
      <c r="W16" s="52">
        <f t="shared" si="7"/>
        <v>4</v>
      </c>
      <c r="X16" s="32">
        <f t="shared" si="11"/>
        <v>12</v>
      </c>
      <c r="Z16" s="16" t="str">
        <f t="shared" si="8"/>
        <v/>
      </c>
    </row>
    <row r="17">
      <c r="A17" s="32">
        <f t="shared" si="9"/>
        <v>13</v>
      </c>
      <c r="B17" s="33" t="s">
        <v>89</v>
      </c>
      <c r="C17" s="34">
        <v>64.0</v>
      </c>
      <c r="D17" s="34">
        <v>7.0</v>
      </c>
      <c r="E17" s="35">
        <f t="shared" si="2"/>
        <v>11.5</v>
      </c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21">C17+L17</f>
        <v>73</v>
      </c>
      <c r="O17" s="34">
        <f t="shared" si="21"/>
        <v>7</v>
      </c>
      <c r="P17" s="49" t="s">
        <v>58</v>
      </c>
      <c r="Q17" s="49" t="s">
        <v>58</v>
      </c>
      <c r="R17" s="49"/>
      <c r="S17" s="52">
        <f t="shared" si="4"/>
        <v>4</v>
      </c>
      <c r="T17" s="52">
        <f t="shared" si="5"/>
        <v>0</v>
      </c>
      <c r="U17" s="52"/>
      <c r="V17" s="52">
        <f t="shared" si="6"/>
        <v>2</v>
      </c>
      <c r="W17" s="52">
        <f t="shared" si="7"/>
        <v>-4</v>
      </c>
      <c r="X17" s="32">
        <f t="shared" si="11"/>
        <v>13</v>
      </c>
      <c r="Z17" s="16" t="str">
        <f t="shared" si="8"/>
        <v/>
      </c>
    </row>
    <row r="18">
      <c r="A18" s="32">
        <f t="shared" si="9"/>
        <v>14</v>
      </c>
      <c r="B18" s="33" t="s">
        <v>50</v>
      </c>
      <c r="C18" s="34">
        <v>64.0</v>
      </c>
      <c r="D18" s="34">
        <v>7.0</v>
      </c>
      <c r="E18" s="35">
        <f t="shared" si="2"/>
        <v>10.66666667</v>
      </c>
      <c r="F18" s="95">
        <v>1.0</v>
      </c>
      <c r="G18" s="96">
        <v>2.0</v>
      </c>
      <c r="H18" s="97">
        <v>0.0</v>
      </c>
      <c r="I18" s="96">
        <v>7.0</v>
      </c>
      <c r="J18" s="96">
        <v>3.0</v>
      </c>
      <c r="K18" s="96">
        <v>4.0</v>
      </c>
      <c r="L18" s="98">
        <v>14.0</v>
      </c>
      <c r="M18" s="96">
        <v>1.0</v>
      </c>
      <c r="N18" s="34">
        <f t="shared" ref="N18:O18" si="22">C18+L18</f>
        <v>78</v>
      </c>
      <c r="O18" s="34">
        <f t="shared" si="22"/>
        <v>8</v>
      </c>
      <c r="P18" s="49" t="s">
        <v>58</v>
      </c>
      <c r="Q18" s="49" t="s">
        <v>58</v>
      </c>
      <c r="R18" s="49"/>
      <c r="S18" s="52">
        <f t="shared" si="4"/>
        <v>6</v>
      </c>
      <c r="T18" s="52">
        <f t="shared" si="5"/>
        <v>0</v>
      </c>
      <c r="U18" s="52"/>
      <c r="V18" s="52">
        <f t="shared" si="6"/>
        <v>0</v>
      </c>
      <c r="W18" s="52">
        <f t="shared" si="7"/>
        <v>1</v>
      </c>
      <c r="X18" s="32">
        <f t="shared" si="11"/>
        <v>14</v>
      </c>
      <c r="Z18" s="16" t="str">
        <f t="shared" si="8"/>
        <v/>
      </c>
    </row>
    <row r="19">
      <c r="A19" s="32">
        <f t="shared" si="9"/>
        <v>15</v>
      </c>
      <c r="B19" s="33" t="s">
        <v>49</v>
      </c>
      <c r="C19" s="34">
        <v>63.0</v>
      </c>
      <c r="D19" s="34">
        <v>8.0</v>
      </c>
      <c r="E19" s="35">
        <f t="shared" si="2"/>
        <v>10.8</v>
      </c>
      <c r="F19" s="95">
        <v>1.0</v>
      </c>
      <c r="G19" s="96">
        <v>3.0</v>
      </c>
      <c r="H19" s="97">
        <v>0.0</v>
      </c>
      <c r="I19" s="96">
        <v>5.0</v>
      </c>
      <c r="J19" s="96">
        <v>6.0</v>
      </c>
      <c r="K19" s="96">
        <v>1.0</v>
      </c>
      <c r="L19" s="98">
        <v>12.0</v>
      </c>
      <c r="M19" s="96">
        <v>1.0</v>
      </c>
      <c r="N19" s="34">
        <f t="shared" ref="N19:O19" si="23">C19+L19</f>
        <v>75</v>
      </c>
      <c r="O19" s="34">
        <f t="shared" si="23"/>
        <v>9</v>
      </c>
      <c r="P19" s="49" t="s">
        <v>58</v>
      </c>
      <c r="Q19" s="49" t="s">
        <v>58</v>
      </c>
      <c r="R19" s="49"/>
      <c r="S19" s="52">
        <f t="shared" si="4"/>
        <v>5</v>
      </c>
      <c r="T19" s="52">
        <f t="shared" si="5"/>
        <v>0</v>
      </c>
      <c r="U19" s="52"/>
      <c r="V19" s="52">
        <f t="shared" si="6"/>
        <v>1</v>
      </c>
      <c r="W19" s="52">
        <f t="shared" si="7"/>
        <v>14</v>
      </c>
      <c r="X19" s="32">
        <f t="shared" si="11"/>
        <v>15</v>
      </c>
      <c r="Z19" s="16" t="str">
        <f t="shared" si="8"/>
        <v/>
      </c>
    </row>
    <row r="20">
      <c r="A20" s="32">
        <f t="shared" si="9"/>
        <v>16</v>
      </c>
      <c r="B20" s="33" t="s">
        <v>87</v>
      </c>
      <c r="C20" s="34">
        <v>63.0</v>
      </c>
      <c r="D20" s="34">
        <v>7.0</v>
      </c>
      <c r="E20" s="35">
        <f t="shared" si="2"/>
        <v>10.8</v>
      </c>
      <c r="F20" s="95">
        <v>1.0</v>
      </c>
      <c r="G20" s="96">
        <v>3.0</v>
      </c>
      <c r="H20" s="97">
        <v>0.0</v>
      </c>
      <c r="I20" s="96">
        <v>7.0</v>
      </c>
      <c r="J20" s="96">
        <v>6.0</v>
      </c>
      <c r="K20" s="96">
        <v>6.0</v>
      </c>
      <c r="L20" s="98">
        <v>19.0</v>
      </c>
      <c r="M20" s="96">
        <v>3.0</v>
      </c>
      <c r="N20" s="34">
        <f t="shared" ref="N20:O20" si="24">C20+L20</f>
        <v>82</v>
      </c>
      <c r="O20" s="34">
        <f t="shared" si="24"/>
        <v>10</v>
      </c>
      <c r="P20" s="49" t="s">
        <v>58</v>
      </c>
      <c r="Q20" s="49" t="s">
        <v>58</v>
      </c>
      <c r="R20" s="49"/>
      <c r="S20" s="52">
        <f t="shared" si="4"/>
        <v>5</v>
      </c>
      <c r="T20" s="52">
        <f t="shared" si="5"/>
        <v>0</v>
      </c>
      <c r="U20" s="52"/>
      <c r="V20" s="52">
        <f t="shared" si="6"/>
        <v>1</v>
      </c>
      <c r="W20" s="52">
        <f t="shared" si="7"/>
        <v>1</v>
      </c>
      <c r="X20" s="32">
        <f t="shared" si="11"/>
        <v>16</v>
      </c>
      <c r="Z20" s="16" t="str">
        <f t="shared" si="8"/>
        <v/>
      </c>
    </row>
    <row r="21">
      <c r="A21" s="32">
        <f t="shared" si="9"/>
        <v>17</v>
      </c>
      <c r="B21" s="33" t="s">
        <v>60</v>
      </c>
      <c r="C21" s="34">
        <v>63.0</v>
      </c>
      <c r="D21" s="34">
        <v>7.0</v>
      </c>
      <c r="E21" s="35">
        <f t="shared" si="2"/>
        <v>10.5</v>
      </c>
      <c r="F21" s="95">
        <v>1.0</v>
      </c>
      <c r="G21" s="96">
        <v>3.0</v>
      </c>
      <c r="H21" s="97">
        <v>0.0</v>
      </c>
      <c r="I21" s="96">
        <v>5.0</v>
      </c>
      <c r="J21" s="96">
        <v>4.0</v>
      </c>
      <c r="K21" s="96">
        <v>6.0</v>
      </c>
      <c r="L21" s="98">
        <v>15.0</v>
      </c>
      <c r="M21" s="96">
        <v>1.0</v>
      </c>
      <c r="N21" s="34">
        <f t="shared" ref="N21:O21" si="25">C21+L21</f>
        <v>78</v>
      </c>
      <c r="O21" s="34">
        <f t="shared" si="25"/>
        <v>8</v>
      </c>
      <c r="P21" s="49" t="s">
        <v>58</v>
      </c>
      <c r="Q21" s="49" t="s">
        <v>58</v>
      </c>
      <c r="R21" s="49"/>
      <c r="S21" s="52">
        <f t="shared" si="4"/>
        <v>6</v>
      </c>
      <c r="T21" s="52">
        <f t="shared" si="5"/>
        <v>0</v>
      </c>
      <c r="U21" s="52"/>
      <c r="V21" s="52">
        <f t="shared" si="6"/>
        <v>0</v>
      </c>
      <c r="W21" s="52">
        <f t="shared" si="7"/>
        <v>1</v>
      </c>
      <c r="X21" s="32">
        <f t="shared" si="11"/>
        <v>17</v>
      </c>
      <c r="Z21" s="16" t="str">
        <f t="shared" si="8"/>
        <v/>
      </c>
    </row>
    <row r="22">
      <c r="A22" s="32">
        <f t="shared" si="9"/>
        <v>18</v>
      </c>
      <c r="B22" s="33" t="s">
        <v>137</v>
      </c>
      <c r="C22" s="34">
        <v>63.0</v>
      </c>
      <c r="D22" s="34">
        <v>6.0</v>
      </c>
      <c r="E22" s="35">
        <f t="shared" si="2"/>
        <v>10.5</v>
      </c>
      <c r="F22" s="95">
        <v>1.0</v>
      </c>
      <c r="G22" s="96">
        <v>3.0</v>
      </c>
      <c r="H22" s="97">
        <v>0.0</v>
      </c>
      <c r="I22" s="96">
        <v>7.0</v>
      </c>
      <c r="J22" s="96">
        <v>4.0</v>
      </c>
      <c r="K22" s="96">
        <v>1.0</v>
      </c>
      <c r="L22" s="98">
        <v>12.0</v>
      </c>
      <c r="M22" s="96">
        <v>1.0</v>
      </c>
      <c r="N22" s="34">
        <f t="shared" ref="N22:O22" si="26">C22+L22</f>
        <v>75</v>
      </c>
      <c r="O22" s="34">
        <f t="shared" si="26"/>
        <v>7</v>
      </c>
      <c r="P22" s="49" t="s">
        <v>58</v>
      </c>
      <c r="Q22" s="49" t="s">
        <v>58</v>
      </c>
      <c r="R22" s="49"/>
      <c r="S22" s="52">
        <f t="shared" si="4"/>
        <v>6</v>
      </c>
      <c r="T22" s="52">
        <f t="shared" si="5"/>
        <v>0</v>
      </c>
      <c r="U22" s="52"/>
      <c r="V22" s="52">
        <f t="shared" si="6"/>
        <v>0</v>
      </c>
      <c r="W22" s="52">
        <f t="shared" si="7"/>
        <v>12</v>
      </c>
      <c r="X22" s="32">
        <f t="shared" si="11"/>
        <v>18</v>
      </c>
      <c r="Z22" s="16" t="str">
        <f t="shared" si="8"/>
        <v/>
      </c>
    </row>
    <row r="23">
      <c r="A23" s="32">
        <f t="shared" si="9"/>
        <v>19</v>
      </c>
      <c r="B23" s="33" t="s">
        <v>100</v>
      </c>
      <c r="C23" s="34">
        <v>63.0</v>
      </c>
      <c r="D23" s="34">
        <v>6.0</v>
      </c>
      <c r="E23" s="35">
        <f t="shared" si="2"/>
        <v>12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7">C23+L23</f>
        <v>72</v>
      </c>
      <c r="O23" s="34">
        <f t="shared" si="27"/>
        <v>6</v>
      </c>
      <c r="P23" s="49" t="s">
        <v>58</v>
      </c>
      <c r="Q23" s="49" t="s">
        <v>58</v>
      </c>
      <c r="R23" s="49"/>
      <c r="S23" s="52">
        <f t="shared" si="4"/>
        <v>3</v>
      </c>
      <c r="T23" s="52">
        <f t="shared" si="5"/>
        <v>0</v>
      </c>
      <c r="U23" s="52"/>
      <c r="V23" s="52">
        <f t="shared" si="6"/>
        <v>3</v>
      </c>
      <c r="W23" s="52">
        <f t="shared" si="7"/>
        <v>-8</v>
      </c>
      <c r="X23" s="32">
        <f t="shared" si="11"/>
        <v>19</v>
      </c>
      <c r="Z23" s="16" t="str">
        <f t="shared" si="8"/>
        <v/>
      </c>
    </row>
    <row r="24">
      <c r="A24" s="32">
        <f t="shared" si="9"/>
        <v>20</v>
      </c>
      <c r="B24" s="33" t="s">
        <v>105</v>
      </c>
      <c r="C24" s="34">
        <v>63.0</v>
      </c>
      <c r="D24" s="34">
        <v>6.0</v>
      </c>
      <c r="E24" s="35">
        <f t="shared" si="2"/>
        <v>12</v>
      </c>
      <c r="F24" s="95">
        <v>2.0</v>
      </c>
      <c r="G24" s="96">
        <v>4.0</v>
      </c>
      <c r="H24" s="97">
        <v>0.0</v>
      </c>
      <c r="I24" s="96">
        <v>6.0</v>
      </c>
      <c r="J24" s="96">
        <v>1.0</v>
      </c>
      <c r="K24" s="96">
        <v>0.0</v>
      </c>
      <c r="L24" s="98">
        <v>7.0</v>
      </c>
      <c r="M24" s="96">
        <v>0.0</v>
      </c>
      <c r="N24" s="34">
        <f t="shared" ref="N24:O24" si="28">C24+L24</f>
        <v>70</v>
      </c>
      <c r="O24" s="34">
        <f t="shared" si="28"/>
        <v>6</v>
      </c>
      <c r="P24" s="49" t="s">
        <v>58</v>
      </c>
      <c r="Q24" s="49" t="s">
        <v>58</v>
      </c>
      <c r="R24" s="49"/>
      <c r="S24" s="52">
        <f t="shared" si="4"/>
        <v>3</v>
      </c>
      <c r="T24" s="52">
        <f t="shared" si="5"/>
        <v>0</v>
      </c>
      <c r="U24" s="52"/>
      <c r="V24" s="52">
        <f t="shared" si="6"/>
        <v>3</v>
      </c>
      <c r="W24" s="52">
        <f t="shared" si="7"/>
        <v>-8</v>
      </c>
      <c r="X24" s="32">
        <f t="shared" si="11"/>
        <v>20</v>
      </c>
      <c r="Z24" s="16" t="str">
        <f t="shared" si="8"/>
        <v/>
      </c>
    </row>
    <row r="25">
      <c r="A25" s="32">
        <f t="shared" si="9"/>
        <v>21</v>
      </c>
      <c r="B25" s="33" t="s">
        <v>138</v>
      </c>
      <c r="C25" s="34">
        <v>63.0</v>
      </c>
      <c r="D25" s="34">
        <v>5.0</v>
      </c>
      <c r="E25" s="35">
        <f t="shared" si="2"/>
        <v>11.25</v>
      </c>
      <c r="F25" s="95">
        <v>1.0</v>
      </c>
      <c r="G25" s="96">
        <v>4.0</v>
      </c>
      <c r="H25" s="97">
        <v>0.0</v>
      </c>
      <c r="I25" s="96">
        <v>7.0</v>
      </c>
      <c r="J25" s="96">
        <v>1.0</v>
      </c>
      <c r="K25" s="96">
        <v>6.0</v>
      </c>
      <c r="L25" s="98">
        <v>14.0</v>
      </c>
      <c r="M25" s="96">
        <v>2.0</v>
      </c>
      <c r="N25" s="34">
        <f t="shared" ref="N25:O25" si="29">C25+L25</f>
        <v>77</v>
      </c>
      <c r="O25" s="34">
        <f t="shared" si="29"/>
        <v>7</v>
      </c>
      <c r="P25" s="49" t="s">
        <v>58</v>
      </c>
      <c r="Q25" s="49" t="s">
        <v>58</v>
      </c>
      <c r="R25" s="49"/>
      <c r="S25" s="52">
        <f t="shared" si="4"/>
        <v>4</v>
      </c>
      <c r="T25" s="52">
        <f t="shared" si="5"/>
        <v>0</v>
      </c>
      <c r="U25" s="52"/>
      <c r="V25" s="52">
        <f t="shared" si="6"/>
        <v>2</v>
      </c>
      <c r="W25" s="52">
        <f t="shared" si="7"/>
        <v>-8</v>
      </c>
      <c r="X25" s="32">
        <f t="shared" si="11"/>
        <v>21</v>
      </c>
      <c r="Z25" s="16" t="str">
        <f t="shared" si="8"/>
        <v/>
      </c>
    </row>
    <row r="26">
      <c r="A26" s="32">
        <f t="shared" si="9"/>
        <v>22</v>
      </c>
      <c r="B26" s="33" t="s">
        <v>45</v>
      </c>
      <c r="C26" s="34">
        <v>62.0</v>
      </c>
      <c r="D26" s="34">
        <v>5.0</v>
      </c>
      <c r="E26" s="35">
        <f t="shared" si="2"/>
        <v>11.66666667</v>
      </c>
      <c r="F26" s="95">
        <v>2.0</v>
      </c>
      <c r="G26" s="96">
        <v>4.0</v>
      </c>
      <c r="H26" s="97">
        <v>0.0</v>
      </c>
      <c r="I26" s="96">
        <v>7.0</v>
      </c>
      <c r="J26" s="96">
        <v>6.0</v>
      </c>
      <c r="K26" s="96">
        <v>0.0</v>
      </c>
      <c r="L26" s="98">
        <v>13.0</v>
      </c>
      <c r="M26" s="96">
        <v>2.0</v>
      </c>
      <c r="N26" s="34">
        <f t="shared" ref="N26:O26" si="30">C26+L26</f>
        <v>75</v>
      </c>
      <c r="O26" s="34">
        <f t="shared" si="30"/>
        <v>7</v>
      </c>
      <c r="P26" s="49" t="s">
        <v>58</v>
      </c>
      <c r="Q26" s="49" t="s">
        <v>58</v>
      </c>
      <c r="R26" s="49"/>
      <c r="S26" s="52">
        <f t="shared" si="4"/>
        <v>3</v>
      </c>
      <c r="T26" s="52">
        <f t="shared" si="5"/>
        <v>0</v>
      </c>
      <c r="U26" s="52"/>
      <c r="V26" s="52">
        <f t="shared" si="6"/>
        <v>3</v>
      </c>
      <c r="W26" s="52">
        <f t="shared" si="7"/>
        <v>15</v>
      </c>
      <c r="X26" s="32">
        <f t="shared" si="11"/>
        <v>22</v>
      </c>
      <c r="Z26" s="16" t="str">
        <f t="shared" si="8"/>
        <v/>
      </c>
    </row>
    <row r="27">
      <c r="A27" s="32">
        <f t="shared" si="9"/>
        <v>23</v>
      </c>
      <c r="B27" s="33" t="s">
        <v>114</v>
      </c>
      <c r="C27" s="34">
        <v>62.0</v>
      </c>
      <c r="D27" s="34">
        <v>4.0</v>
      </c>
      <c r="E27" s="35">
        <f t="shared" si="2"/>
        <v>10.6</v>
      </c>
      <c r="F27" s="95">
        <v>1.0</v>
      </c>
      <c r="G27" s="96">
        <v>4.0</v>
      </c>
      <c r="H27" s="97">
        <v>0.0</v>
      </c>
      <c r="I27" s="96">
        <v>6.0</v>
      </c>
      <c r="J27" s="96">
        <v>6.0</v>
      </c>
      <c r="K27" s="96">
        <v>6.0</v>
      </c>
      <c r="L27" s="98">
        <v>18.0</v>
      </c>
      <c r="M27" s="96">
        <v>2.0</v>
      </c>
      <c r="N27" s="34">
        <f t="shared" ref="N27:O27" si="31">C27+L27</f>
        <v>80</v>
      </c>
      <c r="O27" s="34">
        <f t="shared" si="31"/>
        <v>6</v>
      </c>
      <c r="P27" s="49" t="s">
        <v>58</v>
      </c>
      <c r="Q27" s="49" t="s">
        <v>58</v>
      </c>
      <c r="R27" s="49"/>
      <c r="S27" s="52">
        <f t="shared" si="4"/>
        <v>5</v>
      </c>
      <c r="T27" s="52">
        <f t="shared" si="5"/>
        <v>0</v>
      </c>
      <c r="U27" s="52"/>
      <c r="V27" s="52">
        <f t="shared" si="6"/>
        <v>1</v>
      </c>
      <c r="W27" s="52">
        <f t="shared" si="7"/>
        <v>9</v>
      </c>
      <c r="X27" s="32">
        <f t="shared" si="11"/>
        <v>23</v>
      </c>
      <c r="Z27" s="16" t="str">
        <f t="shared" si="8"/>
        <v/>
      </c>
    </row>
    <row r="28">
      <c r="A28" s="32">
        <f t="shared" si="9"/>
        <v>24</v>
      </c>
      <c r="B28" s="33" t="s">
        <v>106</v>
      </c>
      <c r="C28" s="34">
        <v>61.0</v>
      </c>
      <c r="D28" s="34">
        <v>4.0</v>
      </c>
      <c r="E28" s="35">
        <f t="shared" si="2"/>
        <v>10</v>
      </c>
      <c r="F28" s="95">
        <v>1.0</v>
      </c>
      <c r="G28" s="96">
        <v>5.0</v>
      </c>
      <c r="H28" s="97">
        <v>0.0</v>
      </c>
      <c r="I28" s="96">
        <v>7.0</v>
      </c>
      <c r="J28" s="96">
        <v>1.0</v>
      </c>
      <c r="K28" s="96">
        <v>6.0</v>
      </c>
      <c r="L28" s="98">
        <v>14.0</v>
      </c>
      <c r="M28" s="96">
        <v>2.0</v>
      </c>
      <c r="N28" s="34">
        <f t="shared" ref="N28:O28" si="32">C28+L28</f>
        <v>75</v>
      </c>
      <c r="O28" s="34">
        <f t="shared" si="32"/>
        <v>6</v>
      </c>
      <c r="P28" s="49" t="s">
        <v>58</v>
      </c>
      <c r="Q28" s="49" t="s">
        <v>58</v>
      </c>
      <c r="R28" s="49"/>
      <c r="S28" s="52">
        <f t="shared" si="4"/>
        <v>3</v>
      </c>
      <c r="T28" s="52">
        <f t="shared" si="5"/>
        <v>1</v>
      </c>
      <c r="U28" s="52"/>
      <c r="V28" s="52">
        <f t="shared" si="6"/>
        <v>2</v>
      </c>
      <c r="W28" s="52">
        <f t="shared" si="7"/>
        <v>-5</v>
      </c>
      <c r="X28" s="32">
        <f t="shared" si="11"/>
        <v>24</v>
      </c>
      <c r="Z28" s="16" t="str">
        <f t="shared" si="8"/>
        <v/>
      </c>
    </row>
    <row r="29">
      <c r="A29" s="32">
        <f t="shared" si="9"/>
        <v>25</v>
      </c>
      <c r="B29" s="33" t="s">
        <v>103</v>
      </c>
      <c r="C29" s="34">
        <v>60.0</v>
      </c>
      <c r="D29" s="34">
        <v>5.0</v>
      </c>
      <c r="E29" s="35">
        <f t="shared" si="2"/>
        <v>10.2</v>
      </c>
      <c r="F29" s="95">
        <v>2.0</v>
      </c>
      <c r="G29" s="96">
        <v>5.0</v>
      </c>
      <c r="H29" s="97">
        <v>0.0</v>
      </c>
      <c r="I29" s="96">
        <v>6.0</v>
      </c>
      <c r="J29" s="96">
        <v>1.0</v>
      </c>
      <c r="K29" s="96">
        <v>3.0</v>
      </c>
      <c r="L29" s="98">
        <v>10.0</v>
      </c>
      <c r="M29" s="96">
        <v>0.0</v>
      </c>
      <c r="N29" s="34">
        <f t="shared" ref="N29:O29" si="33">C29+L29</f>
        <v>70</v>
      </c>
      <c r="O29" s="34">
        <f t="shared" si="33"/>
        <v>5</v>
      </c>
      <c r="P29" s="49" t="s">
        <v>58</v>
      </c>
      <c r="Q29" s="49" t="s">
        <v>58</v>
      </c>
      <c r="R29" s="49"/>
      <c r="S29" s="52">
        <f t="shared" si="4"/>
        <v>5</v>
      </c>
      <c r="T29" s="52">
        <f t="shared" si="5"/>
        <v>0</v>
      </c>
      <c r="U29" s="52"/>
      <c r="V29" s="52">
        <f t="shared" si="6"/>
        <v>1</v>
      </c>
      <c r="W29" s="52">
        <f t="shared" si="7"/>
        <v>-3</v>
      </c>
      <c r="X29" s="32">
        <f t="shared" si="11"/>
        <v>25</v>
      </c>
      <c r="Z29" s="16" t="str">
        <f t="shared" si="8"/>
        <v/>
      </c>
    </row>
    <row r="30">
      <c r="A30" s="32">
        <f t="shared" si="9"/>
        <v>26</v>
      </c>
      <c r="B30" s="33" t="s">
        <v>132</v>
      </c>
      <c r="C30" s="34">
        <v>60.0</v>
      </c>
      <c r="D30" s="34">
        <v>5.0</v>
      </c>
      <c r="E30" s="35">
        <f t="shared" si="2"/>
        <v>10.5</v>
      </c>
      <c r="F30" s="95">
        <v>1.0</v>
      </c>
      <c r="G30" s="96">
        <v>5.0</v>
      </c>
      <c r="H30" s="97">
        <v>0.0</v>
      </c>
      <c r="I30" s="96">
        <v>7.0</v>
      </c>
      <c r="J30" s="96">
        <v>6.0</v>
      </c>
      <c r="K30" s="96">
        <v>3.0</v>
      </c>
      <c r="L30" s="98">
        <v>16.0</v>
      </c>
      <c r="M30" s="96">
        <v>2.0</v>
      </c>
      <c r="N30" s="34">
        <f t="shared" ref="N30:O30" si="34">C30+L30</f>
        <v>76</v>
      </c>
      <c r="O30" s="34">
        <f t="shared" si="34"/>
        <v>7</v>
      </c>
      <c r="P30" s="49" t="s">
        <v>58</v>
      </c>
      <c r="Q30" s="49" t="s">
        <v>58</v>
      </c>
      <c r="R30" s="49"/>
      <c r="S30" s="52">
        <f t="shared" si="4"/>
        <v>4</v>
      </c>
      <c r="T30" s="52">
        <f t="shared" si="5"/>
        <v>0</v>
      </c>
      <c r="U30" s="52"/>
      <c r="V30" s="52">
        <f t="shared" si="6"/>
        <v>2</v>
      </c>
      <c r="W30" s="52">
        <f t="shared" si="7"/>
        <v>-6</v>
      </c>
      <c r="X30" s="32">
        <f t="shared" si="11"/>
        <v>26</v>
      </c>
      <c r="Z30" s="16" t="str">
        <f t="shared" si="8"/>
        <v/>
      </c>
    </row>
    <row r="31">
      <c r="A31" s="32">
        <f t="shared" si="9"/>
        <v>27</v>
      </c>
      <c r="B31" s="33" t="s">
        <v>128</v>
      </c>
      <c r="C31" s="34">
        <v>60.0</v>
      </c>
      <c r="D31" s="34">
        <v>5.0</v>
      </c>
      <c r="E31" s="35">
        <f t="shared" si="2"/>
        <v>10.5</v>
      </c>
      <c r="F31" s="95">
        <v>1.0</v>
      </c>
      <c r="G31" s="96">
        <v>5.0</v>
      </c>
      <c r="H31" s="97">
        <v>0.0</v>
      </c>
      <c r="I31" s="96">
        <v>6.0</v>
      </c>
      <c r="J31" s="96">
        <v>6.0</v>
      </c>
      <c r="K31" s="96">
        <v>6.0</v>
      </c>
      <c r="L31" s="98">
        <v>18.0</v>
      </c>
      <c r="M31" s="96">
        <v>2.0</v>
      </c>
      <c r="N31" s="34">
        <f t="shared" ref="N31:O31" si="35">C31+L31</f>
        <v>78</v>
      </c>
      <c r="O31" s="34">
        <f t="shared" si="35"/>
        <v>7</v>
      </c>
      <c r="P31" s="49" t="s">
        <v>58</v>
      </c>
      <c r="Q31" s="49" t="s">
        <v>58</v>
      </c>
      <c r="R31" s="49"/>
      <c r="S31" s="52">
        <f t="shared" si="4"/>
        <v>4</v>
      </c>
      <c r="T31" s="52">
        <f t="shared" si="5"/>
        <v>0</v>
      </c>
      <c r="U31" s="52"/>
      <c r="V31" s="52">
        <f t="shared" si="6"/>
        <v>2</v>
      </c>
      <c r="W31" s="52">
        <f t="shared" si="7"/>
        <v>-6</v>
      </c>
      <c r="X31" s="32">
        <f t="shared" si="11"/>
        <v>27</v>
      </c>
      <c r="Z31" s="16" t="str">
        <f t="shared" si="8"/>
        <v/>
      </c>
    </row>
    <row r="32">
      <c r="A32" s="32">
        <f t="shared" si="9"/>
        <v>28</v>
      </c>
      <c r="B32" s="33" t="s">
        <v>109</v>
      </c>
      <c r="C32" s="34">
        <v>60.0</v>
      </c>
      <c r="D32" s="34">
        <v>4.0</v>
      </c>
      <c r="E32" s="35">
        <f t="shared" si="2"/>
        <v>10.5</v>
      </c>
      <c r="F32" s="95">
        <v>1.0</v>
      </c>
      <c r="G32" s="96">
        <v>6.0</v>
      </c>
      <c r="H32" s="97">
        <v>0.0</v>
      </c>
      <c r="I32" s="96">
        <v>2.0</v>
      </c>
      <c r="J32" s="96">
        <v>4.0</v>
      </c>
      <c r="K32" s="96">
        <v>6.0</v>
      </c>
      <c r="L32" s="98">
        <v>12.0</v>
      </c>
      <c r="M32" s="96">
        <v>1.0</v>
      </c>
      <c r="N32" s="34">
        <f t="shared" ref="N32:O32" si="36">C32+L32</f>
        <v>72</v>
      </c>
      <c r="O32" s="34">
        <f t="shared" si="36"/>
        <v>5</v>
      </c>
      <c r="P32" s="49" t="s">
        <v>58</v>
      </c>
      <c r="Q32" s="49" t="s">
        <v>58</v>
      </c>
      <c r="R32" s="49"/>
      <c r="S32" s="52">
        <f t="shared" si="4"/>
        <v>4</v>
      </c>
      <c r="T32" s="52">
        <f t="shared" si="5"/>
        <v>0</v>
      </c>
      <c r="U32" s="52"/>
      <c r="V32" s="52">
        <f t="shared" si="6"/>
        <v>2</v>
      </c>
      <c r="W32" s="52">
        <f t="shared" si="7"/>
        <v>-2</v>
      </c>
      <c r="X32" s="32">
        <f t="shared" si="11"/>
        <v>28</v>
      </c>
      <c r="Z32" s="16" t="str">
        <f t="shared" si="8"/>
        <v/>
      </c>
    </row>
    <row r="33">
      <c r="A33" s="32">
        <f t="shared" si="9"/>
        <v>29</v>
      </c>
      <c r="B33" s="33" t="s">
        <v>144</v>
      </c>
      <c r="C33" s="34">
        <v>60.0</v>
      </c>
      <c r="D33" s="34">
        <v>4.0</v>
      </c>
      <c r="E33" s="35">
        <f t="shared" si="2"/>
        <v>9.666666667</v>
      </c>
      <c r="F33" s="95">
        <v>1.0</v>
      </c>
      <c r="G33" s="96">
        <v>6.0</v>
      </c>
      <c r="H33" s="97">
        <v>0.0</v>
      </c>
      <c r="I33" s="96">
        <v>2.0</v>
      </c>
      <c r="J33" s="96">
        <v>6.0</v>
      </c>
      <c r="K33" s="96">
        <v>1.0</v>
      </c>
      <c r="L33" s="98">
        <v>9.0</v>
      </c>
      <c r="M33" s="96">
        <v>1.0</v>
      </c>
      <c r="N33" s="34">
        <f t="shared" ref="N33:O33" si="37">C33+L33</f>
        <v>69</v>
      </c>
      <c r="O33" s="34">
        <f t="shared" si="37"/>
        <v>5</v>
      </c>
      <c r="P33" s="49" t="s">
        <v>58</v>
      </c>
      <c r="Q33" s="49" t="s">
        <v>58</v>
      </c>
      <c r="R33" s="49"/>
      <c r="S33" s="52">
        <f t="shared" si="4"/>
        <v>3</v>
      </c>
      <c r="T33" s="52">
        <f t="shared" si="5"/>
        <v>1</v>
      </c>
      <c r="U33" s="52"/>
      <c r="V33" s="52">
        <f t="shared" si="6"/>
        <v>2</v>
      </c>
      <c r="W33" s="52">
        <f t="shared" si="7"/>
        <v>-2</v>
      </c>
      <c r="X33" s="32">
        <f t="shared" si="11"/>
        <v>29</v>
      </c>
      <c r="Z33" s="16" t="str">
        <f t="shared" si="8"/>
        <v/>
      </c>
    </row>
    <row r="34">
      <c r="A34" s="32">
        <f t="shared" si="9"/>
        <v>30</v>
      </c>
      <c r="B34" s="33" t="s">
        <v>72</v>
      </c>
      <c r="C34" s="34">
        <v>59.0</v>
      </c>
      <c r="D34" s="34">
        <v>6.0</v>
      </c>
      <c r="E34" s="35">
        <f t="shared" si="2"/>
        <v>10</v>
      </c>
      <c r="F34" s="95">
        <v>2.0</v>
      </c>
      <c r="G34" s="96">
        <v>6.0</v>
      </c>
      <c r="H34" s="97">
        <v>0.0</v>
      </c>
      <c r="I34" s="96">
        <v>6.0</v>
      </c>
      <c r="J34" s="96">
        <v>4.0</v>
      </c>
      <c r="K34" s="96">
        <v>1.0</v>
      </c>
      <c r="L34" s="98">
        <v>11.0</v>
      </c>
      <c r="M34" s="96">
        <v>1.0</v>
      </c>
      <c r="N34" s="34">
        <f t="shared" ref="N34:O34" si="38">C34+L34</f>
        <v>70</v>
      </c>
      <c r="O34" s="34">
        <f t="shared" si="38"/>
        <v>7</v>
      </c>
      <c r="P34" s="49" t="s">
        <v>58</v>
      </c>
      <c r="Q34" s="49" t="s">
        <v>58</v>
      </c>
      <c r="R34" s="49"/>
      <c r="S34" s="52">
        <f t="shared" si="4"/>
        <v>5</v>
      </c>
      <c r="T34" s="52">
        <f t="shared" si="5"/>
        <v>0</v>
      </c>
      <c r="U34" s="52"/>
      <c r="V34" s="52">
        <f t="shared" si="6"/>
        <v>1</v>
      </c>
      <c r="W34" s="52">
        <f t="shared" si="7"/>
        <v>9</v>
      </c>
      <c r="X34" s="32">
        <f t="shared" si="11"/>
        <v>30</v>
      </c>
      <c r="Z34" s="16" t="str">
        <f t="shared" si="8"/>
        <v/>
      </c>
    </row>
    <row r="35">
      <c r="A35" s="32">
        <f t="shared" si="9"/>
        <v>31</v>
      </c>
      <c r="B35" s="33" t="s">
        <v>65</v>
      </c>
      <c r="C35" s="34">
        <v>59.0</v>
      </c>
      <c r="D35" s="34">
        <v>5.0</v>
      </c>
      <c r="E35" s="35">
        <f t="shared" si="2"/>
        <v>10.66666667</v>
      </c>
      <c r="F35" s="95">
        <v>1.0</v>
      </c>
      <c r="G35" s="96">
        <v>6.0</v>
      </c>
      <c r="H35" s="97">
        <v>0.0</v>
      </c>
      <c r="I35" s="96">
        <v>6.0</v>
      </c>
      <c r="J35" s="96">
        <v>6.0</v>
      </c>
      <c r="K35" s="96">
        <v>6.0</v>
      </c>
      <c r="L35" s="98">
        <v>18.0</v>
      </c>
      <c r="M35" s="96">
        <v>3.0</v>
      </c>
      <c r="N35" s="34">
        <f t="shared" ref="N35:O35" si="39">C35+L35</f>
        <v>77</v>
      </c>
      <c r="O35" s="34">
        <f t="shared" si="39"/>
        <v>8</v>
      </c>
      <c r="P35" s="49" t="s">
        <v>58</v>
      </c>
      <c r="Q35" s="49" t="s">
        <v>58</v>
      </c>
      <c r="R35" s="49"/>
      <c r="S35" s="52">
        <f t="shared" si="4"/>
        <v>3</v>
      </c>
      <c r="T35" s="52">
        <f t="shared" si="5"/>
        <v>0</v>
      </c>
      <c r="U35" s="52"/>
      <c r="V35" s="52">
        <f t="shared" si="6"/>
        <v>3</v>
      </c>
      <c r="W35" s="52">
        <f t="shared" si="7"/>
        <v>14</v>
      </c>
      <c r="X35" s="32">
        <f t="shared" si="11"/>
        <v>31</v>
      </c>
      <c r="Z35" s="16" t="str">
        <f t="shared" si="8"/>
        <v/>
      </c>
    </row>
    <row r="36">
      <c r="A36" s="32">
        <f t="shared" si="9"/>
        <v>32</v>
      </c>
      <c r="B36" s="33" t="s">
        <v>97</v>
      </c>
      <c r="C36" s="34">
        <v>59.0</v>
      </c>
      <c r="D36" s="34">
        <v>5.0</v>
      </c>
      <c r="E36" s="35">
        <f t="shared" si="2"/>
        <v>10.25</v>
      </c>
      <c r="F36" s="95">
        <v>1.0</v>
      </c>
      <c r="G36" s="96">
        <v>10.0</v>
      </c>
      <c r="H36" s="97">
        <v>0.0</v>
      </c>
      <c r="I36" s="96">
        <v>6.0</v>
      </c>
      <c r="J36" s="96">
        <v>7.0</v>
      </c>
      <c r="K36" s="96">
        <v>6.0</v>
      </c>
      <c r="L36" s="98">
        <v>19.0</v>
      </c>
      <c r="M36" s="96">
        <v>3.0</v>
      </c>
      <c r="N36" s="34">
        <f t="shared" ref="N36:O36" si="40">C36+L36</f>
        <v>78</v>
      </c>
      <c r="O36" s="34">
        <f t="shared" si="40"/>
        <v>8</v>
      </c>
      <c r="P36" s="49" t="s">
        <v>58</v>
      </c>
      <c r="Q36" s="49" t="s">
        <v>58</v>
      </c>
      <c r="R36" s="49"/>
      <c r="S36" s="52">
        <f t="shared" si="4"/>
        <v>4</v>
      </c>
      <c r="T36" s="52">
        <f t="shared" si="5"/>
        <v>0</v>
      </c>
      <c r="U36" s="52"/>
      <c r="V36" s="52">
        <f t="shared" si="6"/>
        <v>2</v>
      </c>
      <c r="W36" s="52">
        <f t="shared" si="7"/>
        <v>-9</v>
      </c>
      <c r="X36" s="32">
        <f t="shared" si="11"/>
        <v>32</v>
      </c>
      <c r="Z36" s="16" t="str">
        <f t="shared" si="8"/>
        <v/>
      </c>
    </row>
    <row r="37">
      <c r="A37" s="32">
        <f t="shared" si="9"/>
        <v>33</v>
      </c>
      <c r="B37" s="33" t="s">
        <v>108</v>
      </c>
      <c r="C37" s="34">
        <v>59.0</v>
      </c>
      <c r="D37" s="34">
        <v>3.0</v>
      </c>
      <c r="E37" s="35">
        <f t="shared" si="2"/>
        <v>10</v>
      </c>
      <c r="F37" s="95">
        <v>1.0</v>
      </c>
      <c r="G37" s="96">
        <v>10.0</v>
      </c>
      <c r="H37" s="97">
        <v>0.0</v>
      </c>
      <c r="I37" s="96">
        <v>2.0</v>
      </c>
      <c r="J37" s="96">
        <v>6.0</v>
      </c>
      <c r="K37" s="96">
        <v>6.0</v>
      </c>
      <c r="L37" s="98">
        <v>14.0</v>
      </c>
      <c r="M37" s="96">
        <v>1.0</v>
      </c>
      <c r="N37" s="34">
        <f t="shared" ref="N37:O37" si="41">C37+L37</f>
        <v>73</v>
      </c>
      <c r="O37" s="34">
        <f t="shared" si="41"/>
        <v>4</v>
      </c>
      <c r="P37" s="49" t="s">
        <v>58</v>
      </c>
      <c r="Q37" s="49" t="s">
        <v>58</v>
      </c>
      <c r="R37" s="49"/>
      <c r="S37" s="52">
        <f t="shared" si="4"/>
        <v>5</v>
      </c>
      <c r="T37" s="52">
        <f t="shared" si="5"/>
        <v>0</v>
      </c>
      <c r="U37" s="52"/>
      <c r="V37" s="52">
        <f t="shared" si="6"/>
        <v>1</v>
      </c>
      <c r="W37" s="52">
        <f t="shared" si="7"/>
        <v>-5</v>
      </c>
      <c r="X37" s="32">
        <f t="shared" si="11"/>
        <v>33</v>
      </c>
      <c r="Z37" s="16" t="str">
        <f t="shared" si="8"/>
        <v/>
      </c>
    </row>
    <row r="38">
      <c r="A38" s="32">
        <f t="shared" si="9"/>
        <v>34</v>
      </c>
      <c r="B38" s="33" t="s">
        <v>129</v>
      </c>
      <c r="C38" s="34">
        <v>58.0</v>
      </c>
      <c r="D38" s="34">
        <v>6.0</v>
      </c>
      <c r="E38" s="35">
        <f t="shared" si="2"/>
        <v>9.666666667</v>
      </c>
      <c r="F38" s="95">
        <v>1.0</v>
      </c>
      <c r="G38" s="96">
        <v>10.0</v>
      </c>
      <c r="H38" s="97">
        <v>0.0</v>
      </c>
      <c r="I38" s="96">
        <v>2.0</v>
      </c>
      <c r="J38" s="96">
        <v>7.0</v>
      </c>
      <c r="K38" s="96">
        <v>3.0</v>
      </c>
      <c r="L38" s="98">
        <v>12.0</v>
      </c>
      <c r="M38" s="96">
        <v>1.0</v>
      </c>
      <c r="N38" s="34">
        <f t="shared" ref="N38:O38" si="42">C38+L38</f>
        <v>70</v>
      </c>
      <c r="O38" s="34">
        <f t="shared" si="42"/>
        <v>7</v>
      </c>
      <c r="P38" s="49" t="s">
        <v>58</v>
      </c>
      <c r="Q38" s="49" t="s">
        <v>58</v>
      </c>
      <c r="R38" s="49"/>
      <c r="S38" s="52">
        <f t="shared" si="4"/>
        <v>6</v>
      </c>
      <c r="T38" s="52">
        <f t="shared" si="5"/>
        <v>0</v>
      </c>
      <c r="U38" s="52"/>
      <c r="V38" s="52">
        <f t="shared" si="6"/>
        <v>0</v>
      </c>
      <c r="W38" s="52">
        <f t="shared" si="7"/>
        <v>8</v>
      </c>
      <c r="X38" s="32">
        <f t="shared" si="11"/>
        <v>34</v>
      </c>
      <c r="Z38" s="16" t="str">
        <f t="shared" si="8"/>
        <v/>
      </c>
    </row>
    <row r="39">
      <c r="A39" s="32">
        <f t="shared" si="9"/>
        <v>35</v>
      </c>
      <c r="B39" s="33" t="s">
        <v>66</v>
      </c>
      <c r="C39" s="34">
        <v>57.0</v>
      </c>
      <c r="D39" s="34">
        <v>4.0</v>
      </c>
      <c r="E39" s="35">
        <f t="shared" si="2"/>
        <v>9.5</v>
      </c>
      <c r="F39" s="95">
        <v>1.0</v>
      </c>
      <c r="G39" s="96">
        <v>10.0</v>
      </c>
      <c r="H39" s="97">
        <v>0.0</v>
      </c>
      <c r="I39" s="96">
        <v>6.0</v>
      </c>
      <c r="J39" s="96">
        <v>6.0</v>
      </c>
      <c r="K39" s="96">
        <v>3.0</v>
      </c>
      <c r="L39" s="98">
        <v>15.0</v>
      </c>
      <c r="M39" s="96">
        <v>1.0</v>
      </c>
      <c r="N39" s="34">
        <f t="shared" ref="N39:O39" si="43">C39+L39</f>
        <v>72</v>
      </c>
      <c r="O39" s="34">
        <f t="shared" si="43"/>
        <v>5</v>
      </c>
      <c r="P39" s="49" t="s">
        <v>58</v>
      </c>
      <c r="Q39" s="49" t="s">
        <v>58</v>
      </c>
      <c r="R39" s="49"/>
      <c r="S39" s="52">
        <f t="shared" si="4"/>
        <v>6</v>
      </c>
      <c r="T39" s="52">
        <f t="shared" si="5"/>
        <v>0</v>
      </c>
      <c r="U39" s="52"/>
      <c r="V39" s="52">
        <f t="shared" si="6"/>
        <v>0</v>
      </c>
      <c r="W39" s="52">
        <f t="shared" si="7"/>
        <v>5</v>
      </c>
      <c r="X39" s="32">
        <f t="shared" si="11"/>
        <v>35</v>
      </c>
      <c r="Z39" s="16" t="str">
        <f t="shared" si="8"/>
        <v/>
      </c>
    </row>
    <row r="40">
      <c r="A40" s="32">
        <f t="shared" si="9"/>
        <v>36</v>
      </c>
      <c r="B40" s="33" t="s">
        <v>99</v>
      </c>
      <c r="C40" s="34">
        <v>57.0</v>
      </c>
      <c r="D40" s="34">
        <v>4.0</v>
      </c>
      <c r="E40" s="35">
        <f t="shared" si="2"/>
        <v>9.75</v>
      </c>
      <c r="F40" s="95">
        <v>1.0</v>
      </c>
      <c r="G40" s="96">
        <v>7.0</v>
      </c>
      <c r="H40" s="97">
        <v>0.0</v>
      </c>
      <c r="I40" s="96">
        <v>1.0</v>
      </c>
      <c r="J40" s="96">
        <v>7.0</v>
      </c>
      <c r="K40" s="96">
        <v>7.0</v>
      </c>
      <c r="L40" s="98">
        <v>15.0</v>
      </c>
      <c r="M40" s="96">
        <v>2.0</v>
      </c>
      <c r="N40" s="34">
        <f t="shared" ref="N40:O40" si="44">C40+L40</f>
        <v>72</v>
      </c>
      <c r="O40" s="34">
        <f t="shared" si="44"/>
        <v>6</v>
      </c>
      <c r="P40" s="49" t="s">
        <v>58</v>
      </c>
      <c r="Q40" s="49" t="s">
        <v>58</v>
      </c>
      <c r="R40" s="49"/>
      <c r="S40" s="52">
        <f t="shared" si="4"/>
        <v>4</v>
      </c>
      <c r="T40" s="52">
        <f t="shared" si="5"/>
        <v>0</v>
      </c>
      <c r="U40" s="52"/>
      <c r="V40" s="52">
        <f t="shared" si="6"/>
        <v>2</v>
      </c>
      <c r="W40" s="52">
        <f t="shared" si="7"/>
        <v>-11</v>
      </c>
      <c r="X40" s="32">
        <f t="shared" si="11"/>
        <v>36</v>
      </c>
      <c r="Z40" s="16" t="str">
        <f t="shared" si="8"/>
        <v/>
      </c>
    </row>
    <row r="41">
      <c r="A41" s="32">
        <f t="shared" si="9"/>
        <v>37</v>
      </c>
      <c r="B41" s="33" t="s">
        <v>136</v>
      </c>
      <c r="C41" s="34">
        <v>56.0</v>
      </c>
      <c r="D41" s="34">
        <v>4.0</v>
      </c>
      <c r="E41" s="35">
        <f t="shared" si="2"/>
        <v>9.333333333</v>
      </c>
      <c r="F41" s="95">
        <v>1.0</v>
      </c>
      <c r="G41" s="96">
        <v>7.0</v>
      </c>
      <c r="H41" s="97">
        <v>0.0</v>
      </c>
      <c r="I41" s="96">
        <v>6.0</v>
      </c>
      <c r="J41" s="96">
        <v>5.0</v>
      </c>
      <c r="K41" s="96">
        <v>7.0</v>
      </c>
      <c r="L41" s="98">
        <v>18.0</v>
      </c>
      <c r="M41" s="96">
        <v>2.0</v>
      </c>
      <c r="N41" s="34">
        <f t="shared" ref="N41:O41" si="45">C41+L41</f>
        <v>74</v>
      </c>
      <c r="O41" s="34">
        <f t="shared" si="45"/>
        <v>6</v>
      </c>
      <c r="P41" s="49" t="s">
        <v>58</v>
      </c>
      <c r="Q41" s="49" t="s">
        <v>58</v>
      </c>
      <c r="R41" s="49"/>
      <c r="S41" s="52">
        <f t="shared" si="4"/>
        <v>6</v>
      </c>
      <c r="T41" s="52">
        <f t="shared" si="5"/>
        <v>0</v>
      </c>
      <c r="U41" s="52"/>
      <c r="V41" s="52">
        <f t="shared" si="6"/>
        <v>0</v>
      </c>
      <c r="W41" s="52">
        <f t="shared" si="7"/>
        <v>-3</v>
      </c>
      <c r="X41" s="32">
        <f t="shared" si="11"/>
        <v>37</v>
      </c>
      <c r="Z41" s="16" t="str">
        <f t="shared" si="8"/>
        <v/>
      </c>
    </row>
    <row r="42">
      <c r="A42" s="32">
        <f t="shared" si="9"/>
        <v>38</v>
      </c>
      <c r="B42" s="33" t="s">
        <v>113</v>
      </c>
      <c r="C42" s="34">
        <v>55.0</v>
      </c>
      <c r="D42" s="34">
        <v>3.0</v>
      </c>
      <c r="E42" s="35">
        <f t="shared" si="2"/>
        <v>9.5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6">C42+L42</f>
        <v>64</v>
      </c>
      <c r="O42" s="34">
        <f t="shared" si="46"/>
        <v>3</v>
      </c>
      <c r="P42" s="49" t="s">
        <v>58</v>
      </c>
      <c r="Q42" s="49" t="s">
        <v>58</v>
      </c>
      <c r="R42" s="49"/>
      <c r="S42" s="52">
        <f t="shared" si="4"/>
        <v>2</v>
      </c>
      <c r="T42" s="52">
        <f t="shared" si="5"/>
        <v>0</v>
      </c>
      <c r="U42" s="52"/>
      <c r="V42" s="52">
        <f t="shared" si="6"/>
        <v>4</v>
      </c>
      <c r="W42" s="52">
        <f t="shared" si="7"/>
        <v>-7</v>
      </c>
      <c r="X42" s="32">
        <f t="shared" si="11"/>
        <v>38</v>
      </c>
      <c r="Z42" s="16" t="str">
        <f t="shared" si="8"/>
        <v/>
      </c>
    </row>
    <row r="43">
      <c r="A43" s="32">
        <f t="shared" si="9"/>
        <v>39</v>
      </c>
      <c r="B43" s="33" t="s">
        <v>96</v>
      </c>
      <c r="C43" s="34">
        <v>54.0</v>
      </c>
      <c r="D43" s="34">
        <v>4.0</v>
      </c>
      <c r="E43" s="35">
        <f t="shared" si="2"/>
        <v>9</v>
      </c>
      <c r="F43" s="95">
        <v>2.0</v>
      </c>
      <c r="G43" s="96">
        <v>7.0</v>
      </c>
      <c r="H43" s="97">
        <v>0.0</v>
      </c>
      <c r="I43" s="96">
        <v>6.0</v>
      </c>
      <c r="J43" s="96">
        <v>7.0</v>
      </c>
      <c r="K43" s="96">
        <v>5.0</v>
      </c>
      <c r="L43" s="98">
        <v>18.0</v>
      </c>
      <c r="M43" s="96">
        <v>2.0</v>
      </c>
      <c r="N43" s="34">
        <f t="shared" ref="N43:O43" si="47">C43+L43</f>
        <v>72</v>
      </c>
      <c r="O43" s="34">
        <f t="shared" si="47"/>
        <v>6</v>
      </c>
      <c r="P43" s="49" t="s">
        <v>58</v>
      </c>
      <c r="Q43" s="49" t="s">
        <v>58</v>
      </c>
      <c r="R43" s="49"/>
      <c r="S43" s="52">
        <f t="shared" si="4"/>
        <v>4</v>
      </c>
      <c r="T43" s="52">
        <f t="shared" si="5"/>
        <v>0</v>
      </c>
      <c r="U43" s="52"/>
      <c r="V43" s="52">
        <f t="shared" si="6"/>
        <v>2</v>
      </c>
      <c r="W43" s="52">
        <f t="shared" si="7"/>
        <v>-6</v>
      </c>
      <c r="X43" s="32">
        <f t="shared" si="11"/>
        <v>39</v>
      </c>
      <c r="Z43" s="16" t="str">
        <f t="shared" si="8"/>
        <v/>
      </c>
    </row>
    <row r="44">
      <c r="A44" s="32">
        <f t="shared" si="9"/>
        <v>40</v>
      </c>
      <c r="B44" s="33" t="s">
        <v>139</v>
      </c>
      <c r="C44" s="34">
        <v>54.0</v>
      </c>
      <c r="D44" s="34">
        <v>3.0</v>
      </c>
      <c r="E44" s="35">
        <f t="shared" si="2"/>
        <v>9</v>
      </c>
      <c r="F44" s="95">
        <v>1.0</v>
      </c>
      <c r="G44" s="96">
        <v>7.0</v>
      </c>
      <c r="H44" s="97">
        <v>0.0</v>
      </c>
      <c r="I44" s="96">
        <v>1.0</v>
      </c>
      <c r="J44" s="96">
        <v>5.0</v>
      </c>
      <c r="K44" s="96">
        <v>5.0</v>
      </c>
      <c r="L44" s="98">
        <v>11.0</v>
      </c>
      <c r="M44" s="96">
        <v>0.0</v>
      </c>
      <c r="N44" s="34">
        <f t="shared" ref="N44:O44" si="48">C44+L44</f>
        <v>65</v>
      </c>
      <c r="O44" s="34">
        <f t="shared" si="48"/>
        <v>3</v>
      </c>
      <c r="P44" s="49" t="s">
        <v>58</v>
      </c>
      <c r="Q44" s="49" t="s">
        <v>58</v>
      </c>
      <c r="R44" s="49"/>
      <c r="S44" s="52">
        <f t="shared" si="4"/>
        <v>3</v>
      </c>
      <c r="T44" s="52">
        <f t="shared" si="5"/>
        <v>0</v>
      </c>
      <c r="U44" s="52"/>
      <c r="V44" s="52">
        <f t="shared" si="6"/>
        <v>3</v>
      </c>
      <c r="W44" s="52">
        <f t="shared" si="7"/>
        <v>-4</v>
      </c>
      <c r="X44" s="32">
        <f t="shared" si="11"/>
        <v>40</v>
      </c>
      <c r="Z44" s="16" t="str">
        <f t="shared" si="8"/>
        <v/>
      </c>
    </row>
    <row r="45">
      <c r="A45" s="32">
        <f t="shared" si="9"/>
        <v>41</v>
      </c>
      <c r="B45" s="33" t="s">
        <v>134</v>
      </c>
      <c r="C45" s="34">
        <v>54.0</v>
      </c>
      <c r="D45" s="34">
        <v>3.0</v>
      </c>
      <c r="E45" s="35">
        <f t="shared" si="2"/>
        <v>9</v>
      </c>
      <c r="F45" s="95">
        <v>2.0</v>
      </c>
      <c r="G45" s="96">
        <v>11.0</v>
      </c>
      <c r="H45" s="97">
        <v>0.0</v>
      </c>
      <c r="I45" s="96">
        <v>6.0</v>
      </c>
      <c r="J45" s="96">
        <v>4.0</v>
      </c>
      <c r="K45" s="96">
        <v>6.0</v>
      </c>
      <c r="L45" s="98">
        <v>16.0</v>
      </c>
      <c r="M45" s="96">
        <v>2.0</v>
      </c>
      <c r="N45" s="34">
        <f t="shared" ref="N45:O45" si="49">C45+L45</f>
        <v>70</v>
      </c>
      <c r="O45" s="34">
        <f t="shared" si="49"/>
        <v>5</v>
      </c>
      <c r="P45" s="49" t="s">
        <v>58</v>
      </c>
      <c r="Q45" s="49" t="s">
        <v>58</v>
      </c>
      <c r="R45" s="49"/>
      <c r="S45" s="52">
        <f t="shared" si="4"/>
        <v>2</v>
      </c>
      <c r="T45" s="52">
        <f t="shared" si="5"/>
        <v>0</v>
      </c>
      <c r="U45" s="52"/>
      <c r="V45" s="52">
        <f t="shared" si="6"/>
        <v>4</v>
      </c>
      <c r="W45" s="52">
        <f t="shared" si="7"/>
        <v>-6</v>
      </c>
      <c r="X45" s="32">
        <f t="shared" si="11"/>
        <v>41</v>
      </c>
      <c r="Z45" s="16" t="str">
        <f t="shared" si="8"/>
        <v/>
      </c>
    </row>
    <row r="46">
      <c r="A46" s="32">
        <f t="shared" si="9"/>
        <v>42</v>
      </c>
      <c r="B46" s="33" t="s">
        <v>122</v>
      </c>
      <c r="C46" s="34">
        <v>54.0</v>
      </c>
      <c r="D46" s="34">
        <v>2.0</v>
      </c>
      <c r="E46" s="35">
        <f t="shared" si="2"/>
        <v>9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50">C46+L46</f>
        <v>63</v>
      </c>
      <c r="O46" s="34">
        <f t="shared" si="50"/>
        <v>2</v>
      </c>
      <c r="P46" s="49" t="s">
        <v>58</v>
      </c>
      <c r="Q46" s="49" t="s">
        <v>58</v>
      </c>
      <c r="R46" s="49"/>
      <c r="S46" s="52">
        <f t="shared" si="4"/>
        <v>2</v>
      </c>
      <c r="T46" s="52">
        <f t="shared" si="5"/>
        <v>0</v>
      </c>
      <c r="U46" s="52"/>
      <c r="V46" s="52">
        <f t="shared" si="6"/>
        <v>4</v>
      </c>
      <c r="W46" s="52">
        <f t="shared" si="7"/>
        <v>11</v>
      </c>
      <c r="X46" s="32">
        <f t="shared" si="11"/>
        <v>42</v>
      </c>
      <c r="Z46" s="16" t="str">
        <f t="shared" si="8"/>
        <v/>
      </c>
    </row>
    <row r="47">
      <c r="A47" s="32">
        <f t="shared" si="9"/>
        <v>43</v>
      </c>
      <c r="B47" s="33" t="s">
        <v>148</v>
      </c>
      <c r="C47" s="34">
        <v>53.0</v>
      </c>
      <c r="D47" s="34">
        <v>1.0</v>
      </c>
      <c r="E47" s="35">
        <f t="shared" si="2"/>
        <v>8.666666667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1">C47+L47</f>
        <v>62</v>
      </c>
      <c r="O47" s="34">
        <f t="shared" si="51"/>
        <v>1</v>
      </c>
      <c r="P47" s="49" t="s">
        <v>58</v>
      </c>
      <c r="Q47" s="49" t="s">
        <v>58</v>
      </c>
      <c r="R47" s="49"/>
      <c r="S47" s="52">
        <f t="shared" si="4"/>
        <v>3</v>
      </c>
      <c r="T47" s="52">
        <f t="shared" si="5"/>
        <v>0</v>
      </c>
      <c r="U47" s="52"/>
      <c r="V47" s="52">
        <f t="shared" si="6"/>
        <v>3</v>
      </c>
      <c r="W47" s="52">
        <f t="shared" si="7"/>
        <v>-2</v>
      </c>
      <c r="X47" s="32">
        <f t="shared" si="11"/>
        <v>43</v>
      </c>
      <c r="Z47" s="16" t="str">
        <f t="shared" si="8"/>
        <v/>
      </c>
    </row>
    <row r="48">
      <c r="A48" s="32">
        <f t="shared" si="9"/>
        <v>44</v>
      </c>
      <c r="B48" s="33" t="s">
        <v>145</v>
      </c>
      <c r="C48" s="34">
        <v>52.0</v>
      </c>
      <c r="D48" s="34">
        <v>5.0</v>
      </c>
      <c r="E48" s="35">
        <f t="shared" si="2"/>
        <v>8.6</v>
      </c>
      <c r="F48" s="95">
        <v>1.0</v>
      </c>
      <c r="G48" s="96">
        <v>11.0</v>
      </c>
      <c r="H48" s="97">
        <v>0.0</v>
      </c>
      <c r="I48" s="96">
        <v>0.0</v>
      </c>
      <c r="J48" s="96">
        <v>4.0</v>
      </c>
      <c r="K48" s="96">
        <v>3.0</v>
      </c>
      <c r="L48" s="98">
        <v>7.0</v>
      </c>
      <c r="M48" s="96">
        <v>0.0</v>
      </c>
      <c r="N48" s="34">
        <f t="shared" ref="N48:O48" si="52">C48+L48</f>
        <v>59</v>
      </c>
      <c r="O48" s="34">
        <f t="shared" si="52"/>
        <v>5</v>
      </c>
      <c r="P48" s="49" t="s">
        <v>58</v>
      </c>
      <c r="Q48" s="49" t="s">
        <v>58</v>
      </c>
      <c r="R48" s="49"/>
      <c r="S48" s="52">
        <f t="shared" si="4"/>
        <v>5</v>
      </c>
      <c r="T48" s="52">
        <f t="shared" si="5"/>
        <v>0</v>
      </c>
      <c r="U48" s="52"/>
      <c r="V48" s="52">
        <f t="shared" si="6"/>
        <v>1</v>
      </c>
      <c r="W48" s="52">
        <f t="shared" si="7"/>
        <v>6</v>
      </c>
      <c r="X48" s="32">
        <f t="shared" si="11"/>
        <v>44</v>
      </c>
      <c r="Z48" s="16" t="str">
        <f t="shared" si="8"/>
        <v/>
      </c>
    </row>
    <row r="49">
      <c r="A49" s="32">
        <f t="shared" si="9"/>
        <v>45</v>
      </c>
      <c r="B49" s="33" t="s">
        <v>135</v>
      </c>
      <c r="C49" s="34">
        <v>52.0</v>
      </c>
      <c r="D49" s="34">
        <v>3.0</v>
      </c>
      <c r="E49" s="35">
        <f t="shared" si="2"/>
        <v>8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3">C49+L49</f>
        <v>61</v>
      </c>
      <c r="O49" s="34">
        <f t="shared" si="53"/>
        <v>3</v>
      </c>
      <c r="P49" s="49" t="s">
        <v>58</v>
      </c>
      <c r="Q49" s="49" t="s">
        <v>58</v>
      </c>
      <c r="R49" s="49"/>
      <c r="S49" s="52">
        <f t="shared" si="4"/>
        <v>2</v>
      </c>
      <c r="T49" s="52">
        <f t="shared" si="5"/>
        <v>0</v>
      </c>
      <c r="U49" s="52"/>
      <c r="V49" s="52">
        <f t="shared" si="6"/>
        <v>4</v>
      </c>
      <c r="W49" s="52">
        <f t="shared" si="7"/>
        <v>-2</v>
      </c>
      <c r="X49" s="32">
        <f t="shared" si="11"/>
        <v>45</v>
      </c>
      <c r="Z49" s="16" t="str">
        <f t="shared" si="8"/>
        <v/>
      </c>
    </row>
    <row r="50">
      <c r="A50" s="32">
        <f t="shared" si="9"/>
        <v>46</v>
      </c>
      <c r="B50" s="33" t="s">
        <v>47</v>
      </c>
      <c r="C50" s="34">
        <v>52.0</v>
      </c>
      <c r="D50" s="34">
        <v>2.0</v>
      </c>
      <c r="E50" s="35">
        <f t="shared" si="2"/>
        <v>7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4">C50+L50</f>
        <v>61</v>
      </c>
      <c r="O50" s="34">
        <f t="shared" si="54"/>
        <v>2</v>
      </c>
      <c r="P50" s="49" t="s">
        <v>58</v>
      </c>
      <c r="Q50" s="49" t="s">
        <v>58</v>
      </c>
      <c r="R50" s="49"/>
      <c r="S50" s="52">
        <f t="shared" si="4"/>
        <v>1</v>
      </c>
      <c r="T50" s="52">
        <f t="shared" si="5"/>
        <v>0</v>
      </c>
      <c r="U50" s="52"/>
      <c r="V50" s="52">
        <f t="shared" si="6"/>
        <v>5</v>
      </c>
      <c r="W50" s="52">
        <f t="shared" si="7"/>
        <v>9</v>
      </c>
      <c r="X50" s="32">
        <f t="shared" si="11"/>
        <v>46</v>
      </c>
      <c r="Z50" s="16" t="str">
        <f t="shared" si="8"/>
        <v/>
      </c>
    </row>
    <row r="51">
      <c r="A51" s="32">
        <f t="shared" si="9"/>
        <v>47</v>
      </c>
      <c r="B51" s="33" t="s">
        <v>54</v>
      </c>
      <c r="C51" s="34">
        <v>51.0</v>
      </c>
      <c r="D51" s="34">
        <v>6.0</v>
      </c>
      <c r="E51" s="35">
        <f t="shared" si="2"/>
        <v>8.5</v>
      </c>
      <c r="F51" s="95">
        <v>1.0</v>
      </c>
      <c r="G51" s="96">
        <v>11.0</v>
      </c>
      <c r="H51" s="97">
        <v>0.0</v>
      </c>
      <c r="I51" s="96">
        <v>0.0</v>
      </c>
      <c r="J51" s="96">
        <v>6.0</v>
      </c>
      <c r="K51" s="96">
        <v>6.0</v>
      </c>
      <c r="L51" s="98">
        <v>12.0</v>
      </c>
      <c r="M51" s="96">
        <v>2.0</v>
      </c>
      <c r="N51" s="34">
        <f t="shared" ref="N51:O51" si="55">C51+L51</f>
        <v>63</v>
      </c>
      <c r="O51" s="34">
        <f t="shared" si="55"/>
        <v>8</v>
      </c>
      <c r="P51" s="49" t="s">
        <v>58</v>
      </c>
      <c r="Q51" s="49" t="s">
        <v>58</v>
      </c>
      <c r="R51" s="49"/>
      <c r="S51" s="52">
        <f t="shared" si="4"/>
        <v>6</v>
      </c>
      <c r="T51" s="52">
        <f t="shared" si="5"/>
        <v>0</v>
      </c>
      <c r="U51" s="52"/>
      <c r="V51" s="52">
        <f t="shared" si="6"/>
        <v>0</v>
      </c>
      <c r="W51" s="52">
        <f t="shared" si="7"/>
        <v>-9</v>
      </c>
      <c r="X51" s="32">
        <f t="shared" si="11"/>
        <v>47</v>
      </c>
      <c r="Z51" s="16" t="str">
        <f t="shared" si="8"/>
        <v/>
      </c>
    </row>
    <row r="52">
      <c r="A52" s="32">
        <f t="shared" si="9"/>
        <v>48</v>
      </c>
      <c r="B52" s="33" t="s">
        <v>93</v>
      </c>
      <c r="C52" s="34">
        <v>51.0</v>
      </c>
      <c r="D52" s="34">
        <v>2.0</v>
      </c>
      <c r="E52" s="35">
        <f t="shared" si="2"/>
        <v>6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6">C52+L52</f>
        <v>60</v>
      </c>
      <c r="O52" s="34">
        <f t="shared" si="56"/>
        <v>2</v>
      </c>
      <c r="P52" s="49" t="s">
        <v>58</v>
      </c>
      <c r="Q52" s="49" t="s">
        <v>58</v>
      </c>
      <c r="R52" s="49"/>
      <c r="S52" s="52">
        <f t="shared" si="4"/>
        <v>1</v>
      </c>
      <c r="T52" s="52">
        <f t="shared" si="5"/>
        <v>0</v>
      </c>
      <c r="U52" s="52"/>
      <c r="V52" s="52">
        <f t="shared" si="6"/>
        <v>5</v>
      </c>
      <c r="W52" s="52">
        <f t="shared" si="7"/>
        <v>-4</v>
      </c>
      <c r="X52" s="32">
        <f t="shared" si="11"/>
        <v>48</v>
      </c>
      <c r="Z52" s="16" t="str">
        <f t="shared" si="8"/>
        <v/>
      </c>
    </row>
    <row r="53">
      <c r="A53" s="32">
        <f t="shared" si="9"/>
        <v>49</v>
      </c>
      <c r="B53" s="33" t="s">
        <v>143</v>
      </c>
      <c r="C53" s="34">
        <v>50.0</v>
      </c>
      <c r="D53" s="34">
        <v>1.0</v>
      </c>
      <c r="E53" s="35">
        <f t="shared" si="2"/>
        <v>7</v>
      </c>
      <c r="F53" s="95">
        <v>1.0</v>
      </c>
      <c r="G53" s="96">
        <v>11.0</v>
      </c>
      <c r="H53" s="97">
        <v>0.0</v>
      </c>
      <c r="I53" s="96">
        <v>6.0</v>
      </c>
      <c r="J53" s="96">
        <v>6.0</v>
      </c>
      <c r="K53" s="96">
        <v>3.0</v>
      </c>
      <c r="L53" s="98">
        <v>15.0</v>
      </c>
      <c r="M53" s="96">
        <v>2.0</v>
      </c>
      <c r="N53" s="34">
        <f t="shared" ref="N53:O53" si="57">C53+L53</f>
        <v>65</v>
      </c>
      <c r="O53" s="34">
        <f t="shared" si="57"/>
        <v>3</v>
      </c>
      <c r="P53" s="49" t="s">
        <v>58</v>
      </c>
      <c r="Q53" s="49" t="s">
        <v>58</v>
      </c>
      <c r="R53" s="49"/>
      <c r="S53" s="52">
        <f t="shared" si="4"/>
        <v>2</v>
      </c>
      <c r="T53" s="52">
        <f t="shared" si="5"/>
        <v>0</v>
      </c>
      <c r="U53" s="52"/>
      <c r="V53" s="52">
        <f t="shared" si="6"/>
        <v>4</v>
      </c>
      <c r="W53" s="52">
        <f t="shared" si="7"/>
        <v>-3</v>
      </c>
      <c r="X53" s="32">
        <f t="shared" si="11"/>
        <v>49</v>
      </c>
      <c r="Z53" s="16" t="str">
        <f t="shared" si="8"/>
        <v/>
      </c>
    </row>
    <row r="54">
      <c r="A54" s="32">
        <f t="shared" si="9"/>
        <v>50</v>
      </c>
      <c r="B54" s="33" t="s">
        <v>133</v>
      </c>
      <c r="C54" s="34">
        <v>49.0</v>
      </c>
      <c r="D54" s="34">
        <v>2.0</v>
      </c>
      <c r="E54" s="35">
        <f t="shared" si="2"/>
        <v>7.333333333</v>
      </c>
      <c r="F54" s="95">
        <v>1.0</v>
      </c>
      <c r="G54" s="96">
        <v>8.0</v>
      </c>
      <c r="H54" s="97">
        <v>0.0</v>
      </c>
      <c r="I54" s="96">
        <v>6.0</v>
      </c>
      <c r="J54" s="96">
        <v>6.0</v>
      </c>
      <c r="K54" s="96">
        <v>6.0</v>
      </c>
      <c r="L54" s="98">
        <v>18.0</v>
      </c>
      <c r="M54" s="96">
        <v>3.0</v>
      </c>
      <c r="N54" s="34">
        <f t="shared" ref="N54:O54" si="58">C54+L54</f>
        <v>67</v>
      </c>
      <c r="O54" s="34">
        <f t="shared" si="58"/>
        <v>5</v>
      </c>
      <c r="P54" s="49" t="s">
        <v>58</v>
      </c>
      <c r="Q54" s="49" t="s">
        <v>58</v>
      </c>
      <c r="R54" s="49"/>
      <c r="S54" s="52">
        <f t="shared" si="4"/>
        <v>3</v>
      </c>
      <c r="T54" s="52">
        <f t="shared" si="5"/>
        <v>0</v>
      </c>
      <c r="U54" s="52"/>
      <c r="V54" s="52">
        <f t="shared" si="6"/>
        <v>3</v>
      </c>
      <c r="W54" s="52">
        <f t="shared" si="7"/>
        <v>-3</v>
      </c>
      <c r="X54" s="32">
        <f t="shared" si="11"/>
        <v>50</v>
      </c>
      <c r="Z54" s="16" t="str">
        <f t="shared" si="8"/>
        <v/>
      </c>
    </row>
    <row r="55">
      <c r="A55" s="32">
        <f t="shared" si="9"/>
        <v>51</v>
      </c>
      <c r="B55" s="33" t="s">
        <v>95</v>
      </c>
      <c r="C55" s="34">
        <v>49.0</v>
      </c>
      <c r="D55" s="34">
        <v>1.0</v>
      </c>
      <c r="E55" s="35">
        <f t="shared" si="2"/>
        <v>0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9">C55+L55</f>
        <v>58</v>
      </c>
      <c r="O55" s="34">
        <f t="shared" si="59"/>
        <v>1</v>
      </c>
      <c r="P55" s="49" t="s">
        <v>58</v>
      </c>
      <c r="Q55" s="49" t="s">
        <v>58</v>
      </c>
      <c r="R55" s="49"/>
      <c r="S55" s="52">
        <f t="shared" si="4"/>
        <v>1</v>
      </c>
      <c r="T55" s="52">
        <f t="shared" si="5"/>
        <v>1</v>
      </c>
      <c r="U55" s="52"/>
      <c r="V55" s="52">
        <f t="shared" si="6"/>
        <v>4</v>
      </c>
      <c r="W55" s="52">
        <f t="shared" si="7"/>
        <v>-3</v>
      </c>
      <c r="X55" s="32">
        <f t="shared" si="11"/>
        <v>51</v>
      </c>
      <c r="Z55" s="16" t="str">
        <f t="shared" si="8"/>
        <v/>
      </c>
    </row>
    <row r="56">
      <c r="A56" s="32">
        <f t="shared" si="9"/>
        <v>52</v>
      </c>
      <c r="B56" s="33" t="s">
        <v>142</v>
      </c>
      <c r="C56" s="34">
        <v>47.0</v>
      </c>
      <c r="D56" s="34">
        <v>5.0</v>
      </c>
      <c r="E56" s="35">
        <f t="shared" si="2"/>
        <v>7.6</v>
      </c>
      <c r="F56" s="95">
        <v>1.0</v>
      </c>
      <c r="G56" s="96">
        <v>8.0</v>
      </c>
      <c r="H56" s="97">
        <v>0.0</v>
      </c>
      <c r="I56" s="96">
        <v>6.0</v>
      </c>
      <c r="J56" s="96">
        <v>1.0</v>
      </c>
      <c r="K56" s="96">
        <v>2.0</v>
      </c>
      <c r="L56" s="98">
        <v>9.0</v>
      </c>
      <c r="M56" s="96">
        <v>1.0</v>
      </c>
      <c r="N56" s="34">
        <f t="shared" ref="N56:O56" si="60">C56+L56</f>
        <v>56</v>
      </c>
      <c r="O56" s="34">
        <f t="shared" si="60"/>
        <v>6</v>
      </c>
      <c r="P56" s="49" t="s">
        <v>58</v>
      </c>
      <c r="Q56" s="49" t="s">
        <v>58</v>
      </c>
      <c r="R56" s="49"/>
      <c r="S56" s="52">
        <f t="shared" si="4"/>
        <v>5</v>
      </c>
      <c r="T56" s="52">
        <f t="shared" si="5"/>
        <v>0</v>
      </c>
      <c r="U56" s="52"/>
      <c r="V56" s="52">
        <f t="shared" si="6"/>
        <v>1</v>
      </c>
      <c r="W56" s="52">
        <f t="shared" si="7"/>
        <v>-3</v>
      </c>
      <c r="X56" s="32">
        <f t="shared" si="11"/>
        <v>52</v>
      </c>
      <c r="Z56" s="16" t="str">
        <f t="shared" si="8"/>
        <v/>
      </c>
    </row>
    <row r="57">
      <c r="A57" s="32">
        <f t="shared" si="9"/>
        <v>53</v>
      </c>
      <c r="B57" s="33" t="s">
        <v>147</v>
      </c>
      <c r="C57" s="34">
        <v>47.0</v>
      </c>
      <c r="D57" s="34">
        <v>2.0</v>
      </c>
      <c r="E57" s="35">
        <f t="shared" si="2"/>
        <v>5.5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1">C57+L57</f>
        <v>56</v>
      </c>
      <c r="O57" s="34">
        <f t="shared" si="61"/>
        <v>2</v>
      </c>
      <c r="P57" s="49" t="s">
        <v>58</v>
      </c>
      <c r="Q57" s="49" t="s">
        <v>58</v>
      </c>
      <c r="R57" s="49"/>
      <c r="S57" s="52">
        <f t="shared" si="4"/>
        <v>2</v>
      </c>
      <c r="T57" s="52">
        <f t="shared" si="5"/>
        <v>0</v>
      </c>
      <c r="U57" s="52"/>
      <c r="V57" s="52">
        <f t="shared" si="6"/>
        <v>4</v>
      </c>
      <c r="W57" s="52">
        <f t="shared" si="7"/>
        <v>-2</v>
      </c>
      <c r="X57" s="32">
        <f t="shared" si="11"/>
        <v>53</v>
      </c>
      <c r="Z57" s="16" t="str">
        <f t="shared" si="8"/>
        <v/>
      </c>
    </row>
    <row r="58">
      <c r="A58" s="32">
        <f t="shared" si="9"/>
        <v>54</v>
      </c>
      <c r="B58" s="33" t="s">
        <v>101</v>
      </c>
      <c r="C58" s="34">
        <v>46.0</v>
      </c>
      <c r="D58" s="34">
        <v>0.0</v>
      </c>
      <c r="E58" s="35">
        <f t="shared" si="2"/>
        <v>6.333333333</v>
      </c>
      <c r="F58" s="95">
        <v>1.0</v>
      </c>
      <c r="G58" s="96">
        <v>8.0</v>
      </c>
      <c r="H58" s="97">
        <v>0.0</v>
      </c>
      <c r="I58" s="96">
        <v>2.0</v>
      </c>
      <c r="J58" s="96">
        <v>6.0</v>
      </c>
      <c r="K58" s="96">
        <v>2.0</v>
      </c>
      <c r="L58" s="98">
        <v>10.0</v>
      </c>
      <c r="M58" s="96">
        <v>1.0</v>
      </c>
      <c r="N58" s="34">
        <f t="shared" ref="N58:O58" si="62">C58+L58</f>
        <v>56</v>
      </c>
      <c r="O58" s="34">
        <f t="shared" si="62"/>
        <v>1</v>
      </c>
      <c r="P58" s="49" t="s">
        <v>58</v>
      </c>
      <c r="Q58" s="49" t="s">
        <v>58</v>
      </c>
      <c r="R58" s="49"/>
      <c r="S58" s="52">
        <f t="shared" si="4"/>
        <v>3</v>
      </c>
      <c r="T58" s="52">
        <f t="shared" si="5"/>
        <v>0</v>
      </c>
      <c r="U58" s="52"/>
      <c r="V58" s="52">
        <f t="shared" si="6"/>
        <v>3</v>
      </c>
      <c r="W58" s="52">
        <f t="shared" si="7"/>
        <v>-2</v>
      </c>
      <c r="X58" s="32">
        <f t="shared" si="11"/>
        <v>54</v>
      </c>
      <c r="Z58" s="16" t="str">
        <f t="shared" si="8"/>
        <v/>
      </c>
    </row>
    <row r="59">
      <c r="A59" s="32">
        <f t="shared" si="9"/>
        <v>55</v>
      </c>
      <c r="B59" s="33" t="s">
        <v>130</v>
      </c>
      <c r="C59" s="34">
        <v>45.0</v>
      </c>
      <c r="D59" s="34">
        <v>0.0</v>
      </c>
      <c r="E59" s="35">
        <f t="shared" si="2"/>
        <v>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3">C59+L59</f>
        <v>54</v>
      </c>
      <c r="O59" s="34">
        <f t="shared" si="63"/>
        <v>0</v>
      </c>
      <c r="P59" s="49" t="s">
        <v>58</v>
      </c>
      <c r="Q59" s="49" t="s">
        <v>58</v>
      </c>
      <c r="R59" s="49"/>
      <c r="S59" s="52">
        <f t="shared" si="4"/>
        <v>0</v>
      </c>
      <c r="T59" s="52">
        <f t="shared" si="5"/>
        <v>0</v>
      </c>
      <c r="U59" s="52"/>
      <c r="V59" s="52">
        <f t="shared" si="6"/>
        <v>6</v>
      </c>
      <c r="W59" s="52">
        <f t="shared" si="7"/>
        <v>-1</v>
      </c>
      <c r="X59" s="32">
        <f t="shared" si="11"/>
        <v>55</v>
      </c>
      <c r="Z59" s="16" t="str">
        <f t="shared" si="8"/>
        <v/>
      </c>
    </row>
    <row r="60">
      <c r="A60" s="32">
        <f t="shared" si="9"/>
        <v>56</v>
      </c>
      <c r="B60" s="33" t="s">
        <v>140</v>
      </c>
      <c r="C60" s="34">
        <v>45.0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4">C60+L60</f>
        <v>54</v>
      </c>
      <c r="O60" s="34">
        <f t="shared" si="64"/>
        <v>0</v>
      </c>
      <c r="P60" s="49" t="s">
        <v>58</v>
      </c>
      <c r="Q60" s="49" t="s">
        <v>58</v>
      </c>
      <c r="R60" s="49"/>
      <c r="S60" s="52">
        <f t="shared" si="4"/>
        <v>0</v>
      </c>
      <c r="T60" s="52">
        <f t="shared" si="5"/>
        <v>0</v>
      </c>
      <c r="U60" s="52"/>
      <c r="V60" s="52">
        <f t="shared" si="6"/>
        <v>6</v>
      </c>
      <c r="W60" s="52">
        <f t="shared" si="7"/>
        <v>0</v>
      </c>
      <c r="X60" s="32">
        <f t="shared" si="11"/>
        <v>56</v>
      </c>
      <c r="Z60" s="16" t="str">
        <f t="shared" si="8"/>
        <v/>
      </c>
    </row>
    <row r="61">
      <c r="A61" s="32">
        <f t="shared" si="9"/>
        <v>57</v>
      </c>
      <c r="B61" s="33" t="s">
        <v>75</v>
      </c>
      <c r="C61" s="34">
        <v>45.0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5">C61+L61</f>
        <v>54</v>
      </c>
      <c r="O61" s="34">
        <f t="shared" si="65"/>
        <v>0</v>
      </c>
      <c r="P61" s="49" t="s">
        <v>58</v>
      </c>
      <c r="Q61" s="49" t="s">
        <v>58</v>
      </c>
      <c r="R61" s="49"/>
      <c r="S61" s="52">
        <f t="shared" si="4"/>
        <v>0</v>
      </c>
      <c r="T61" s="52">
        <f t="shared" si="5"/>
        <v>0</v>
      </c>
      <c r="U61" s="52"/>
      <c r="V61" s="52">
        <f t="shared" si="6"/>
        <v>6</v>
      </c>
      <c r="W61" s="52">
        <f t="shared" si="7"/>
        <v>0</v>
      </c>
      <c r="X61" s="32">
        <f t="shared" si="11"/>
        <v>57</v>
      </c>
      <c r="Z61" s="16" t="str">
        <f t="shared" si="8"/>
        <v/>
      </c>
    </row>
    <row r="62">
      <c r="A62" s="32">
        <f t="shared" si="9"/>
        <v>58</v>
      </c>
      <c r="B62" s="33" t="s">
        <v>121</v>
      </c>
      <c r="C62" s="34">
        <v>45.0</v>
      </c>
      <c r="D62" s="34">
        <v>0.0</v>
      </c>
      <c r="E62" s="35">
        <f t="shared" si="2"/>
        <v>0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6">C62+L62</f>
        <v>54</v>
      </c>
      <c r="O62" s="34">
        <f t="shared" si="66"/>
        <v>0</v>
      </c>
      <c r="P62" s="49" t="s">
        <v>58</v>
      </c>
      <c r="Q62" s="49" t="s">
        <v>58</v>
      </c>
      <c r="R62" s="49"/>
      <c r="S62" s="52">
        <f t="shared" si="4"/>
        <v>0</v>
      </c>
      <c r="T62" s="52">
        <f t="shared" si="5"/>
        <v>0</v>
      </c>
      <c r="U62" s="52"/>
      <c r="V62" s="52">
        <f t="shared" si="6"/>
        <v>6</v>
      </c>
      <c r="W62" s="52">
        <f t="shared" si="7"/>
        <v>0</v>
      </c>
      <c r="X62" s="32">
        <f t="shared" si="11"/>
        <v>58</v>
      </c>
      <c r="Z62" s="16" t="str">
        <f t="shared" si="8"/>
        <v/>
      </c>
    </row>
    <row r="63">
      <c r="A63" s="32">
        <f t="shared" si="9"/>
        <v>59</v>
      </c>
      <c r="B63" s="33" t="s">
        <v>141</v>
      </c>
      <c r="C63" s="34">
        <v>45.0</v>
      </c>
      <c r="D63" s="34">
        <v>0.0</v>
      </c>
      <c r="E63" s="35">
        <f t="shared" si="2"/>
        <v>0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7">C63+L63</f>
        <v>54</v>
      </c>
      <c r="O63" s="34">
        <f t="shared" si="67"/>
        <v>0</v>
      </c>
      <c r="P63" s="49" t="s">
        <v>58</v>
      </c>
      <c r="Q63" s="49" t="s">
        <v>58</v>
      </c>
      <c r="R63" s="49"/>
      <c r="S63" s="52">
        <f t="shared" si="4"/>
        <v>0</v>
      </c>
      <c r="T63" s="52">
        <f t="shared" si="5"/>
        <v>0</v>
      </c>
      <c r="U63" s="52"/>
      <c r="V63" s="52">
        <f t="shared" si="6"/>
        <v>6</v>
      </c>
      <c r="W63" s="52">
        <f t="shared" si="7"/>
        <v>0</v>
      </c>
      <c r="X63" s="32">
        <f t="shared" si="11"/>
        <v>59</v>
      </c>
      <c r="Z63" s="16" t="str">
        <f t="shared" si="8"/>
        <v/>
      </c>
    </row>
    <row r="64">
      <c r="A64" s="32">
        <f t="shared" si="9"/>
        <v>60</v>
      </c>
      <c r="B64" s="33" t="s">
        <v>146</v>
      </c>
      <c r="C64" s="34">
        <v>45.0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8">C64+L64</f>
        <v>54</v>
      </c>
      <c r="O64" s="34">
        <f t="shared" si="68"/>
        <v>0</v>
      </c>
      <c r="P64" s="49" t="s">
        <v>58</v>
      </c>
      <c r="Q64" s="49" t="s">
        <v>58</v>
      </c>
      <c r="R64" s="49"/>
      <c r="S64" s="52">
        <f t="shared" si="4"/>
        <v>0</v>
      </c>
      <c r="T64" s="52">
        <f t="shared" si="5"/>
        <v>0</v>
      </c>
      <c r="U64" s="52"/>
      <c r="V64" s="52">
        <f t="shared" si="6"/>
        <v>6</v>
      </c>
      <c r="W64" s="52">
        <f t="shared" si="7"/>
        <v>0</v>
      </c>
      <c r="X64" s="32">
        <f t="shared" si="11"/>
        <v>60</v>
      </c>
      <c r="Z64" s="16" t="str">
        <f t="shared" si="8"/>
        <v/>
      </c>
    </row>
    <row r="65">
      <c r="A65" s="32">
        <f t="shared" si="9"/>
        <v>61</v>
      </c>
      <c r="B65" s="33" t="s">
        <v>69</v>
      </c>
      <c r="C65" s="34">
        <v>45.0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9">C65+L65</f>
        <v>54</v>
      </c>
      <c r="O65" s="34">
        <f t="shared" si="69"/>
        <v>0</v>
      </c>
      <c r="P65" s="49" t="s">
        <v>58</v>
      </c>
      <c r="Q65" s="49" t="s">
        <v>58</v>
      </c>
      <c r="R65" s="49"/>
      <c r="S65" s="52">
        <f t="shared" si="4"/>
        <v>0</v>
      </c>
      <c r="T65" s="52">
        <f t="shared" si="5"/>
        <v>0</v>
      </c>
      <c r="U65" s="52"/>
      <c r="V65" s="52">
        <f t="shared" si="6"/>
        <v>6</v>
      </c>
      <c r="W65" s="52">
        <f t="shared" si="7"/>
        <v>0</v>
      </c>
      <c r="X65" s="32">
        <f t="shared" si="11"/>
        <v>61</v>
      </c>
      <c r="Z65" s="16" t="str">
        <f t="shared" si="8"/>
        <v/>
      </c>
    </row>
    <row r="66">
      <c r="A66" s="32">
        <f t="shared" si="9"/>
        <v>62</v>
      </c>
      <c r="B66" s="33" t="s">
        <v>104</v>
      </c>
      <c r="C66" s="34">
        <v>45.0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70">C66+L66</f>
        <v>54</v>
      </c>
      <c r="O66" s="34">
        <f t="shared" si="70"/>
        <v>0</v>
      </c>
      <c r="P66" s="49" t="s">
        <v>58</v>
      </c>
      <c r="Q66" s="49" t="s">
        <v>58</v>
      </c>
      <c r="R66" s="49"/>
      <c r="S66" s="52">
        <f t="shared" si="4"/>
        <v>0</v>
      </c>
      <c r="T66" s="52">
        <f t="shared" si="5"/>
        <v>0</v>
      </c>
      <c r="U66" s="52"/>
      <c r="V66" s="52">
        <f t="shared" si="6"/>
        <v>6</v>
      </c>
      <c r="W66" s="52">
        <f t="shared" si="7"/>
        <v>0</v>
      </c>
      <c r="X66" s="32">
        <f t="shared" si="11"/>
        <v>62</v>
      </c>
      <c r="Z66" s="16" t="str">
        <f t="shared" si="8"/>
        <v/>
      </c>
    </row>
    <row r="67">
      <c r="A67" s="32">
        <f t="shared" si="9"/>
        <v>63</v>
      </c>
      <c r="B67" s="33" t="s">
        <v>131</v>
      </c>
      <c r="C67" s="34">
        <v>45.0</v>
      </c>
      <c r="D67" s="34">
        <v>0.0</v>
      </c>
      <c r="E67" s="35">
        <f t="shared" si="2"/>
        <v>0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1">C67+L67</f>
        <v>54</v>
      </c>
      <c r="O67" s="34">
        <f t="shared" si="71"/>
        <v>0</v>
      </c>
      <c r="P67" s="49" t="s">
        <v>58</v>
      </c>
      <c r="Q67" s="49" t="s">
        <v>58</v>
      </c>
      <c r="R67" s="49"/>
      <c r="S67" s="52">
        <f t="shared" si="4"/>
        <v>0</v>
      </c>
      <c r="T67" s="52">
        <f t="shared" si="5"/>
        <v>0</v>
      </c>
      <c r="U67" s="52"/>
      <c r="V67" s="52">
        <f t="shared" si="6"/>
        <v>6</v>
      </c>
      <c r="W67" s="52">
        <f t="shared" si="7"/>
        <v>0</v>
      </c>
      <c r="X67" s="32">
        <f t="shared" si="11"/>
        <v>63</v>
      </c>
      <c r="Z67" s="16" t="str">
        <f t="shared" si="8"/>
        <v/>
      </c>
    </row>
    <row r="68">
      <c r="A68" s="32">
        <f t="shared" si="9"/>
        <v>64</v>
      </c>
      <c r="B68" s="33" t="s">
        <v>118</v>
      </c>
      <c r="C68" s="34">
        <v>43.0</v>
      </c>
      <c r="D68" s="34">
        <v>1.0</v>
      </c>
      <c r="E68" s="35">
        <f t="shared" si="2"/>
        <v>-2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2">C68+L68</f>
        <v>52</v>
      </c>
      <c r="O68" s="34">
        <f t="shared" si="72"/>
        <v>1</v>
      </c>
      <c r="P68" s="49" t="s">
        <v>58</v>
      </c>
      <c r="Q68" s="49" t="s">
        <v>58</v>
      </c>
      <c r="R68" s="49"/>
      <c r="S68" s="52">
        <f t="shared" si="4"/>
        <v>1</v>
      </c>
      <c r="T68" s="52">
        <f t="shared" si="5"/>
        <v>0</v>
      </c>
      <c r="U68" s="52"/>
      <c r="V68" s="52">
        <f t="shared" si="6"/>
        <v>5</v>
      </c>
      <c r="W68" s="52">
        <f t="shared" si="7"/>
        <v>0</v>
      </c>
      <c r="X68" s="32">
        <f t="shared" si="11"/>
        <v>64</v>
      </c>
      <c r="Z68" s="16" t="str">
        <f t="shared" si="8"/>
        <v/>
      </c>
    </row>
    <row r="69">
      <c r="A69" s="32">
        <f t="shared" si="9"/>
        <v>65</v>
      </c>
      <c r="B69" s="33" t="s">
        <v>86</v>
      </c>
      <c r="C69" s="34">
        <v>37.0</v>
      </c>
      <c r="D69" s="34">
        <v>0.0</v>
      </c>
      <c r="E69" s="35">
        <f t="shared" si="2"/>
        <v>3.333333333</v>
      </c>
      <c r="F69" s="95">
        <v>1.0</v>
      </c>
      <c r="G69" s="96">
        <v>8.0</v>
      </c>
      <c r="H69" s="97">
        <v>0.0</v>
      </c>
      <c r="I69" s="96">
        <v>2.0</v>
      </c>
      <c r="J69" s="96">
        <v>1.0</v>
      </c>
      <c r="K69" s="96">
        <v>6.0</v>
      </c>
      <c r="L69" s="98">
        <v>9.0</v>
      </c>
      <c r="M69" s="96">
        <v>1.0</v>
      </c>
      <c r="N69" s="34">
        <f t="shared" ref="N69:O69" si="73">C69+L69</f>
        <v>46</v>
      </c>
      <c r="O69" s="34">
        <f t="shared" si="73"/>
        <v>1</v>
      </c>
      <c r="P69" s="49" t="s">
        <v>58</v>
      </c>
      <c r="Q69" s="49" t="s">
        <v>58</v>
      </c>
      <c r="R69" s="49"/>
      <c r="S69" s="52">
        <f t="shared" si="4"/>
        <v>3</v>
      </c>
      <c r="T69" s="52">
        <f t="shared" si="5"/>
        <v>0</v>
      </c>
      <c r="U69" s="52"/>
      <c r="V69" s="52">
        <f t="shared" si="6"/>
        <v>3</v>
      </c>
      <c r="W69" s="52">
        <f t="shared" si="7"/>
        <v>0</v>
      </c>
      <c r="X69" s="32">
        <f t="shared" si="11"/>
        <v>65</v>
      </c>
      <c r="Z69" s="16" t="str">
        <f t="shared" si="8"/>
        <v/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E73" s="1"/>
      <c r="F73" s="1"/>
    </row>
    <row r="74">
      <c r="A74" s="1"/>
      <c r="C74" s="1"/>
      <c r="D74" s="1"/>
      <c r="E74" s="1"/>
      <c r="F74" s="1"/>
    </row>
    <row r="75">
      <c r="A75" s="1"/>
      <c r="B75" s="105" t="s">
        <v>153</v>
      </c>
      <c r="C75" s="25"/>
      <c r="D75" s="25"/>
      <c r="E75" s="25"/>
      <c r="F75" s="25"/>
      <c r="G75" s="25"/>
      <c r="H75" s="25"/>
      <c r="I75" s="25"/>
      <c r="J75" s="26"/>
    </row>
    <row r="76">
      <c r="A76" s="1"/>
      <c r="C76" s="1"/>
      <c r="D76" s="1"/>
      <c r="E76" s="1"/>
      <c r="F76" s="1"/>
    </row>
    <row r="77">
      <c r="A77" s="82"/>
      <c r="C77" s="1"/>
      <c r="D77" s="1"/>
      <c r="E77" s="1"/>
      <c r="F77" s="1"/>
    </row>
    <row r="78">
      <c r="A78" s="1"/>
      <c r="B78" s="131" t="str">
        <f>concatenate("Top Scores : " &amp;AC2)</f>
        <v>Top Scores : 08/02/25</v>
      </c>
      <c r="C78" s="112" t="s">
        <v>159</v>
      </c>
      <c r="D78" s="112" t="s">
        <v>160</v>
      </c>
      <c r="E78" s="112" t="s">
        <v>1</v>
      </c>
      <c r="F78" s="1"/>
    </row>
    <row r="79">
      <c r="A79" s="1"/>
      <c r="B79" s="33" t="str">
        <f>IFERROR(__xludf.DUMMYFUNCTION("QUERY(indirect(AC2 &amp; ""!B5:M69""),""Select B, L, M, G where L &gt;= 18 order by L desc,M desc"",0)"),"Pulkit Mathur")</f>
        <v>Pulkit Mathur</v>
      </c>
      <c r="C79" s="117">
        <f>IFERROR(__xludf.DUMMYFUNCTION("""COMPUTED_VALUE"""),19.0)</f>
        <v>19</v>
      </c>
      <c r="D79" s="117">
        <f>IFERROR(__xludf.DUMMYFUNCTION("""COMPUTED_VALUE"""),3.0)</f>
        <v>3</v>
      </c>
      <c r="E79" s="117">
        <f>IFERROR(__xludf.DUMMYFUNCTION("""COMPUTED_VALUE"""),3.0)</f>
        <v>3</v>
      </c>
      <c r="F79" s="1"/>
    </row>
    <row r="80">
      <c r="A80" s="1"/>
      <c r="B80" s="33" t="str">
        <f>IFERROR(__xludf.DUMMYFUNCTION("""COMPUTED_VALUE"""),"Darren Wong")</f>
        <v>Darren Wong</v>
      </c>
      <c r="C80" s="117">
        <f>IFERROR(__xludf.DUMMYFUNCTION("""COMPUTED_VALUE"""),18.0)</f>
        <v>18</v>
      </c>
      <c r="D80" s="117">
        <f>IFERROR(__xludf.DUMMYFUNCTION("""COMPUTED_VALUE"""),3.0)</f>
        <v>3</v>
      </c>
      <c r="E80" s="117">
        <f>IFERROR(__xludf.DUMMYFUNCTION("""COMPUTED_VALUE"""),1.0)</f>
        <v>1</v>
      </c>
      <c r="F80" s="1"/>
    </row>
    <row r="81">
      <c r="A81" s="1"/>
      <c r="B81" s="33" t="str">
        <f>IFERROR(__xludf.DUMMYFUNCTION("""COMPUTED_VALUE"""),"Eric Pan")</f>
        <v>Eric Pan</v>
      </c>
      <c r="C81" s="117">
        <f>IFERROR(__xludf.DUMMYFUNCTION("""COMPUTED_VALUE"""),18.0)</f>
        <v>18</v>
      </c>
      <c r="D81" s="117">
        <f>IFERROR(__xludf.DUMMYFUNCTION("""COMPUTED_VALUE"""),3.0)</f>
        <v>3</v>
      </c>
      <c r="E81" s="117">
        <f>IFERROR(__xludf.DUMMYFUNCTION("""COMPUTED_VALUE"""),2.0)</f>
        <v>2</v>
      </c>
      <c r="F81" s="1"/>
    </row>
    <row r="82">
      <c r="A82" s="1"/>
      <c r="B82" s="33" t="str">
        <f>IFERROR(__xludf.DUMMYFUNCTION("""COMPUTED_VALUE"""),"Tom Le")</f>
        <v>Tom Le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IFERROR(__xludf.DUMMYFUNCTION("""COMPUTED_VALUE"""),9.0)</f>
        <v>9</v>
      </c>
      <c r="F82" s="1"/>
    </row>
    <row r="83">
      <c r="A83" s="1"/>
      <c r="B83" s="33" t="str">
        <f>IFERROR(__xludf.DUMMYFUNCTION("""COMPUTED_VALUE"""),"Adrian Tay")</f>
        <v>Adrian Tay</v>
      </c>
      <c r="C83" s="117">
        <f>IFERROR(__xludf.DUMMYFUNCTION("""COMPUTED_VALUE"""),18.0)</f>
        <v>18</v>
      </c>
      <c r="D83" s="117">
        <f>IFERROR(__xludf.DUMMYFUNCTION("""COMPUTED_VALUE"""),3.0)</f>
        <v>3</v>
      </c>
      <c r="E83" s="117">
        <f>IFERROR(__xludf.DUMMYFUNCTION("""COMPUTED_VALUE"""),5.0)</f>
        <v>5</v>
      </c>
      <c r="F83" s="1"/>
    </row>
    <row r="84">
      <c r="A84" s="1"/>
      <c r="B84" s="33" t="str">
        <f>IFERROR(__xludf.DUMMYFUNCTION("""COMPUTED_VALUE"""),"Suleman Alidina")</f>
        <v>Suleman Alidina</v>
      </c>
      <c r="C84" s="117">
        <f>IFERROR(__xludf.DUMMYFUNCTION("""COMPUTED_VALUE"""),18.0)</f>
        <v>18</v>
      </c>
      <c r="D84" s="117">
        <f>IFERROR(__xludf.DUMMYFUNCTION("""COMPUTED_VALUE"""),3.0)</f>
        <v>3</v>
      </c>
      <c r="E84" s="117">
        <f>IFERROR(__xludf.DUMMYFUNCTION("""COMPUTED_VALUE"""),7.0)</f>
        <v>7</v>
      </c>
      <c r="F84" s="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B87" s="33"/>
      <c r="C87" s="117"/>
      <c r="D87" s="117"/>
      <c r="E87" s="117"/>
      <c r="F87" s="1"/>
    </row>
    <row r="88">
      <c r="A88" s="1"/>
      <c r="B88" s="33"/>
      <c r="C88" s="117"/>
      <c r="D88" s="117"/>
      <c r="E88" s="117"/>
      <c r="F88" s="1"/>
    </row>
    <row r="89">
      <c r="A89" s="1"/>
      <c r="B89" s="33"/>
      <c r="C89" s="117"/>
      <c r="D89" s="117"/>
      <c r="E89" s="117"/>
      <c r="F89" s="1"/>
    </row>
    <row r="90">
      <c r="A90" s="1"/>
      <c r="C90" s="1"/>
      <c r="D90" s="1"/>
      <c r="E90" s="1"/>
      <c r="F90" s="1"/>
    </row>
    <row r="91">
      <c r="A91" s="1"/>
      <c r="C91" s="1"/>
      <c r="D91" s="1"/>
      <c r="E91" s="1"/>
      <c r="F91" s="1"/>
    </row>
    <row r="92">
      <c r="A92" s="1"/>
      <c r="C92" s="1"/>
      <c r="D92" s="1"/>
      <c r="E92" s="1"/>
      <c r="F92" s="1"/>
    </row>
    <row r="93">
      <c r="A93" s="1"/>
      <c r="B93" s="119" t="s">
        <v>167</v>
      </c>
      <c r="C93" s="119" t="s">
        <v>168</v>
      </c>
      <c r="D93" s="133" t="s">
        <v>169</v>
      </c>
      <c r="E93" s="134" t="s">
        <v>170</v>
      </c>
      <c r="F93" s="135" t="s">
        <v>171</v>
      </c>
      <c r="G93" s="119" t="s">
        <v>172</v>
      </c>
      <c r="L93" s="119" t="s">
        <v>173</v>
      </c>
    </row>
    <row r="94">
      <c r="A94" s="1"/>
      <c r="B94" s="33" t="str">
        <f>IFERROR(__xludf.DUMMYFUNCTION("query(B5:W69,""select B, W order by W Desc Limit 10"")"),"Tom Le")</f>
        <v>Tom Le</v>
      </c>
      <c r="C94" s="117">
        <f>IFERROR(__xludf.DUMMYFUNCTION("""COMPUTED_VALUE"""),15.0)</f>
        <v>15</v>
      </c>
      <c r="D94" s="117">
        <f t="shared" ref="D94:D103" si="74">VLOOKUP(B94,indirect($AC$2&amp;"!B$5:X$69"),23, false)</f>
        <v>24</v>
      </c>
      <c r="E94" s="117">
        <f t="shared" ref="E94:E103" si="75">VLOOKUP(B94,B$5:X$69,23, false)</f>
        <v>9</v>
      </c>
      <c r="F94" s="117">
        <f t="shared" ref="F94:F103" si="76">VLOOKUP(B94,indirect($AC$2&amp;"!B$5:U$70"),11, false)</f>
        <v>18</v>
      </c>
      <c r="G94" s="117">
        <f t="shared" ref="G94:G103" si="77">VLOOKUP(B94,indirect($AC$2&amp;"!B$5:U$70"),6, false)</f>
        <v>9</v>
      </c>
      <c r="L94" s="117" t="str">
        <f t="shared" ref="L94:L103" si="78">if(D94-E94=C94,"ok","Error")</f>
        <v>ok</v>
      </c>
    </row>
    <row r="95">
      <c r="A95" s="1"/>
      <c r="B95" s="33" t="str">
        <f>IFERROR(__xludf.DUMMYFUNCTION("""COMPUTED_VALUE"""),"Adrian Tay")</f>
        <v>Adrian Tay</v>
      </c>
      <c r="C95" s="117">
        <f>IFERROR(__xludf.DUMMYFUNCTION("""COMPUTED_VALUE"""),15.0)</f>
        <v>15</v>
      </c>
      <c r="D95" s="117">
        <f t="shared" si="74"/>
        <v>37</v>
      </c>
      <c r="E95" s="117">
        <f t="shared" si="75"/>
        <v>22</v>
      </c>
      <c r="F95" s="117">
        <f t="shared" si="76"/>
        <v>18</v>
      </c>
      <c r="G95" s="117">
        <f t="shared" si="77"/>
        <v>5</v>
      </c>
      <c r="L95" s="117" t="str">
        <f t="shared" si="78"/>
        <v>ok</v>
      </c>
    </row>
    <row r="96">
      <c r="A96" s="1"/>
      <c r="B96" s="33" t="str">
        <f>IFERROR(__xludf.DUMMYFUNCTION("""COMPUTED_VALUE"""),"Jimmy Awolesi")</f>
        <v>Jimmy Awolesi</v>
      </c>
      <c r="C96" s="117">
        <f>IFERROR(__xludf.DUMMYFUNCTION("""COMPUTED_VALUE"""),14.0)</f>
        <v>14</v>
      </c>
      <c r="D96" s="117">
        <f t="shared" si="74"/>
        <v>29</v>
      </c>
      <c r="E96" s="117">
        <f t="shared" si="75"/>
        <v>15</v>
      </c>
      <c r="F96" s="117">
        <f t="shared" si="76"/>
        <v>17</v>
      </c>
      <c r="G96" s="117">
        <f t="shared" si="77"/>
        <v>4</v>
      </c>
      <c r="L96" s="117" t="str">
        <f t="shared" si="78"/>
        <v>ok</v>
      </c>
    </row>
    <row r="97">
      <c r="A97" s="1"/>
      <c r="B97" s="33" t="str">
        <f>IFERROR(__xludf.DUMMYFUNCTION("""COMPUTED_VALUE"""),"Suleman Alidina")</f>
        <v>Suleman Alidina</v>
      </c>
      <c r="C97" s="117">
        <f>IFERROR(__xludf.DUMMYFUNCTION("""COMPUTED_VALUE"""),14.0)</f>
        <v>14</v>
      </c>
      <c r="D97" s="117">
        <f t="shared" si="74"/>
        <v>45</v>
      </c>
      <c r="E97" s="117">
        <f t="shared" si="75"/>
        <v>31</v>
      </c>
      <c r="F97" s="117">
        <f t="shared" si="76"/>
        <v>18</v>
      </c>
      <c r="G97" s="117">
        <f t="shared" si="77"/>
        <v>7</v>
      </c>
      <c r="L97" s="117" t="str">
        <f t="shared" si="78"/>
        <v>ok</v>
      </c>
    </row>
    <row r="98">
      <c r="A98" s="1"/>
      <c r="B98" s="33" t="str">
        <f>IFERROR(__xludf.DUMMYFUNCTION("""COMPUTED_VALUE"""),"Rajesh Dorairaj")</f>
        <v>Rajesh Dorairaj</v>
      </c>
      <c r="C98" s="117">
        <f>IFERROR(__xludf.DUMMYFUNCTION("""COMPUTED_VALUE"""),12.0)</f>
        <v>12</v>
      </c>
      <c r="D98" s="117">
        <f t="shared" si="74"/>
        <v>30</v>
      </c>
      <c r="E98" s="117">
        <f t="shared" si="75"/>
        <v>18</v>
      </c>
      <c r="F98" s="117">
        <f t="shared" si="76"/>
        <v>17</v>
      </c>
      <c r="G98" s="117">
        <f t="shared" si="77"/>
        <v>4</v>
      </c>
      <c r="L98" s="117" t="str">
        <f t="shared" si="78"/>
        <v>ok</v>
      </c>
    </row>
    <row r="99">
      <c r="A99" s="1"/>
      <c r="B99" s="33" t="str">
        <f>IFERROR(__xludf.DUMMYFUNCTION("""COMPUTED_VALUE"""),"Jim Miao")</f>
        <v>Jim Miao</v>
      </c>
      <c r="C99" s="117">
        <f>IFERROR(__xludf.DUMMYFUNCTION("""COMPUTED_VALUE"""),11.0)</f>
        <v>11</v>
      </c>
      <c r="D99" s="117">
        <f t="shared" si="74"/>
        <v>53</v>
      </c>
      <c r="E99" s="117">
        <f t="shared" si="75"/>
        <v>42</v>
      </c>
      <c r="F99" s="117">
        <f t="shared" si="76"/>
        <v>17</v>
      </c>
      <c r="G99" s="117">
        <f t="shared" si="77"/>
        <v>8</v>
      </c>
      <c r="L99" s="117" t="str">
        <f t="shared" si="78"/>
        <v>ok</v>
      </c>
    </row>
    <row r="100">
      <c r="A100" s="1"/>
      <c r="B100" s="33" t="str">
        <f>IFERROR(__xludf.DUMMYFUNCTION("""COMPUTED_VALUE"""),"Hongyuan Wen")</f>
        <v>Hongyuan Wen</v>
      </c>
      <c r="C100" s="117">
        <f>IFERROR(__xludf.DUMMYFUNCTION("""COMPUTED_VALUE"""),9.0)</f>
        <v>9</v>
      </c>
      <c r="D100" s="117">
        <f t="shared" si="74"/>
        <v>32</v>
      </c>
      <c r="E100" s="117">
        <f t="shared" si="75"/>
        <v>23</v>
      </c>
      <c r="F100" s="117">
        <f t="shared" si="76"/>
        <v>16</v>
      </c>
      <c r="G100" s="117">
        <f t="shared" si="77"/>
        <v>4</v>
      </c>
      <c r="L100" s="117" t="str">
        <f t="shared" si="78"/>
        <v>ok</v>
      </c>
    </row>
    <row r="101">
      <c r="A101" s="1"/>
      <c r="B101" s="33" t="str">
        <f>IFERROR(__xludf.DUMMYFUNCTION("""COMPUTED_VALUE"""),"Andrew Wen")</f>
        <v>Andrew Wen</v>
      </c>
      <c r="C101" s="117">
        <f>IFERROR(__xludf.DUMMYFUNCTION("""COMPUTED_VALUE"""),9.0)</f>
        <v>9</v>
      </c>
      <c r="D101" s="117">
        <f t="shared" si="74"/>
        <v>39</v>
      </c>
      <c r="E101" s="117">
        <f t="shared" si="75"/>
        <v>30</v>
      </c>
      <c r="F101" s="117">
        <f t="shared" si="76"/>
        <v>16</v>
      </c>
      <c r="G101" s="117">
        <f t="shared" si="77"/>
        <v>6</v>
      </c>
      <c r="L101" s="117" t="str">
        <f t="shared" si="78"/>
        <v>ok</v>
      </c>
    </row>
    <row r="102">
      <c r="A102" s="1"/>
      <c r="B102" s="33" t="str">
        <f>IFERROR(__xludf.DUMMYFUNCTION("""COMPUTED_VALUE"""),"Alejandro Mejia")</f>
        <v>Alejandro Mejia</v>
      </c>
      <c r="C102" s="117">
        <f>IFERROR(__xludf.DUMMYFUNCTION("""COMPUTED_VALUE"""),9.0)</f>
        <v>9</v>
      </c>
      <c r="D102" s="117">
        <f t="shared" si="74"/>
        <v>55</v>
      </c>
      <c r="E102" s="117">
        <f t="shared" si="75"/>
        <v>46</v>
      </c>
      <c r="F102" s="117">
        <f t="shared" si="76"/>
        <v>16</v>
      </c>
      <c r="G102" s="117">
        <f t="shared" si="77"/>
        <v>8</v>
      </c>
      <c r="L102" s="117" t="str">
        <f t="shared" si="78"/>
        <v>ok</v>
      </c>
    </row>
    <row r="103">
      <c r="A103" s="1"/>
      <c r="B103" s="33" t="str">
        <f>IFERROR(__xludf.DUMMYFUNCTION("""COMPUTED_VALUE"""),"Kumar Palakeel")</f>
        <v>Kumar Palakeel</v>
      </c>
      <c r="C103" s="117">
        <f>IFERROR(__xludf.DUMMYFUNCTION("""COMPUTED_VALUE"""),8.0)</f>
        <v>8</v>
      </c>
      <c r="D103" s="117">
        <f t="shared" si="74"/>
        <v>42</v>
      </c>
      <c r="E103" s="117">
        <f t="shared" si="75"/>
        <v>34</v>
      </c>
      <c r="F103" s="117">
        <f t="shared" si="76"/>
        <v>16</v>
      </c>
      <c r="G103" s="117">
        <f t="shared" si="77"/>
        <v>6</v>
      </c>
      <c r="L103" s="117" t="str">
        <f t="shared" si="78"/>
        <v>ok</v>
      </c>
    </row>
    <row r="104">
      <c r="A104" s="1"/>
      <c r="C104" s="1"/>
      <c r="D104" s="1"/>
      <c r="E104" s="1"/>
      <c r="F104" s="1"/>
    </row>
    <row r="105">
      <c r="A105" s="1"/>
      <c r="C105" s="1"/>
      <c r="D105" s="1"/>
      <c r="E105" s="1"/>
      <c r="F105" s="1"/>
    </row>
    <row r="106">
      <c r="A106" s="1"/>
      <c r="C106" s="1"/>
      <c r="D106" s="1"/>
      <c r="E106" s="1"/>
      <c r="F106" s="1"/>
    </row>
    <row r="107">
      <c r="A107" s="1"/>
      <c r="C107" s="1"/>
      <c r="D107" s="1"/>
      <c r="E107" s="1"/>
      <c r="F107" s="1"/>
    </row>
    <row r="108">
      <c r="A108" s="1"/>
      <c r="C108" s="1"/>
      <c r="D108" s="1"/>
      <c r="E108" s="1"/>
      <c r="F108" s="1"/>
    </row>
    <row r="109">
      <c r="A109" s="1"/>
      <c r="B109" s="119" t="str">
        <f> CONCATENATE("TOP 10 Players after " &amp;D2 &amp; " Weeks")</f>
        <v>TOP 10 Players after 6 Weeks</v>
      </c>
      <c r="C109" s="1"/>
      <c r="D109" s="1"/>
      <c r="E109" s="1"/>
      <c r="F109" s="1"/>
    </row>
    <row r="110">
      <c r="A110" s="1"/>
      <c r="C110" s="1"/>
      <c r="D110" s="1"/>
      <c r="E110" s="1"/>
      <c r="F110" s="1"/>
    </row>
    <row r="111">
      <c r="A111" s="110" t="s">
        <v>31</v>
      </c>
      <c r="B111" s="110" t="s">
        <v>25</v>
      </c>
      <c r="C111" s="110" t="s">
        <v>5</v>
      </c>
      <c r="D111" s="110" t="s">
        <v>7</v>
      </c>
      <c r="E111" s="110" t="s">
        <v>32</v>
      </c>
      <c r="F111" s="1"/>
    </row>
    <row r="112">
      <c r="A112" s="117">
        <f t="shared" ref="A112:E112" si="79">A5</f>
        <v>1</v>
      </c>
      <c r="B112" s="33" t="str">
        <f t="shared" si="79"/>
        <v>Darren Wong</v>
      </c>
      <c r="C112" s="117">
        <f t="shared" si="79"/>
        <v>81</v>
      </c>
      <c r="D112" s="117">
        <f t="shared" si="79"/>
        <v>11</v>
      </c>
      <c r="E112" s="117">
        <f t="shared" si="79"/>
        <v>15.75</v>
      </c>
      <c r="F112" s="1"/>
    </row>
    <row r="113">
      <c r="A113" s="117">
        <f t="shared" ref="A113:E113" si="80">A6</f>
        <v>2</v>
      </c>
      <c r="B113" s="33" t="str">
        <f t="shared" si="80"/>
        <v>Lam Bui</v>
      </c>
      <c r="C113" s="117">
        <f t="shared" si="80"/>
        <v>74</v>
      </c>
      <c r="D113" s="117">
        <f t="shared" si="80"/>
        <v>8</v>
      </c>
      <c r="E113" s="117">
        <f t="shared" si="80"/>
        <v>13</v>
      </c>
      <c r="F113" s="1"/>
    </row>
    <row r="114">
      <c r="A114" s="117">
        <f t="shared" ref="A114:E114" si="81">A7</f>
        <v>3</v>
      </c>
      <c r="B114" s="33" t="str">
        <f t="shared" si="81"/>
        <v>Pulkit Mathur</v>
      </c>
      <c r="C114" s="117">
        <f t="shared" si="81"/>
        <v>73</v>
      </c>
      <c r="D114" s="117">
        <f t="shared" si="81"/>
        <v>9</v>
      </c>
      <c r="E114" s="117">
        <f t="shared" si="81"/>
        <v>12.8</v>
      </c>
      <c r="F114" s="1"/>
    </row>
    <row r="115">
      <c r="A115" s="117">
        <f t="shared" ref="A115:E115" si="82">A8</f>
        <v>4</v>
      </c>
      <c r="B115" s="33" t="str">
        <f t="shared" si="82"/>
        <v>Eric Pan</v>
      </c>
      <c r="C115" s="117">
        <f t="shared" si="82"/>
        <v>73</v>
      </c>
      <c r="D115" s="117">
        <f t="shared" si="82"/>
        <v>8</v>
      </c>
      <c r="E115" s="117">
        <f t="shared" si="82"/>
        <v>12.8</v>
      </c>
      <c r="F115" s="1"/>
    </row>
    <row r="116">
      <c r="A116" s="117">
        <f t="shared" ref="A116:E116" si="83">A9</f>
        <v>5</v>
      </c>
      <c r="B116" s="33" t="str">
        <f t="shared" si="83"/>
        <v>Sandeep Kamalon</v>
      </c>
      <c r="C116" s="117">
        <f t="shared" si="83"/>
        <v>72</v>
      </c>
      <c r="D116" s="117">
        <f t="shared" si="83"/>
        <v>9</v>
      </c>
      <c r="E116" s="117">
        <f t="shared" si="83"/>
        <v>11.8</v>
      </c>
      <c r="F116" s="1"/>
    </row>
    <row r="117">
      <c r="A117" s="117">
        <f t="shared" ref="A117:E117" si="84">A10</f>
        <v>6</v>
      </c>
      <c r="B117" s="33" t="str">
        <f t="shared" si="84"/>
        <v>Ethan Gu</v>
      </c>
      <c r="C117" s="117">
        <f t="shared" si="84"/>
        <v>70</v>
      </c>
      <c r="D117" s="117">
        <f t="shared" si="84"/>
        <v>9</v>
      </c>
      <c r="E117" s="117">
        <f t="shared" si="84"/>
        <v>11.66666667</v>
      </c>
      <c r="F117" s="1"/>
    </row>
    <row r="118">
      <c r="A118" s="117">
        <f t="shared" ref="A118:E118" si="85">A11</f>
        <v>7</v>
      </c>
      <c r="B118" s="33" t="str">
        <f t="shared" si="85"/>
        <v>David Shin</v>
      </c>
      <c r="C118" s="117">
        <f t="shared" si="85"/>
        <v>70</v>
      </c>
      <c r="D118" s="117">
        <f t="shared" si="85"/>
        <v>6</v>
      </c>
      <c r="E118" s="117">
        <f t="shared" si="85"/>
        <v>11.66666667</v>
      </c>
      <c r="F118" s="1"/>
    </row>
    <row r="119">
      <c r="A119" s="117">
        <f t="shared" ref="A119:E119" si="86">A12</f>
        <v>8</v>
      </c>
      <c r="B119" s="33" t="str">
        <f t="shared" si="86"/>
        <v>Rajasekar Ramasamy</v>
      </c>
      <c r="C119" s="117">
        <f t="shared" si="86"/>
        <v>69</v>
      </c>
      <c r="D119" s="117">
        <f t="shared" si="86"/>
        <v>8</v>
      </c>
      <c r="E119" s="117">
        <f t="shared" si="86"/>
        <v>11.5</v>
      </c>
      <c r="F119" s="1"/>
    </row>
    <row r="120">
      <c r="A120" s="117">
        <f t="shared" ref="A120:E120" si="87">A13</f>
        <v>9</v>
      </c>
      <c r="B120" s="33" t="str">
        <f t="shared" si="87"/>
        <v>Tom Le</v>
      </c>
      <c r="C120" s="117">
        <f t="shared" si="87"/>
        <v>67</v>
      </c>
      <c r="D120" s="117">
        <f t="shared" si="87"/>
        <v>7</v>
      </c>
      <c r="E120" s="117">
        <f t="shared" si="87"/>
        <v>12.25</v>
      </c>
      <c r="F120" s="1"/>
    </row>
    <row r="121">
      <c r="A121" s="117">
        <f t="shared" ref="A121:E121" si="88">A14</f>
        <v>10</v>
      </c>
      <c r="B121" s="33" t="str">
        <f t="shared" si="88"/>
        <v>Frank Moon</v>
      </c>
      <c r="C121" s="117">
        <f t="shared" si="88"/>
        <v>67</v>
      </c>
      <c r="D121" s="117">
        <f t="shared" si="88"/>
        <v>7</v>
      </c>
      <c r="E121" s="117">
        <f t="shared" si="88"/>
        <v>11.16666667</v>
      </c>
      <c r="F121" s="1"/>
    </row>
    <row r="122">
      <c r="A122" s="1"/>
      <c r="C122" s="1"/>
      <c r="D122" s="1"/>
      <c r="E122" s="1"/>
      <c r="F122" s="1"/>
    </row>
    <row r="123">
      <c r="A123" s="1"/>
      <c r="C123" s="1"/>
      <c r="D123" s="1"/>
      <c r="E123" s="1"/>
      <c r="F123" s="1"/>
    </row>
    <row r="124">
      <c r="A124" s="1"/>
      <c r="C124" s="1"/>
      <c r="D124" s="1"/>
      <c r="E124" s="1"/>
      <c r="F124" s="1"/>
    </row>
    <row r="125">
      <c r="A125" s="1"/>
      <c r="B125" s="119" t="str">
        <f>concatenate("Scores for : " &amp; AC2)</f>
        <v>Scores for : 08/02/25</v>
      </c>
      <c r="C125" s="1"/>
      <c r="D125" s="1"/>
      <c r="E125" s="1"/>
      <c r="F125" s="1"/>
    </row>
    <row r="126">
      <c r="A126" s="1"/>
      <c r="C126" s="1"/>
      <c r="D126" s="1"/>
      <c r="E126" s="1"/>
      <c r="F126" s="1"/>
    </row>
    <row r="127">
      <c r="A127" s="110" t="s">
        <v>1</v>
      </c>
      <c r="B127" s="110" t="s">
        <v>0</v>
      </c>
      <c r="C127" s="110" t="s">
        <v>12</v>
      </c>
      <c r="D127" s="110" t="s">
        <v>14</v>
      </c>
      <c r="E127" s="110" t="s">
        <v>16</v>
      </c>
      <c r="F127" s="110" t="s">
        <v>18</v>
      </c>
      <c r="G127" s="110" t="s">
        <v>7</v>
      </c>
    </row>
    <row r="128">
      <c r="A128" s="117">
        <f>IFERROR(__xludf.DUMMYFUNCTION("QUERY(indirect(AC2 &amp; ""!B5:M69""),""Select G, B, I, J, K,L, M where G &gt; 0 order by G asc"",0)"),1.0)</f>
        <v>1</v>
      </c>
      <c r="B128" s="33" t="str">
        <f>IFERROR(__xludf.DUMMYFUNCTION("""COMPUTED_VALUE"""),"Lam Bui")</f>
        <v>Lam Bui</v>
      </c>
      <c r="C128" s="122">
        <f>IFERROR(__xludf.DUMMYFUNCTION("""COMPUTED_VALUE"""),2.0)</f>
        <v>2</v>
      </c>
      <c r="D128" s="122">
        <f>IFERROR(__xludf.DUMMYFUNCTION("""COMPUTED_VALUE"""),6.0)</f>
        <v>6</v>
      </c>
      <c r="E128" s="122">
        <f>IFERROR(__xludf.DUMMYFUNCTION("""COMPUTED_VALUE"""),2.0)</f>
        <v>2</v>
      </c>
      <c r="F128" s="122">
        <f>IFERROR(__xludf.DUMMYFUNCTION("""COMPUTED_VALUE"""),10.0)</f>
        <v>10</v>
      </c>
      <c r="G128" s="122">
        <f>IFERROR(__xludf.DUMMYFUNCTION("""COMPUTED_VALUE"""),1.0)</f>
        <v>1</v>
      </c>
    </row>
    <row r="129">
      <c r="A129" s="117">
        <f>IFERROR(__xludf.DUMMYFUNCTION("""COMPUTED_VALUE"""),1.0)</f>
        <v>1</v>
      </c>
      <c r="B129" s="33" t="str">
        <f>IFERROR(__xludf.DUMMYFUNCTION("""COMPUTED_VALUE"""),"Darren Wong")</f>
        <v>Darren Wong</v>
      </c>
      <c r="C129" s="122">
        <f>IFERROR(__xludf.DUMMYFUNCTION("""COMPUTED_VALUE"""),6.0)</f>
        <v>6</v>
      </c>
      <c r="D129" s="122">
        <f>IFERROR(__xludf.DUMMYFUNCTION("""COMPUTED_VALUE"""),6.0)</f>
        <v>6</v>
      </c>
      <c r="E129" s="122">
        <f>IFERROR(__xludf.DUMMYFUNCTION("""COMPUTED_VALUE"""),6.0)</f>
        <v>6</v>
      </c>
      <c r="F129" s="122">
        <f>IFERROR(__xludf.DUMMYFUNCTION("""COMPUTED_VALUE"""),18.0)</f>
        <v>18</v>
      </c>
      <c r="G129" s="122">
        <f>IFERROR(__xludf.DUMMYFUNCTION("""COMPUTED_VALUE"""),3.0)</f>
        <v>3</v>
      </c>
    </row>
    <row r="130">
      <c r="A130" s="117">
        <f>IFERROR(__xludf.DUMMYFUNCTION("""COMPUTED_VALUE"""),1.0)</f>
        <v>1</v>
      </c>
      <c r="B130" s="33" t="str">
        <f>IFERROR(__xludf.DUMMYFUNCTION("""COMPUTED_VALUE"""),"Sandeep Kamalon")</f>
        <v>Sandeep Kamalon</v>
      </c>
      <c r="C130" s="122">
        <f>IFERROR(__xludf.DUMMYFUNCTION("""COMPUTED_VALUE"""),2.0)</f>
        <v>2</v>
      </c>
      <c r="D130" s="122">
        <f>IFERROR(__xludf.DUMMYFUNCTION("""COMPUTED_VALUE"""),2.0)</f>
        <v>2</v>
      </c>
      <c r="E130" s="122">
        <f>IFERROR(__xludf.DUMMYFUNCTION("""COMPUTED_VALUE"""),6.0)</f>
        <v>6</v>
      </c>
      <c r="F130" s="122">
        <f>IFERROR(__xludf.DUMMYFUNCTION("""COMPUTED_VALUE"""),10.0)</f>
        <v>10</v>
      </c>
      <c r="G130" s="122">
        <f>IFERROR(__xludf.DUMMYFUNCTION("""COMPUTED_VALUE"""),1.0)</f>
        <v>1</v>
      </c>
    </row>
    <row r="131">
      <c r="A131" s="117">
        <f>IFERROR(__xludf.DUMMYFUNCTION("""COMPUTED_VALUE"""),1.0)</f>
        <v>1</v>
      </c>
      <c r="B131" s="33" t="str">
        <f>IFERROR(__xludf.DUMMYFUNCTION("""COMPUTED_VALUE"""),"Ethan Gu")</f>
        <v>Ethan Gu</v>
      </c>
      <c r="C131" s="122">
        <f>IFERROR(__xludf.DUMMYFUNCTION("""COMPUTED_VALUE"""),6.0)</f>
        <v>6</v>
      </c>
      <c r="D131" s="122">
        <f>IFERROR(__xludf.DUMMYFUNCTION("""COMPUTED_VALUE"""),2.0)</f>
        <v>2</v>
      </c>
      <c r="E131" s="122">
        <f>IFERROR(__xludf.DUMMYFUNCTION("""COMPUTED_VALUE"""),2.0)</f>
        <v>2</v>
      </c>
      <c r="F131" s="122">
        <f>IFERROR(__xludf.DUMMYFUNCTION("""COMPUTED_VALUE"""),10.0)</f>
        <v>10</v>
      </c>
      <c r="G131" s="122">
        <f>IFERROR(__xludf.DUMMYFUNCTION("""COMPUTED_VALUE"""),1.0)</f>
        <v>1</v>
      </c>
    </row>
    <row r="132">
      <c r="A132" s="123">
        <f>IFERROR(__xludf.DUMMYFUNCTION("""COMPUTED_VALUE"""),2.0)</f>
        <v>2</v>
      </c>
      <c r="B132" s="124" t="str">
        <f>IFERROR(__xludf.DUMMYFUNCTION("""COMPUTED_VALUE"""),"David Shin")</f>
        <v>David Shin</v>
      </c>
      <c r="C132" s="125">
        <f>IFERROR(__xludf.DUMMYFUNCTION("""COMPUTED_VALUE"""),2.0)</f>
        <v>2</v>
      </c>
      <c r="D132" s="125">
        <f>IFERROR(__xludf.DUMMYFUNCTION("""COMPUTED_VALUE"""),3.0)</f>
        <v>3</v>
      </c>
      <c r="E132" s="125">
        <f>IFERROR(__xludf.DUMMYFUNCTION("""COMPUTED_VALUE"""),6.0)</f>
        <v>6</v>
      </c>
      <c r="F132" s="125">
        <f>IFERROR(__xludf.DUMMYFUNCTION("""COMPUTED_VALUE"""),11.0)</f>
        <v>11</v>
      </c>
      <c r="G132" s="125">
        <f>IFERROR(__xludf.DUMMYFUNCTION("""COMPUTED_VALUE"""),1.0)</f>
        <v>1</v>
      </c>
    </row>
    <row r="133">
      <c r="A133" s="123">
        <f>IFERROR(__xludf.DUMMYFUNCTION("""COMPUTED_VALUE"""),2.0)</f>
        <v>2</v>
      </c>
      <c r="B133" s="124" t="str">
        <f>IFERROR(__xludf.DUMMYFUNCTION("""COMPUTED_VALUE"""),"Frank Moon")</f>
        <v>Frank Moon</v>
      </c>
      <c r="C133" s="125">
        <f>IFERROR(__xludf.DUMMYFUNCTION("""COMPUTED_VALUE"""),2.0)</f>
        <v>2</v>
      </c>
      <c r="D133" s="125">
        <f>IFERROR(__xludf.DUMMYFUNCTION("""COMPUTED_VALUE"""),6.0)</f>
        <v>6</v>
      </c>
      <c r="E133" s="125">
        <f>IFERROR(__xludf.DUMMYFUNCTION("""COMPUTED_VALUE"""),1.0)</f>
        <v>1</v>
      </c>
      <c r="F133" s="125">
        <f>IFERROR(__xludf.DUMMYFUNCTION("""COMPUTED_VALUE"""),9.0)</f>
        <v>9</v>
      </c>
      <c r="G133" s="125">
        <f>IFERROR(__xludf.DUMMYFUNCTION("""COMPUTED_VALUE"""),1.0)</f>
        <v>1</v>
      </c>
    </row>
    <row r="134">
      <c r="A134" s="123">
        <f>IFERROR(__xludf.DUMMYFUNCTION("""COMPUTED_VALUE"""),2.0)</f>
        <v>2</v>
      </c>
      <c r="B134" s="124" t="str">
        <f>IFERROR(__xludf.DUMMYFUNCTION("""COMPUTED_VALUE"""),"Eric Pan")</f>
        <v>Eric Pan</v>
      </c>
      <c r="C134" s="125">
        <f>IFERROR(__xludf.DUMMYFUNCTION("""COMPUTED_VALUE"""),6.0)</f>
        <v>6</v>
      </c>
      <c r="D134" s="125">
        <f>IFERROR(__xludf.DUMMYFUNCTION("""COMPUTED_VALUE"""),6.0)</f>
        <v>6</v>
      </c>
      <c r="E134" s="125">
        <f>IFERROR(__xludf.DUMMYFUNCTION("""COMPUTED_VALUE"""),6.0)</f>
        <v>6</v>
      </c>
      <c r="F134" s="125">
        <f>IFERROR(__xludf.DUMMYFUNCTION("""COMPUTED_VALUE"""),18.0)</f>
        <v>18</v>
      </c>
      <c r="G134" s="125">
        <f>IFERROR(__xludf.DUMMYFUNCTION("""COMPUTED_VALUE"""),3.0)</f>
        <v>3</v>
      </c>
    </row>
    <row r="135">
      <c r="A135" s="123">
        <f>IFERROR(__xludf.DUMMYFUNCTION("""COMPUTED_VALUE"""),2.0)</f>
        <v>2</v>
      </c>
      <c r="B135" s="124" t="str">
        <f>IFERROR(__xludf.DUMMYFUNCTION("""COMPUTED_VALUE"""),"Basudev Thoppai Vidyasankar")</f>
        <v>Basudev Thoppai Vidyasankar</v>
      </c>
      <c r="C135" s="125">
        <f>IFERROR(__xludf.DUMMYFUNCTION("""COMPUTED_VALUE"""),6.0)</f>
        <v>6</v>
      </c>
      <c r="D135" s="125">
        <f>IFERROR(__xludf.DUMMYFUNCTION("""COMPUTED_VALUE"""),3.0)</f>
        <v>3</v>
      </c>
      <c r="E135" s="125">
        <f>IFERROR(__xludf.DUMMYFUNCTION("""COMPUTED_VALUE"""),1.0)</f>
        <v>1</v>
      </c>
      <c r="F135" s="125">
        <f>IFERROR(__xludf.DUMMYFUNCTION("""COMPUTED_VALUE"""),10.0)</f>
        <v>10</v>
      </c>
      <c r="G135" s="125">
        <f>IFERROR(__xludf.DUMMYFUNCTION("""COMPUTED_VALUE"""),1.0)</f>
        <v>1</v>
      </c>
    </row>
    <row r="136">
      <c r="A136" s="117">
        <f>IFERROR(__xludf.DUMMYFUNCTION("""COMPUTED_VALUE"""),3.0)</f>
        <v>3</v>
      </c>
      <c r="B136" s="33" t="str">
        <f>IFERROR(__xludf.DUMMYFUNCTION("""COMPUTED_VALUE"""),"Pulkit Mathur")</f>
        <v>Pulkit Mathur</v>
      </c>
      <c r="C136" s="122">
        <f>IFERROR(__xludf.DUMMYFUNCTION("""COMPUTED_VALUE"""),7.0)</f>
        <v>7</v>
      </c>
      <c r="D136" s="122">
        <f>IFERROR(__xludf.DUMMYFUNCTION("""COMPUTED_VALUE"""),6.0)</f>
        <v>6</v>
      </c>
      <c r="E136" s="122">
        <f>IFERROR(__xludf.DUMMYFUNCTION("""COMPUTED_VALUE"""),6.0)</f>
        <v>6</v>
      </c>
      <c r="F136" s="122">
        <f>IFERROR(__xludf.DUMMYFUNCTION("""COMPUTED_VALUE"""),19.0)</f>
        <v>19</v>
      </c>
      <c r="G136" s="122">
        <f>IFERROR(__xludf.DUMMYFUNCTION("""COMPUTED_VALUE"""),3.0)</f>
        <v>3</v>
      </c>
    </row>
    <row r="137">
      <c r="A137" s="117">
        <f>IFERROR(__xludf.DUMMYFUNCTION("""COMPUTED_VALUE"""),3.0)</f>
        <v>3</v>
      </c>
      <c r="B137" s="33" t="str">
        <f>IFERROR(__xludf.DUMMYFUNCTION("""COMPUTED_VALUE"""),"Rajasekar Ramasamy")</f>
        <v>Rajasekar Ramasamy</v>
      </c>
      <c r="C137" s="122">
        <f>IFERROR(__xludf.DUMMYFUNCTION("""COMPUTED_VALUE"""),6.0)</f>
        <v>6</v>
      </c>
      <c r="D137" s="122">
        <f>IFERROR(__xludf.DUMMYFUNCTION("""COMPUTED_VALUE"""),4.0)</f>
        <v>4</v>
      </c>
      <c r="E137" s="122">
        <f>IFERROR(__xludf.DUMMYFUNCTION("""COMPUTED_VALUE"""),6.0)</f>
        <v>6</v>
      </c>
      <c r="F137" s="122">
        <f>IFERROR(__xludf.DUMMYFUNCTION("""COMPUTED_VALUE"""),16.0)</f>
        <v>16</v>
      </c>
      <c r="G137" s="122">
        <f>IFERROR(__xludf.DUMMYFUNCTION("""COMPUTED_VALUE"""),1.0)</f>
        <v>1</v>
      </c>
    </row>
    <row r="138">
      <c r="A138" s="117">
        <f>IFERROR(__xludf.DUMMYFUNCTION("""COMPUTED_VALUE"""),3.0)</f>
        <v>3</v>
      </c>
      <c r="B138" s="33" t="str">
        <f>IFERROR(__xludf.DUMMYFUNCTION("""COMPUTED_VALUE"""),"Chinna Ponnaganti")</f>
        <v>Chinna Ponnaganti</v>
      </c>
      <c r="C138" s="122">
        <f>IFERROR(__xludf.DUMMYFUNCTION("""COMPUTED_VALUE"""),7.0)</f>
        <v>7</v>
      </c>
      <c r="D138" s="122">
        <f>IFERROR(__xludf.DUMMYFUNCTION("""COMPUTED_VALUE"""),4.0)</f>
        <v>4</v>
      </c>
      <c r="E138" s="122">
        <f>IFERROR(__xludf.DUMMYFUNCTION("""COMPUTED_VALUE"""),0.0)</f>
        <v>0</v>
      </c>
      <c r="F138" s="122">
        <f>IFERROR(__xludf.DUMMYFUNCTION("""COMPUTED_VALUE"""),11.0)</f>
        <v>11</v>
      </c>
      <c r="G138" s="122">
        <f>IFERROR(__xludf.DUMMYFUNCTION("""COMPUTED_VALUE"""),1.0)</f>
        <v>1</v>
      </c>
    </row>
    <row r="139">
      <c r="A139" s="117">
        <f>IFERROR(__xludf.DUMMYFUNCTION("""COMPUTED_VALUE"""),3.0)</f>
        <v>3</v>
      </c>
      <c r="B139" s="33" t="str">
        <f>IFERROR(__xludf.DUMMYFUNCTION("""COMPUTED_VALUE"""),"Herman Au")</f>
        <v>Herman Au</v>
      </c>
      <c r="C139" s="122">
        <f>IFERROR(__xludf.DUMMYFUNCTION("""COMPUTED_VALUE"""),6.0)</f>
        <v>6</v>
      </c>
      <c r="D139" s="122">
        <f>IFERROR(__xludf.DUMMYFUNCTION("""COMPUTED_VALUE"""),6.0)</f>
        <v>6</v>
      </c>
      <c r="E139" s="122">
        <f>IFERROR(__xludf.DUMMYFUNCTION("""COMPUTED_VALUE"""),0.0)</f>
        <v>0</v>
      </c>
      <c r="F139" s="122">
        <f>IFERROR(__xludf.DUMMYFUNCTION("""COMPUTED_VALUE"""),12.0)</f>
        <v>12</v>
      </c>
      <c r="G139" s="122">
        <f>IFERROR(__xludf.DUMMYFUNCTION("""COMPUTED_VALUE"""),1.0)</f>
        <v>1</v>
      </c>
    </row>
    <row r="140">
      <c r="A140" s="123">
        <f>IFERROR(__xludf.DUMMYFUNCTION("""COMPUTED_VALUE"""),4.0)</f>
        <v>4</v>
      </c>
      <c r="B140" s="124" t="str">
        <f>IFERROR(__xludf.DUMMYFUNCTION("""COMPUTED_VALUE"""),"Eric Tan")</f>
        <v>Eric Tan</v>
      </c>
      <c r="C140" s="125">
        <f>IFERROR(__xludf.DUMMYFUNCTION("""COMPUTED_VALUE"""),5.0)</f>
        <v>5</v>
      </c>
      <c r="D140" s="125">
        <f>IFERROR(__xludf.DUMMYFUNCTION("""COMPUTED_VALUE"""),4.0)</f>
        <v>4</v>
      </c>
      <c r="E140" s="125">
        <f>IFERROR(__xludf.DUMMYFUNCTION("""COMPUTED_VALUE"""),3.0)</f>
        <v>3</v>
      </c>
      <c r="F140" s="125">
        <f>IFERROR(__xludf.DUMMYFUNCTION("""COMPUTED_VALUE"""),12.0)</f>
        <v>12</v>
      </c>
      <c r="G140" s="125">
        <f>IFERROR(__xludf.DUMMYFUNCTION("""COMPUTED_VALUE"""),0.0)</f>
        <v>0</v>
      </c>
    </row>
    <row r="141">
      <c r="A141" s="123">
        <f>IFERROR(__xludf.DUMMYFUNCTION("""COMPUTED_VALUE"""),4.0)</f>
        <v>4</v>
      </c>
      <c r="B141" s="124" t="str">
        <f>IFERROR(__xludf.DUMMYFUNCTION("""COMPUTED_VALUE"""),"Jimmy Awolesi")</f>
        <v>Jimmy Awolesi</v>
      </c>
      <c r="C141" s="125">
        <f>IFERROR(__xludf.DUMMYFUNCTION("""COMPUTED_VALUE"""),5.0)</f>
        <v>5</v>
      </c>
      <c r="D141" s="125">
        <f>IFERROR(__xludf.DUMMYFUNCTION("""COMPUTED_VALUE"""),6.0)</f>
        <v>6</v>
      </c>
      <c r="E141" s="125">
        <f>IFERROR(__xludf.DUMMYFUNCTION("""COMPUTED_VALUE"""),6.0)</f>
        <v>6</v>
      </c>
      <c r="F141" s="125">
        <f>IFERROR(__xludf.DUMMYFUNCTION("""COMPUTED_VALUE"""),17.0)</f>
        <v>17</v>
      </c>
      <c r="G141" s="125">
        <f>IFERROR(__xludf.DUMMYFUNCTION("""COMPUTED_VALUE"""),2.0)</f>
        <v>2</v>
      </c>
    </row>
    <row r="142">
      <c r="A142" s="123">
        <f>IFERROR(__xludf.DUMMYFUNCTION("""COMPUTED_VALUE"""),4.0)</f>
        <v>4</v>
      </c>
      <c r="B142" s="124" t="str">
        <f>IFERROR(__xludf.DUMMYFUNCTION("""COMPUTED_VALUE"""),"Rajesh Dorairaj")</f>
        <v>Rajesh Dorairaj</v>
      </c>
      <c r="C142" s="125">
        <f>IFERROR(__xludf.DUMMYFUNCTION("""COMPUTED_VALUE"""),7.0)</f>
        <v>7</v>
      </c>
      <c r="D142" s="125">
        <f>IFERROR(__xludf.DUMMYFUNCTION("""COMPUTED_VALUE"""),4.0)</f>
        <v>4</v>
      </c>
      <c r="E142" s="125">
        <f>IFERROR(__xludf.DUMMYFUNCTION("""COMPUTED_VALUE"""),6.0)</f>
        <v>6</v>
      </c>
      <c r="F142" s="125">
        <f>IFERROR(__xludf.DUMMYFUNCTION("""COMPUTED_VALUE"""),17.0)</f>
        <v>17</v>
      </c>
      <c r="G142" s="125">
        <f>IFERROR(__xludf.DUMMYFUNCTION("""COMPUTED_VALUE"""),2.0)</f>
        <v>2</v>
      </c>
    </row>
    <row r="143">
      <c r="A143" s="123">
        <f>IFERROR(__xludf.DUMMYFUNCTION("""COMPUTED_VALUE"""),4.0)</f>
        <v>4</v>
      </c>
      <c r="B143" s="124" t="str">
        <f>IFERROR(__xludf.DUMMYFUNCTION("""COMPUTED_VALUE"""),"Hongyuan Wen")</f>
        <v>Hongyuan Wen</v>
      </c>
      <c r="C143" s="125">
        <f>IFERROR(__xludf.DUMMYFUNCTION("""COMPUTED_VALUE"""),7.0)</f>
        <v>7</v>
      </c>
      <c r="D143" s="125">
        <f>IFERROR(__xludf.DUMMYFUNCTION("""COMPUTED_VALUE"""),6.0)</f>
        <v>6</v>
      </c>
      <c r="E143" s="125">
        <f>IFERROR(__xludf.DUMMYFUNCTION("""COMPUTED_VALUE"""),3.0)</f>
        <v>3</v>
      </c>
      <c r="F143" s="125">
        <f>IFERROR(__xludf.DUMMYFUNCTION("""COMPUTED_VALUE"""),16.0)</f>
        <v>16</v>
      </c>
      <c r="G143" s="125">
        <f>IFERROR(__xludf.DUMMYFUNCTION("""COMPUTED_VALUE"""),2.0)</f>
        <v>2</v>
      </c>
    </row>
    <row r="144">
      <c r="A144" s="117">
        <f>IFERROR(__xludf.DUMMYFUNCTION("""COMPUTED_VALUE"""),5.0)</f>
        <v>5</v>
      </c>
      <c r="B144" s="33" t="str">
        <f>IFERROR(__xludf.DUMMYFUNCTION("""COMPUTED_VALUE"""),"Nicole Ni")</f>
        <v>Nicole Ni</v>
      </c>
      <c r="C144" s="122">
        <f>IFERROR(__xludf.DUMMYFUNCTION("""COMPUTED_VALUE"""),2.0)</f>
        <v>2</v>
      </c>
      <c r="D144" s="122">
        <f>IFERROR(__xludf.DUMMYFUNCTION("""COMPUTED_VALUE"""),6.0)</f>
        <v>6</v>
      </c>
      <c r="E144" s="122">
        <f>IFERROR(__xludf.DUMMYFUNCTION("""COMPUTED_VALUE"""),3.0)</f>
        <v>3</v>
      </c>
      <c r="F144" s="122">
        <f>IFERROR(__xludf.DUMMYFUNCTION("""COMPUTED_VALUE"""),11.0)</f>
        <v>11</v>
      </c>
      <c r="G144" s="122">
        <f>IFERROR(__xludf.DUMMYFUNCTION("""COMPUTED_VALUE"""),1.0)</f>
        <v>1</v>
      </c>
    </row>
    <row r="145">
      <c r="A145" s="117">
        <f>IFERROR(__xludf.DUMMYFUNCTION("""COMPUTED_VALUE"""),5.0)</f>
        <v>5</v>
      </c>
      <c r="B145" s="33" t="str">
        <f>IFERROR(__xludf.DUMMYFUNCTION("""COMPUTED_VALUE"""),"Sandy Weyant")</f>
        <v>Sandy Weyant</v>
      </c>
      <c r="C145" s="122">
        <f>IFERROR(__xludf.DUMMYFUNCTION("""COMPUTED_VALUE"""),6.0)</f>
        <v>6</v>
      </c>
      <c r="D145" s="122">
        <f>IFERROR(__xludf.DUMMYFUNCTION("""COMPUTED_VALUE"""),0.0)</f>
        <v>0</v>
      </c>
      <c r="E145" s="122">
        <f>IFERROR(__xludf.DUMMYFUNCTION("""COMPUTED_VALUE"""),3.0)</f>
        <v>3</v>
      </c>
      <c r="F145" s="122">
        <f>IFERROR(__xludf.DUMMYFUNCTION("""COMPUTED_VALUE"""),9.0)</f>
        <v>9</v>
      </c>
      <c r="G145" s="122">
        <f>IFERROR(__xludf.DUMMYFUNCTION("""COMPUTED_VALUE"""),1.0)</f>
        <v>1</v>
      </c>
    </row>
    <row r="146">
      <c r="A146" s="117">
        <f>IFERROR(__xludf.DUMMYFUNCTION("""COMPUTED_VALUE"""),5.0)</f>
        <v>5</v>
      </c>
      <c r="B146" s="33" t="str">
        <f>IFERROR(__xludf.DUMMYFUNCTION("""COMPUTED_VALUE"""),"Adrian Tay")</f>
        <v>Adrian Tay</v>
      </c>
      <c r="C146" s="122">
        <f>IFERROR(__xludf.DUMMYFUNCTION("""COMPUTED_VALUE"""),6.0)</f>
        <v>6</v>
      </c>
      <c r="D146" s="122">
        <f>IFERROR(__xludf.DUMMYFUNCTION("""COMPUTED_VALUE"""),6.0)</f>
        <v>6</v>
      </c>
      <c r="E146" s="122">
        <f>IFERROR(__xludf.DUMMYFUNCTION("""COMPUTED_VALUE"""),6.0)</f>
        <v>6</v>
      </c>
      <c r="F146" s="122">
        <f>IFERROR(__xludf.DUMMYFUNCTION("""COMPUTED_VALUE"""),18.0)</f>
        <v>18</v>
      </c>
      <c r="G146" s="122">
        <f>IFERROR(__xludf.DUMMYFUNCTION("""COMPUTED_VALUE"""),3.0)</f>
        <v>3</v>
      </c>
    </row>
    <row r="147">
      <c r="A147" s="117">
        <f>IFERROR(__xludf.DUMMYFUNCTION("""COMPUTED_VALUE"""),5.0)</f>
        <v>5</v>
      </c>
      <c r="B147" s="33" t="str">
        <f>IFERROR(__xludf.DUMMYFUNCTION("""COMPUTED_VALUE"""),"Vinaya Kajla")</f>
        <v>Vinaya Kajla</v>
      </c>
      <c r="C147" s="122">
        <f>IFERROR(__xludf.DUMMYFUNCTION("""COMPUTED_VALUE"""),2.0)</f>
        <v>2</v>
      </c>
      <c r="D147" s="122">
        <f>IFERROR(__xludf.DUMMYFUNCTION("""COMPUTED_VALUE"""),0.0)</f>
        <v>0</v>
      </c>
      <c r="E147" s="122">
        <f>IFERROR(__xludf.DUMMYFUNCTION("""COMPUTED_VALUE"""),6.0)</f>
        <v>6</v>
      </c>
      <c r="F147" s="122">
        <f>IFERROR(__xludf.DUMMYFUNCTION("""COMPUTED_VALUE"""),8.0)</f>
        <v>8</v>
      </c>
      <c r="G147" s="122">
        <f>IFERROR(__xludf.DUMMYFUNCTION("""COMPUTED_VALUE"""),1.0)</f>
        <v>1</v>
      </c>
    </row>
    <row r="148">
      <c r="A148" s="123">
        <f>IFERROR(__xludf.DUMMYFUNCTION("""COMPUTED_VALUE"""),6.0)</f>
        <v>6</v>
      </c>
      <c r="B148" s="124" t="str">
        <f>IFERROR(__xludf.DUMMYFUNCTION("""COMPUTED_VALUE"""),"Andrew Wen")</f>
        <v>Andrew Wen</v>
      </c>
      <c r="C148" s="125">
        <f>IFERROR(__xludf.DUMMYFUNCTION("""COMPUTED_VALUE"""),6.0)</f>
        <v>6</v>
      </c>
      <c r="D148" s="125">
        <f>IFERROR(__xludf.DUMMYFUNCTION("""COMPUTED_VALUE"""),4.0)</f>
        <v>4</v>
      </c>
      <c r="E148" s="125">
        <f>IFERROR(__xludf.DUMMYFUNCTION("""COMPUTED_VALUE"""),6.0)</f>
        <v>6</v>
      </c>
      <c r="F148" s="125">
        <f>IFERROR(__xludf.DUMMYFUNCTION("""COMPUTED_VALUE"""),16.0)</f>
        <v>16</v>
      </c>
      <c r="G148" s="125">
        <f>IFERROR(__xludf.DUMMYFUNCTION("""COMPUTED_VALUE"""),2.0)</f>
        <v>2</v>
      </c>
    </row>
    <row r="149">
      <c r="A149" s="123">
        <f>IFERROR(__xludf.DUMMYFUNCTION("""COMPUTED_VALUE"""),6.0)</f>
        <v>6</v>
      </c>
      <c r="B149" s="124" t="str">
        <f>IFERROR(__xludf.DUMMYFUNCTION("""COMPUTED_VALUE"""),"Allen Zhang")</f>
        <v>Allen Zhang</v>
      </c>
      <c r="C149" s="125">
        <f>IFERROR(__xludf.DUMMYFUNCTION("""COMPUTED_VALUE"""),2.0)</f>
        <v>2</v>
      </c>
      <c r="D149" s="125">
        <f>IFERROR(__xludf.DUMMYFUNCTION("""COMPUTED_VALUE"""),6.0)</f>
        <v>6</v>
      </c>
      <c r="E149" s="125">
        <f>IFERROR(__xludf.DUMMYFUNCTION("""COMPUTED_VALUE"""),6.0)</f>
        <v>6</v>
      </c>
      <c r="F149" s="125">
        <f>IFERROR(__xludf.DUMMYFUNCTION("""COMPUTED_VALUE"""),14.0)</f>
        <v>14</v>
      </c>
      <c r="G149" s="125">
        <f>IFERROR(__xludf.DUMMYFUNCTION("""COMPUTED_VALUE"""),2.0)</f>
        <v>2</v>
      </c>
    </row>
    <row r="150">
      <c r="A150" s="123">
        <f>IFERROR(__xludf.DUMMYFUNCTION("""COMPUTED_VALUE"""),6.0)</f>
        <v>6</v>
      </c>
      <c r="B150" s="124" t="str">
        <f>IFERROR(__xludf.DUMMYFUNCTION("""COMPUTED_VALUE"""),"Vicki Martinet")</f>
        <v>Vicki Martinet</v>
      </c>
      <c r="C150" s="125">
        <f>IFERROR(__xludf.DUMMYFUNCTION("""COMPUTED_VALUE"""),2.0)</f>
        <v>2</v>
      </c>
      <c r="D150" s="125">
        <f>IFERROR(__xludf.DUMMYFUNCTION("""COMPUTED_VALUE"""),4.0)</f>
        <v>4</v>
      </c>
      <c r="E150" s="125">
        <f>IFERROR(__xludf.DUMMYFUNCTION("""COMPUTED_VALUE"""),4.0)</f>
        <v>4</v>
      </c>
      <c r="F150" s="125">
        <f>IFERROR(__xludf.DUMMYFUNCTION("""COMPUTED_VALUE"""),10.0)</f>
        <v>10</v>
      </c>
      <c r="G150" s="125">
        <f>IFERROR(__xludf.DUMMYFUNCTION("""COMPUTED_VALUE"""),0.0)</f>
        <v>0</v>
      </c>
    </row>
    <row r="151">
      <c r="A151" s="123">
        <f>IFERROR(__xludf.DUMMYFUNCTION("""COMPUTED_VALUE"""),6.0)</f>
        <v>6</v>
      </c>
      <c r="B151" s="124" t="str">
        <f>IFERROR(__xludf.DUMMYFUNCTION("""COMPUTED_VALUE"""),"Kumar Palakeel")</f>
        <v>Kumar Palakeel</v>
      </c>
      <c r="C151" s="125">
        <f>IFERROR(__xludf.DUMMYFUNCTION("""COMPUTED_VALUE"""),6.0)</f>
        <v>6</v>
      </c>
      <c r="D151" s="125">
        <f>IFERROR(__xludf.DUMMYFUNCTION("""COMPUTED_VALUE"""),6.0)</f>
        <v>6</v>
      </c>
      <c r="E151" s="125">
        <f>IFERROR(__xludf.DUMMYFUNCTION("""COMPUTED_VALUE"""),4.0)</f>
        <v>4</v>
      </c>
      <c r="F151" s="125">
        <f>IFERROR(__xludf.DUMMYFUNCTION("""COMPUTED_VALUE"""),16.0)</f>
        <v>16</v>
      </c>
      <c r="G151" s="125">
        <f>IFERROR(__xludf.DUMMYFUNCTION("""COMPUTED_VALUE"""),2.0)</f>
        <v>2</v>
      </c>
    </row>
    <row r="152">
      <c r="A152" s="117">
        <f>IFERROR(__xludf.DUMMYFUNCTION("""COMPUTED_VALUE"""),7.0)</f>
        <v>7</v>
      </c>
      <c r="B152" s="33" t="str">
        <f>IFERROR(__xludf.DUMMYFUNCTION("""COMPUTED_VALUE"""),"Naveen Raj")</f>
        <v>Naveen Raj</v>
      </c>
      <c r="C152" s="122">
        <f>IFERROR(__xludf.DUMMYFUNCTION("""COMPUTED_VALUE"""),2.0)</f>
        <v>2</v>
      </c>
      <c r="D152" s="122">
        <f>IFERROR(__xludf.DUMMYFUNCTION("""COMPUTED_VALUE"""),6.0)</f>
        <v>6</v>
      </c>
      <c r="E152" s="122">
        <f>IFERROR(__xludf.DUMMYFUNCTION("""COMPUTED_VALUE"""),2.0)</f>
        <v>2</v>
      </c>
      <c r="F152" s="122">
        <f>IFERROR(__xludf.DUMMYFUNCTION("""COMPUTED_VALUE"""),10.0)</f>
        <v>10</v>
      </c>
      <c r="G152" s="122">
        <f>IFERROR(__xludf.DUMMYFUNCTION("""COMPUTED_VALUE"""),1.0)</f>
        <v>1</v>
      </c>
    </row>
    <row r="153">
      <c r="A153" s="117">
        <f>IFERROR(__xludf.DUMMYFUNCTION("""COMPUTED_VALUE"""),7.0)</f>
        <v>7</v>
      </c>
      <c r="B153" s="33" t="str">
        <f>IFERROR(__xludf.DUMMYFUNCTION("""COMPUTED_VALUE"""),"Suleman Alidina")</f>
        <v>Suleman Alidina</v>
      </c>
      <c r="C153" s="122">
        <f>IFERROR(__xludf.DUMMYFUNCTION("""COMPUTED_VALUE"""),6.0)</f>
        <v>6</v>
      </c>
      <c r="D153" s="122">
        <f>IFERROR(__xludf.DUMMYFUNCTION("""COMPUTED_VALUE"""),6.0)</f>
        <v>6</v>
      </c>
      <c r="E153" s="122">
        <f>IFERROR(__xludf.DUMMYFUNCTION("""COMPUTED_VALUE"""),6.0)</f>
        <v>6</v>
      </c>
      <c r="F153" s="122">
        <f>IFERROR(__xludf.DUMMYFUNCTION("""COMPUTED_VALUE"""),18.0)</f>
        <v>18</v>
      </c>
      <c r="G153" s="122">
        <f>IFERROR(__xludf.DUMMYFUNCTION("""COMPUTED_VALUE"""),3.0)</f>
        <v>3</v>
      </c>
    </row>
    <row r="154">
      <c r="A154" s="117">
        <f>IFERROR(__xludf.DUMMYFUNCTION("""COMPUTED_VALUE"""),7.0)</f>
        <v>7</v>
      </c>
      <c r="B154" s="33" t="str">
        <f>IFERROR(__xludf.DUMMYFUNCTION("""COMPUTED_VALUE"""),"Manuel Rivera")</f>
        <v>Manuel Rivera</v>
      </c>
      <c r="C154" s="122">
        <f>IFERROR(__xludf.DUMMYFUNCTION("""COMPUTED_VALUE"""),6.0)</f>
        <v>6</v>
      </c>
      <c r="D154" s="122">
        <f>IFERROR(__xludf.DUMMYFUNCTION("""COMPUTED_VALUE"""),1.0)</f>
        <v>1</v>
      </c>
      <c r="E154" s="122">
        <f>IFERROR(__xludf.DUMMYFUNCTION("""COMPUTED_VALUE"""),2.0)</f>
        <v>2</v>
      </c>
      <c r="F154" s="122">
        <f>IFERROR(__xludf.DUMMYFUNCTION("""COMPUTED_VALUE"""),9.0)</f>
        <v>9</v>
      </c>
      <c r="G154" s="122">
        <f>IFERROR(__xludf.DUMMYFUNCTION("""COMPUTED_VALUE"""),1.0)</f>
        <v>1</v>
      </c>
    </row>
    <row r="155">
      <c r="A155" s="117">
        <f>IFERROR(__xludf.DUMMYFUNCTION("""COMPUTED_VALUE"""),7.0)</f>
        <v>7</v>
      </c>
      <c r="B155" s="33" t="str">
        <f>IFERROR(__xludf.DUMMYFUNCTION("""COMPUTED_VALUE"""),"Saravanan Veerapandian")</f>
        <v>Saravanan Veerapandian</v>
      </c>
      <c r="C155" s="122">
        <f>IFERROR(__xludf.DUMMYFUNCTION("""COMPUTED_VALUE"""),2.0)</f>
        <v>2</v>
      </c>
      <c r="D155" s="122">
        <f>IFERROR(__xludf.DUMMYFUNCTION("""COMPUTED_VALUE"""),1.0)</f>
        <v>1</v>
      </c>
      <c r="E155" s="122">
        <f>IFERROR(__xludf.DUMMYFUNCTION("""COMPUTED_VALUE"""),6.0)</f>
        <v>6</v>
      </c>
      <c r="F155" s="122">
        <f>IFERROR(__xludf.DUMMYFUNCTION("""COMPUTED_VALUE"""),9.0)</f>
        <v>9</v>
      </c>
      <c r="G155" s="122">
        <f>IFERROR(__xludf.DUMMYFUNCTION("""COMPUTED_VALUE"""),1.0)</f>
        <v>1</v>
      </c>
    </row>
    <row r="156">
      <c r="A156" s="123">
        <f>IFERROR(__xludf.DUMMYFUNCTION("""COMPUTED_VALUE"""),8.0)</f>
        <v>8</v>
      </c>
      <c r="B156" s="124" t="str">
        <f>IFERROR(__xludf.DUMMYFUNCTION("""COMPUTED_VALUE"""),"Wayne Liu")</f>
        <v>Wayne Liu</v>
      </c>
      <c r="C156" s="125">
        <f>IFERROR(__xludf.DUMMYFUNCTION("""COMPUTED_VALUE"""),7.0)</f>
        <v>7</v>
      </c>
      <c r="D156" s="125">
        <f>IFERROR(__xludf.DUMMYFUNCTION("""COMPUTED_VALUE"""),6.0)</f>
        <v>6</v>
      </c>
      <c r="E156" s="125">
        <f>IFERROR(__xludf.DUMMYFUNCTION("""COMPUTED_VALUE"""),1.0)</f>
        <v>1</v>
      </c>
      <c r="F156" s="125">
        <f>IFERROR(__xludf.DUMMYFUNCTION("""COMPUTED_VALUE"""),14.0)</f>
        <v>14</v>
      </c>
      <c r="G156" s="125">
        <f>IFERROR(__xludf.DUMMYFUNCTION("""COMPUTED_VALUE"""),2.0)</f>
        <v>2</v>
      </c>
    </row>
    <row r="157">
      <c r="A157" s="123">
        <f>IFERROR(__xludf.DUMMYFUNCTION("""COMPUTED_VALUE"""),8.0)</f>
        <v>8</v>
      </c>
      <c r="B157" s="124" t="str">
        <f>IFERROR(__xludf.DUMMYFUNCTION("""COMPUTED_VALUE"""),"Joyce Zhu")</f>
        <v>Joyce Zhu</v>
      </c>
      <c r="C157" s="125">
        <f>IFERROR(__xludf.DUMMYFUNCTION("""COMPUTED_VALUE"""),5.0)</f>
        <v>5</v>
      </c>
      <c r="D157" s="125">
        <f>IFERROR(__xludf.DUMMYFUNCTION("""COMPUTED_VALUE"""),3.0)</f>
        <v>3</v>
      </c>
      <c r="E157" s="125">
        <f>IFERROR(__xludf.DUMMYFUNCTION("""COMPUTED_VALUE"""),1.0)</f>
        <v>1</v>
      </c>
      <c r="F157" s="125">
        <f>IFERROR(__xludf.DUMMYFUNCTION("""COMPUTED_VALUE"""),9.0)</f>
        <v>9</v>
      </c>
      <c r="G157" s="125">
        <f>IFERROR(__xludf.DUMMYFUNCTION("""COMPUTED_VALUE"""),0.0)</f>
        <v>0</v>
      </c>
    </row>
    <row r="158">
      <c r="A158" s="123">
        <f>IFERROR(__xludf.DUMMYFUNCTION("""COMPUTED_VALUE"""),8.0)</f>
        <v>8</v>
      </c>
      <c r="B158" s="124" t="str">
        <f>IFERROR(__xludf.DUMMYFUNCTION("""COMPUTED_VALUE"""),"Jim Miao")</f>
        <v>Jim Miao</v>
      </c>
      <c r="C158" s="125">
        <f>IFERROR(__xludf.DUMMYFUNCTION("""COMPUTED_VALUE"""),5.0)</f>
        <v>5</v>
      </c>
      <c r="D158" s="125">
        <f>IFERROR(__xludf.DUMMYFUNCTION("""COMPUTED_VALUE"""),6.0)</f>
        <v>6</v>
      </c>
      <c r="E158" s="125">
        <f>IFERROR(__xludf.DUMMYFUNCTION("""COMPUTED_VALUE"""),6.0)</f>
        <v>6</v>
      </c>
      <c r="F158" s="125">
        <f>IFERROR(__xludf.DUMMYFUNCTION("""COMPUTED_VALUE"""),17.0)</f>
        <v>17</v>
      </c>
      <c r="G158" s="125">
        <f>IFERROR(__xludf.DUMMYFUNCTION("""COMPUTED_VALUE"""),2.0)</f>
        <v>2</v>
      </c>
    </row>
    <row r="159">
      <c r="A159" s="123">
        <f>IFERROR(__xludf.DUMMYFUNCTION("""COMPUTED_VALUE"""),8.0)</f>
        <v>8</v>
      </c>
      <c r="B159" s="124" t="str">
        <f>IFERROR(__xludf.DUMMYFUNCTION("""COMPUTED_VALUE"""),"Alejandro Mejia")</f>
        <v>Alejandro Mejia</v>
      </c>
      <c r="C159" s="125">
        <f>IFERROR(__xludf.DUMMYFUNCTION("""COMPUTED_VALUE"""),7.0)</f>
        <v>7</v>
      </c>
      <c r="D159" s="125">
        <f>IFERROR(__xludf.DUMMYFUNCTION("""COMPUTED_VALUE"""),3.0)</f>
        <v>3</v>
      </c>
      <c r="E159" s="125">
        <f>IFERROR(__xludf.DUMMYFUNCTION("""COMPUTED_VALUE"""),6.0)</f>
        <v>6</v>
      </c>
      <c r="F159" s="125">
        <f>IFERROR(__xludf.DUMMYFUNCTION("""COMPUTED_VALUE"""),16.0)</f>
        <v>16</v>
      </c>
      <c r="G159" s="125">
        <f>IFERROR(__xludf.DUMMYFUNCTION("""COMPUTED_VALUE"""),2.0)</f>
        <v>2</v>
      </c>
    </row>
    <row r="160">
      <c r="A160" s="117">
        <f>IFERROR(__xludf.DUMMYFUNCTION("""COMPUTED_VALUE"""),9.0)</f>
        <v>9</v>
      </c>
      <c r="B160" s="33" t="str">
        <f>IFERROR(__xludf.DUMMYFUNCTION("""COMPUTED_VALUE"""),"Scott Li")</f>
        <v>Scott Li</v>
      </c>
      <c r="C160" s="122">
        <f>IFERROR(__xludf.DUMMYFUNCTION("""COMPUTED_VALUE"""),6.0)</f>
        <v>6</v>
      </c>
      <c r="D160" s="122">
        <f>IFERROR(__xludf.DUMMYFUNCTION("""COMPUTED_VALUE"""),3.0)</f>
        <v>3</v>
      </c>
      <c r="E160" s="122">
        <f>IFERROR(__xludf.DUMMYFUNCTION("""COMPUTED_VALUE"""),2.0)</f>
        <v>2</v>
      </c>
      <c r="F160" s="122">
        <f>IFERROR(__xludf.DUMMYFUNCTION("""COMPUTED_VALUE"""),11.0)</f>
        <v>11</v>
      </c>
      <c r="G160" s="122">
        <f>IFERROR(__xludf.DUMMYFUNCTION("""COMPUTED_VALUE"""),1.0)</f>
        <v>1</v>
      </c>
    </row>
    <row r="161">
      <c r="A161" s="117">
        <f>IFERROR(__xludf.DUMMYFUNCTION("""COMPUTED_VALUE"""),9.0)</f>
        <v>9</v>
      </c>
      <c r="B161" s="33" t="str">
        <f>IFERROR(__xludf.DUMMYFUNCTION("""COMPUTED_VALUE"""),"Alex Hou")</f>
        <v>Alex Hou</v>
      </c>
      <c r="C161" s="122">
        <f>IFERROR(__xludf.DUMMYFUNCTION("""COMPUTED_VALUE"""),3.0)</f>
        <v>3</v>
      </c>
      <c r="D161" s="122">
        <f>IFERROR(__xludf.DUMMYFUNCTION("""COMPUTED_VALUE"""),6.0)</f>
        <v>6</v>
      </c>
      <c r="E161" s="122">
        <f>IFERROR(__xludf.DUMMYFUNCTION("""COMPUTED_VALUE"""),2.0)</f>
        <v>2</v>
      </c>
      <c r="F161" s="122">
        <f>IFERROR(__xludf.DUMMYFUNCTION("""COMPUTED_VALUE"""),11.0)</f>
        <v>11</v>
      </c>
      <c r="G161" s="122">
        <f>IFERROR(__xludf.DUMMYFUNCTION("""COMPUTED_VALUE"""),1.0)</f>
        <v>1</v>
      </c>
    </row>
    <row r="162">
      <c r="A162" s="117">
        <f>IFERROR(__xludf.DUMMYFUNCTION("""COMPUTED_VALUE"""),9.0)</f>
        <v>9</v>
      </c>
      <c r="B162" s="33" t="str">
        <f>IFERROR(__xludf.DUMMYFUNCTION("""COMPUTED_VALUE"""),"Tom Le")</f>
        <v>Tom Le</v>
      </c>
      <c r="C162" s="122">
        <f>IFERROR(__xludf.DUMMYFUNCTION("""COMPUTED_VALUE"""),6.0)</f>
        <v>6</v>
      </c>
      <c r="D162" s="122">
        <f>IFERROR(__xludf.DUMMYFUNCTION("""COMPUTED_VALUE"""),6.0)</f>
        <v>6</v>
      </c>
      <c r="E162" s="122">
        <f>IFERROR(__xludf.DUMMYFUNCTION("""COMPUTED_VALUE"""),6.0)</f>
        <v>6</v>
      </c>
      <c r="F162" s="122">
        <f>IFERROR(__xludf.DUMMYFUNCTION("""COMPUTED_VALUE"""),18.0)</f>
        <v>18</v>
      </c>
      <c r="G162" s="122">
        <f>IFERROR(__xludf.DUMMYFUNCTION("""COMPUTED_VALUE"""),3.0)</f>
        <v>3</v>
      </c>
    </row>
    <row r="163">
      <c r="A163" s="117">
        <f>IFERROR(__xludf.DUMMYFUNCTION("""COMPUTED_VALUE"""),9.0)</f>
        <v>9</v>
      </c>
      <c r="B163" s="33" t="str">
        <f>IFERROR(__xludf.DUMMYFUNCTION("""COMPUTED_VALUE"""),"Erik Hoeckmann")</f>
        <v>Erik Hoeckmann</v>
      </c>
      <c r="C163" s="122">
        <f>IFERROR(__xludf.DUMMYFUNCTION("""COMPUTED_VALUE"""),3.0)</f>
        <v>3</v>
      </c>
      <c r="D163" s="122">
        <f>IFERROR(__xludf.DUMMYFUNCTION("""COMPUTED_VALUE"""),3.0)</f>
        <v>3</v>
      </c>
      <c r="E163" s="122">
        <f>IFERROR(__xludf.DUMMYFUNCTION("""COMPUTED_VALUE"""),6.0)</f>
        <v>6</v>
      </c>
      <c r="F163" s="122">
        <f>IFERROR(__xludf.DUMMYFUNCTION("""COMPUTED_VALUE"""),12.0)</f>
        <v>12</v>
      </c>
      <c r="G163" s="122">
        <f>IFERROR(__xludf.DUMMYFUNCTION("""COMPUTED_VALUE"""),1.0)</f>
        <v>1</v>
      </c>
    </row>
    <row r="164">
      <c r="A164" s="1"/>
      <c r="C164" s="1"/>
      <c r="D164" s="1"/>
      <c r="E164" s="1"/>
      <c r="F164" s="1"/>
    </row>
    <row r="165">
      <c r="A165" s="1"/>
      <c r="C165" s="1"/>
      <c r="D165" s="1"/>
      <c r="E165" s="1"/>
      <c r="F165" s="1"/>
    </row>
    <row r="166">
      <c r="A166" s="1"/>
      <c r="C166" s="1"/>
      <c r="D166" s="1"/>
      <c r="E166" s="1"/>
      <c r="F166" s="1"/>
    </row>
    <row r="167">
      <c r="A167" s="1"/>
      <c r="C167" s="1"/>
      <c r="D167" s="1"/>
      <c r="E167" s="1"/>
      <c r="F167" s="1"/>
    </row>
    <row r="168">
      <c r="A168" s="1"/>
      <c r="C168" s="1"/>
      <c r="D168" s="1"/>
      <c r="E168" s="1"/>
      <c r="F168" s="1"/>
    </row>
    <row r="169">
      <c r="A169" s="1"/>
      <c r="C169" s="1"/>
      <c r="D169" s="1"/>
      <c r="E169" s="1"/>
      <c r="F169" s="1"/>
    </row>
    <row r="170">
      <c r="A170" s="1"/>
      <c r="C170" s="1"/>
      <c r="D170" s="1"/>
      <c r="E170" s="1"/>
      <c r="F170" s="1"/>
    </row>
    <row r="171">
      <c r="A171" s="1"/>
      <c r="C171" s="1"/>
      <c r="D171" s="1"/>
      <c r="E171" s="1"/>
      <c r="F171" s="1"/>
    </row>
    <row r="172">
      <c r="A172" s="1"/>
      <c r="C172" s="1"/>
      <c r="D172" s="1"/>
      <c r="E172" s="1"/>
      <c r="F172" s="1"/>
    </row>
    <row r="173">
      <c r="A173" s="1"/>
      <c r="C173" s="1"/>
      <c r="D173" s="1"/>
      <c r="E173" s="1"/>
      <c r="F173" s="1"/>
    </row>
    <row r="174">
      <c r="A174" s="1"/>
      <c r="C174" s="1"/>
      <c r="D174" s="1"/>
      <c r="E174" s="1"/>
      <c r="F174" s="1"/>
    </row>
    <row r="175">
      <c r="A175" s="1"/>
      <c r="C175" s="1"/>
      <c r="D175" s="1"/>
      <c r="E175" s="1"/>
      <c r="F175" s="1"/>
    </row>
    <row r="176">
      <c r="A176" s="1"/>
      <c r="C176" s="1"/>
      <c r="D176" s="1"/>
      <c r="E176" s="1"/>
      <c r="F176" s="1"/>
    </row>
    <row r="177">
      <c r="A177" s="1"/>
      <c r="C177" s="1"/>
      <c r="D177" s="1"/>
      <c r="E177" s="1"/>
      <c r="F177" s="1"/>
    </row>
    <row r="178">
      <c r="A178" s="1"/>
      <c r="C178" s="1"/>
      <c r="D178" s="1"/>
      <c r="E178" s="1"/>
      <c r="F178" s="1"/>
    </row>
    <row r="179">
      <c r="A179" s="1"/>
      <c r="C179" s="1"/>
      <c r="D179" s="1"/>
      <c r="E179" s="1"/>
      <c r="F179" s="1"/>
    </row>
    <row r="180">
      <c r="A180" s="1"/>
      <c r="C180" s="1"/>
      <c r="D180" s="1"/>
      <c r="E180" s="1"/>
      <c r="F180" s="1"/>
    </row>
    <row r="181">
      <c r="A181" s="1"/>
      <c r="C181" s="1"/>
      <c r="D181" s="1"/>
      <c r="E181" s="1"/>
      <c r="F181" s="1"/>
    </row>
    <row r="182">
      <c r="A182" s="1"/>
      <c r="C182" s="1"/>
      <c r="D182" s="1"/>
      <c r="E182" s="1"/>
      <c r="F182" s="1"/>
    </row>
    <row r="183">
      <c r="A183" s="1"/>
      <c r="C183" s="1"/>
      <c r="D183" s="1"/>
      <c r="E183" s="1"/>
      <c r="F183" s="1"/>
    </row>
    <row r="184">
      <c r="A184" s="1"/>
      <c r="C184" s="1"/>
      <c r="D184" s="1"/>
      <c r="E184" s="1"/>
      <c r="F184" s="1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</sheetData>
  <mergeCells count="8">
    <mergeCell ref="C1:F1"/>
    <mergeCell ref="I1:K1"/>
    <mergeCell ref="L1:M1"/>
    <mergeCell ref="B2:C2"/>
    <mergeCell ref="C3:E3"/>
    <mergeCell ref="F3:M3"/>
    <mergeCell ref="N3:O3"/>
    <mergeCell ref="B75:J75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45871.0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5.0</v>
      </c>
      <c r="E2" s="1"/>
      <c r="F2" s="1"/>
      <c r="R2" s="17"/>
      <c r="AC2" s="21" t="str">
        <f>text(C1-7,"mm/dd/yy")</f>
        <v>07/26/25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178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</row>
    <row r="5">
      <c r="A5" s="32">
        <v>1.0</v>
      </c>
      <c r="B5" s="33" t="s">
        <v>73</v>
      </c>
      <c r="C5" s="34">
        <v>64.0</v>
      </c>
      <c r="D5" s="34">
        <v>7.0</v>
      </c>
      <c r="E5" s="35">
        <f t="shared" ref="E5:E69" si="2">if(S5&gt;0,(C5-(V5*9)-(T5*13))/S5,0)</f>
        <v>13.75</v>
      </c>
      <c r="F5" s="95">
        <v>2.0</v>
      </c>
      <c r="G5" s="96">
        <v>1.0</v>
      </c>
      <c r="H5" s="97">
        <v>0.0</v>
      </c>
      <c r="I5" s="96">
        <v>2.0</v>
      </c>
      <c r="J5" s="96">
        <v>6.0</v>
      </c>
      <c r="K5" s="96">
        <v>2.0</v>
      </c>
      <c r="L5" s="98">
        <v>10.0</v>
      </c>
      <c r="M5" s="96">
        <v>1.0</v>
      </c>
      <c r="N5" s="34">
        <f t="shared" ref="N5:O5" si="1">C5+L5</f>
        <v>74</v>
      </c>
      <c r="O5" s="34">
        <f t="shared" si="1"/>
        <v>8</v>
      </c>
      <c r="P5" s="49" t="s">
        <v>58</v>
      </c>
      <c r="Q5" s="49" t="s">
        <v>58</v>
      </c>
      <c r="R5" s="49"/>
      <c r="S5" s="52">
        <f t="shared" ref="S5:S69" si="4">vlookup(B5,indirect("'" &amp; AC$2 &amp; "'!B5:W69"),18,false)+if(sum(I5:K5)&gt;0,1,0)</f>
        <v>4</v>
      </c>
      <c r="T5" s="52">
        <f t="shared" ref="T5:T69" si="5">if(H5=13,1,0)+vlookup(B5,indirect("'" &amp; AC$2 &amp; "'!B5:W69"),19,false)</f>
        <v>0</v>
      </c>
      <c r="U5" s="52"/>
      <c r="V5" s="52">
        <f t="shared" ref="V5:V69" si="6">if(H5=9,1,0)+vlookup(B5,indirect("'" &amp; AC$2 &amp; "'!B5:W69"),21,false)</f>
        <v>1</v>
      </c>
      <c r="W5" s="52">
        <f t="shared" ref="W5:W69" si="7">vlookup(B5,indirect("'" &amp; AC$2 &amp; "'!B5:x69"),23,false)-X5</f>
        <v>3</v>
      </c>
      <c r="X5" s="32">
        <v>1.0</v>
      </c>
    </row>
    <row r="6">
      <c r="A6" s="32">
        <f t="shared" ref="A6:A69" si="8">A5+1</f>
        <v>2</v>
      </c>
      <c r="B6" s="33" t="s">
        <v>67</v>
      </c>
      <c r="C6" s="34">
        <v>63.0</v>
      </c>
      <c r="D6" s="34">
        <v>8.0</v>
      </c>
      <c r="E6" s="35">
        <f t="shared" si="2"/>
        <v>13.5</v>
      </c>
      <c r="F6" s="95">
        <v>2.0</v>
      </c>
      <c r="G6" s="96">
        <v>1.0</v>
      </c>
      <c r="H6" s="97">
        <v>0.0</v>
      </c>
      <c r="I6" s="96">
        <v>6.0</v>
      </c>
      <c r="J6" s="96">
        <v>6.0</v>
      </c>
      <c r="K6" s="96">
        <v>6.0</v>
      </c>
      <c r="L6" s="98">
        <v>18.0</v>
      </c>
      <c r="M6" s="96">
        <v>3.0</v>
      </c>
      <c r="N6" s="34">
        <f t="shared" ref="N6:O6" si="3">C6+L6</f>
        <v>81</v>
      </c>
      <c r="O6" s="34">
        <f t="shared" si="3"/>
        <v>11</v>
      </c>
      <c r="P6" s="49" t="s">
        <v>58</v>
      </c>
      <c r="Q6" s="49" t="s">
        <v>58</v>
      </c>
      <c r="R6" s="49"/>
      <c r="S6" s="52">
        <f t="shared" si="4"/>
        <v>4</v>
      </c>
      <c r="T6" s="52">
        <f t="shared" si="5"/>
        <v>0</v>
      </c>
      <c r="U6" s="52"/>
      <c r="V6" s="52">
        <f t="shared" si="6"/>
        <v>1</v>
      </c>
      <c r="W6" s="52">
        <f t="shared" si="7"/>
        <v>0</v>
      </c>
      <c r="X6" s="32">
        <f t="shared" ref="X6:X69" si="10">X5+1</f>
        <v>2</v>
      </c>
    </row>
    <row r="7">
      <c r="A7" s="32">
        <f t="shared" si="8"/>
        <v>3</v>
      </c>
      <c r="B7" s="33" t="s">
        <v>90</v>
      </c>
      <c r="C7" s="34">
        <v>62.0</v>
      </c>
      <c r="D7" s="34">
        <v>8.0</v>
      </c>
      <c r="E7" s="35">
        <f t="shared" si="2"/>
        <v>12.25</v>
      </c>
      <c r="F7" s="95">
        <v>1.0</v>
      </c>
      <c r="G7" s="96">
        <v>1.0</v>
      </c>
      <c r="H7" s="97">
        <v>0.0</v>
      </c>
      <c r="I7" s="96">
        <v>2.0</v>
      </c>
      <c r="J7" s="96">
        <v>2.0</v>
      </c>
      <c r="K7" s="96">
        <v>6.0</v>
      </c>
      <c r="L7" s="98">
        <v>10.0</v>
      </c>
      <c r="M7" s="96">
        <v>1.0</v>
      </c>
      <c r="N7" s="34">
        <f t="shared" ref="N7:O7" si="9">C7+L7</f>
        <v>72</v>
      </c>
      <c r="O7" s="34">
        <f t="shared" si="9"/>
        <v>9</v>
      </c>
      <c r="P7" s="49" t="s">
        <v>58</v>
      </c>
      <c r="Q7" s="49" t="s">
        <v>58</v>
      </c>
      <c r="R7" s="49"/>
      <c r="S7" s="52">
        <f t="shared" si="4"/>
        <v>4</v>
      </c>
      <c r="T7" s="52">
        <f t="shared" si="5"/>
        <v>1</v>
      </c>
      <c r="U7" s="52"/>
      <c r="V7" s="52">
        <f t="shared" si="6"/>
        <v>0</v>
      </c>
      <c r="W7" s="52">
        <f t="shared" si="7"/>
        <v>3</v>
      </c>
      <c r="X7" s="32">
        <f t="shared" si="10"/>
        <v>3</v>
      </c>
    </row>
    <row r="8">
      <c r="A8" s="32">
        <f t="shared" si="8"/>
        <v>4</v>
      </c>
      <c r="B8" s="33" t="s">
        <v>98</v>
      </c>
      <c r="C8" s="34">
        <v>60.0</v>
      </c>
      <c r="D8" s="34">
        <v>8.0</v>
      </c>
      <c r="E8" s="35">
        <f t="shared" si="2"/>
        <v>12</v>
      </c>
      <c r="F8" s="95">
        <v>1.0</v>
      </c>
      <c r="G8" s="96">
        <v>1.0</v>
      </c>
      <c r="H8" s="97">
        <v>0.0</v>
      </c>
      <c r="I8" s="96">
        <v>6.0</v>
      </c>
      <c r="J8" s="96">
        <v>2.0</v>
      </c>
      <c r="K8" s="96">
        <v>2.0</v>
      </c>
      <c r="L8" s="98">
        <v>10.0</v>
      </c>
      <c r="M8" s="96">
        <v>1.0</v>
      </c>
      <c r="N8" s="34">
        <f t="shared" ref="N8:O8" si="11">C8+L8</f>
        <v>70</v>
      </c>
      <c r="O8" s="34">
        <f t="shared" si="11"/>
        <v>9</v>
      </c>
      <c r="P8" s="49" t="s">
        <v>58</v>
      </c>
      <c r="Q8" s="49" t="s">
        <v>58</v>
      </c>
      <c r="R8" s="49"/>
      <c r="S8" s="52">
        <f t="shared" si="4"/>
        <v>5</v>
      </c>
      <c r="T8" s="52">
        <f t="shared" si="5"/>
        <v>0</v>
      </c>
      <c r="U8" s="52"/>
      <c r="V8" s="52">
        <f t="shared" si="6"/>
        <v>0</v>
      </c>
      <c r="W8" s="52">
        <f t="shared" si="7"/>
        <v>-1</v>
      </c>
      <c r="X8" s="32">
        <f t="shared" si="10"/>
        <v>4</v>
      </c>
    </row>
    <row r="9">
      <c r="A9" s="32">
        <f t="shared" si="8"/>
        <v>5</v>
      </c>
      <c r="B9" s="33" t="s">
        <v>94</v>
      </c>
      <c r="C9" s="34">
        <v>59.0</v>
      </c>
      <c r="D9" s="34">
        <v>5.0</v>
      </c>
      <c r="E9" s="35">
        <f t="shared" si="2"/>
        <v>11.8</v>
      </c>
      <c r="F9" s="95">
        <v>2.0</v>
      </c>
      <c r="G9" s="96">
        <v>2.0</v>
      </c>
      <c r="H9" s="97">
        <v>0.0</v>
      </c>
      <c r="I9" s="96">
        <v>2.0</v>
      </c>
      <c r="J9" s="96">
        <v>3.0</v>
      </c>
      <c r="K9" s="96">
        <v>6.0</v>
      </c>
      <c r="L9" s="98">
        <v>11.0</v>
      </c>
      <c r="M9" s="96">
        <v>1.0</v>
      </c>
      <c r="N9" s="34">
        <f t="shared" ref="N9:O9" si="12">C9+L9</f>
        <v>70</v>
      </c>
      <c r="O9" s="34">
        <f t="shared" si="12"/>
        <v>6</v>
      </c>
      <c r="P9" s="49" t="s">
        <v>58</v>
      </c>
      <c r="Q9" s="49" t="s">
        <v>58</v>
      </c>
      <c r="R9" s="49"/>
      <c r="S9" s="52">
        <f t="shared" si="4"/>
        <v>5</v>
      </c>
      <c r="T9" s="52">
        <f t="shared" si="5"/>
        <v>0</v>
      </c>
      <c r="U9" s="52"/>
      <c r="V9" s="52">
        <f t="shared" si="6"/>
        <v>0</v>
      </c>
      <c r="W9" s="52">
        <f t="shared" si="7"/>
        <v>6</v>
      </c>
      <c r="X9" s="32">
        <f t="shared" si="10"/>
        <v>5</v>
      </c>
    </row>
    <row r="10">
      <c r="A10" s="32">
        <f t="shared" si="8"/>
        <v>6</v>
      </c>
      <c r="B10" s="33" t="s">
        <v>110</v>
      </c>
      <c r="C10" s="34">
        <v>58.0</v>
      </c>
      <c r="D10" s="34">
        <v>6.0</v>
      </c>
      <c r="E10" s="35">
        <f t="shared" si="2"/>
        <v>11.6</v>
      </c>
      <c r="F10" s="95">
        <v>1.0</v>
      </c>
      <c r="G10" s="96">
        <v>2.0</v>
      </c>
      <c r="H10" s="97">
        <v>0.0</v>
      </c>
      <c r="I10" s="96">
        <v>2.0</v>
      </c>
      <c r="J10" s="96">
        <v>6.0</v>
      </c>
      <c r="K10" s="96">
        <v>1.0</v>
      </c>
      <c r="L10" s="98">
        <v>9.0</v>
      </c>
      <c r="M10" s="96">
        <v>1.0</v>
      </c>
      <c r="N10" s="34">
        <f t="shared" ref="N10:O10" si="13">C10+L10</f>
        <v>67</v>
      </c>
      <c r="O10" s="34">
        <f t="shared" si="13"/>
        <v>7</v>
      </c>
      <c r="P10" s="49" t="s">
        <v>58</v>
      </c>
      <c r="Q10" s="49" t="s">
        <v>58</v>
      </c>
      <c r="R10" s="49"/>
      <c r="S10" s="52">
        <f t="shared" si="4"/>
        <v>5</v>
      </c>
      <c r="T10" s="52">
        <f t="shared" si="5"/>
        <v>0</v>
      </c>
      <c r="U10" s="52"/>
      <c r="V10" s="52">
        <f t="shared" si="6"/>
        <v>0</v>
      </c>
      <c r="W10" s="52">
        <f t="shared" si="7"/>
        <v>-5</v>
      </c>
      <c r="X10" s="32">
        <f t="shared" si="10"/>
        <v>6</v>
      </c>
    </row>
    <row r="11">
      <c r="A11" s="32">
        <f t="shared" si="8"/>
        <v>7</v>
      </c>
      <c r="B11" s="33" t="s">
        <v>125</v>
      </c>
      <c r="C11" s="34">
        <v>56.0</v>
      </c>
      <c r="D11" s="34">
        <v>6.0</v>
      </c>
      <c r="E11" s="35">
        <f t="shared" si="2"/>
        <v>11.75</v>
      </c>
      <c r="F11" s="95">
        <v>3.0</v>
      </c>
      <c r="G11" s="96">
        <v>0.0</v>
      </c>
      <c r="H11" s="97">
        <v>9.0</v>
      </c>
      <c r="I11" s="96">
        <v>0.0</v>
      </c>
      <c r="J11" s="96">
        <v>0.0</v>
      </c>
      <c r="K11" s="96">
        <v>0.0</v>
      </c>
      <c r="L11" s="98">
        <v>9.0</v>
      </c>
      <c r="M11" s="96">
        <v>0.0</v>
      </c>
      <c r="N11" s="34">
        <f t="shared" ref="N11:O11" si="14">C11+L11</f>
        <v>65</v>
      </c>
      <c r="O11" s="34">
        <f t="shared" si="14"/>
        <v>6</v>
      </c>
      <c r="P11" s="49" t="s">
        <v>58</v>
      </c>
      <c r="Q11" s="49" t="s">
        <v>58</v>
      </c>
      <c r="R11" s="49"/>
      <c r="S11" s="52">
        <f t="shared" si="4"/>
        <v>4</v>
      </c>
      <c r="T11" s="52">
        <f t="shared" si="5"/>
        <v>0</v>
      </c>
      <c r="U11" s="52"/>
      <c r="V11" s="52">
        <f t="shared" si="6"/>
        <v>1</v>
      </c>
      <c r="W11" s="52">
        <f t="shared" si="7"/>
        <v>8</v>
      </c>
      <c r="X11" s="32">
        <f t="shared" si="10"/>
        <v>7</v>
      </c>
    </row>
    <row r="12">
      <c r="A12" s="32">
        <f t="shared" si="8"/>
        <v>8</v>
      </c>
      <c r="B12" s="33" t="s">
        <v>83</v>
      </c>
      <c r="C12" s="34">
        <v>55.0</v>
      </c>
      <c r="D12" s="34">
        <v>5.0</v>
      </c>
      <c r="E12" s="35">
        <f t="shared" si="2"/>
        <v>11.5</v>
      </c>
      <c r="F12" s="95">
        <v>1.0</v>
      </c>
      <c r="G12" s="96">
        <v>2.0</v>
      </c>
      <c r="H12" s="97">
        <v>0.0</v>
      </c>
      <c r="I12" s="96">
        <v>6.0</v>
      </c>
      <c r="J12" s="96">
        <v>6.0</v>
      </c>
      <c r="K12" s="96">
        <v>6.0</v>
      </c>
      <c r="L12" s="98">
        <v>18.0</v>
      </c>
      <c r="M12" s="96">
        <v>3.0</v>
      </c>
      <c r="N12" s="34">
        <f t="shared" ref="N12:O12" si="15">C12+L12</f>
        <v>73</v>
      </c>
      <c r="O12" s="34">
        <f t="shared" si="15"/>
        <v>8</v>
      </c>
      <c r="P12" s="49" t="s">
        <v>58</v>
      </c>
      <c r="Q12" s="49" t="s">
        <v>58</v>
      </c>
      <c r="R12" s="49"/>
      <c r="S12" s="52">
        <f t="shared" si="4"/>
        <v>4</v>
      </c>
      <c r="T12" s="52">
        <f t="shared" si="5"/>
        <v>0</v>
      </c>
      <c r="U12" s="52"/>
      <c r="V12" s="52">
        <f t="shared" si="6"/>
        <v>1</v>
      </c>
      <c r="W12" s="52">
        <f t="shared" si="7"/>
        <v>2</v>
      </c>
      <c r="X12" s="32">
        <f t="shared" si="10"/>
        <v>8</v>
      </c>
    </row>
    <row r="13">
      <c r="A13" s="32">
        <f t="shared" si="8"/>
        <v>9</v>
      </c>
      <c r="B13" s="33" t="s">
        <v>89</v>
      </c>
      <c r="C13" s="34">
        <v>54.0</v>
      </c>
      <c r="D13" s="34">
        <v>6.0</v>
      </c>
      <c r="E13" s="35">
        <f t="shared" si="2"/>
        <v>11.25</v>
      </c>
      <c r="F13" s="95">
        <v>1.0</v>
      </c>
      <c r="G13" s="96">
        <v>2.0</v>
      </c>
      <c r="H13" s="97">
        <v>0.0</v>
      </c>
      <c r="I13" s="96">
        <v>6.0</v>
      </c>
      <c r="J13" s="96">
        <v>3.0</v>
      </c>
      <c r="K13" s="96">
        <v>1.0</v>
      </c>
      <c r="L13" s="98">
        <v>10.0</v>
      </c>
      <c r="M13" s="96">
        <v>1.0</v>
      </c>
      <c r="N13" s="34">
        <f t="shared" ref="N13:O13" si="16">C13+L13</f>
        <v>64</v>
      </c>
      <c r="O13" s="34">
        <f t="shared" si="16"/>
        <v>7</v>
      </c>
      <c r="P13" s="49" t="s">
        <v>58</v>
      </c>
      <c r="Q13" s="49" t="s">
        <v>58</v>
      </c>
      <c r="R13" s="49"/>
      <c r="S13" s="52">
        <f t="shared" si="4"/>
        <v>4</v>
      </c>
      <c r="T13" s="52">
        <f t="shared" si="5"/>
        <v>0</v>
      </c>
      <c r="U13" s="52"/>
      <c r="V13" s="52">
        <f t="shared" si="6"/>
        <v>1</v>
      </c>
      <c r="W13" s="52">
        <f t="shared" si="7"/>
        <v>7</v>
      </c>
      <c r="X13" s="32">
        <f t="shared" si="10"/>
        <v>9</v>
      </c>
    </row>
    <row r="14">
      <c r="A14" s="32">
        <f t="shared" si="8"/>
        <v>10</v>
      </c>
      <c r="B14" s="33" t="s">
        <v>84</v>
      </c>
      <c r="C14" s="34">
        <v>54.0</v>
      </c>
      <c r="D14" s="34">
        <v>6.0</v>
      </c>
      <c r="E14" s="35">
        <f t="shared" si="2"/>
        <v>11.25</v>
      </c>
      <c r="F14" s="95">
        <v>1.0</v>
      </c>
      <c r="G14" s="96">
        <v>3.0</v>
      </c>
      <c r="H14" s="97">
        <v>0.0</v>
      </c>
      <c r="I14" s="96">
        <v>7.0</v>
      </c>
      <c r="J14" s="96">
        <v>6.0</v>
      </c>
      <c r="K14" s="96">
        <v>6.0</v>
      </c>
      <c r="L14" s="98">
        <v>19.0</v>
      </c>
      <c r="M14" s="96">
        <v>3.0</v>
      </c>
      <c r="N14" s="34">
        <f t="shared" ref="N14:O14" si="17">C14+L14</f>
        <v>73</v>
      </c>
      <c r="O14" s="34">
        <f t="shared" si="17"/>
        <v>9</v>
      </c>
      <c r="P14" s="49" t="s">
        <v>58</v>
      </c>
      <c r="Q14" s="49" t="s">
        <v>58</v>
      </c>
      <c r="R14" s="49"/>
      <c r="S14" s="52">
        <f t="shared" si="4"/>
        <v>4</v>
      </c>
      <c r="T14" s="52">
        <f t="shared" si="5"/>
        <v>0</v>
      </c>
      <c r="U14" s="52"/>
      <c r="V14" s="52">
        <f t="shared" si="6"/>
        <v>1</v>
      </c>
      <c r="W14" s="52">
        <f t="shared" si="7"/>
        <v>10</v>
      </c>
      <c r="X14" s="32">
        <f t="shared" si="10"/>
        <v>10</v>
      </c>
    </row>
    <row r="15">
      <c r="A15" s="32">
        <f t="shared" si="8"/>
        <v>11</v>
      </c>
      <c r="B15" s="33" t="s">
        <v>100</v>
      </c>
      <c r="C15" s="34">
        <v>54.0</v>
      </c>
      <c r="D15" s="34">
        <v>6.0</v>
      </c>
      <c r="E15" s="35">
        <f t="shared" si="2"/>
        <v>12</v>
      </c>
      <c r="F15" s="95">
        <v>3.0</v>
      </c>
      <c r="G15" s="96">
        <v>0.0</v>
      </c>
      <c r="H15" s="97">
        <v>9.0</v>
      </c>
      <c r="I15" s="96">
        <v>0.0</v>
      </c>
      <c r="J15" s="96">
        <v>0.0</v>
      </c>
      <c r="K15" s="96">
        <v>0.0</v>
      </c>
      <c r="L15" s="98">
        <v>9.0</v>
      </c>
      <c r="M15" s="96">
        <v>0.0</v>
      </c>
      <c r="N15" s="34">
        <f t="shared" ref="N15:O15" si="18">C15+L15</f>
        <v>63</v>
      </c>
      <c r="O15" s="34">
        <f t="shared" si="18"/>
        <v>6</v>
      </c>
      <c r="P15" s="49" t="s">
        <v>58</v>
      </c>
      <c r="Q15" s="49" t="s">
        <v>58</v>
      </c>
      <c r="R15" s="49"/>
      <c r="S15" s="52">
        <f t="shared" si="4"/>
        <v>3</v>
      </c>
      <c r="T15" s="52">
        <f t="shared" si="5"/>
        <v>0</v>
      </c>
      <c r="U15" s="52"/>
      <c r="V15" s="52">
        <f t="shared" si="6"/>
        <v>2</v>
      </c>
      <c r="W15" s="52">
        <f t="shared" si="7"/>
        <v>12</v>
      </c>
      <c r="X15" s="32">
        <f t="shared" si="10"/>
        <v>11</v>
      </c>
    </row>
    <row r="16">
      <c r="A16" s="32">
        <f t="shared" si="8"/>
        <v>12</v>
      </c>
      <c r="B16" s="33" t="s">
        <v>105</v>
      </c>
      <c r="C16" s="34">
        <v>54.0</v>
      </c>
      <c r="D16" s="34">
        <v>6.0</v>
      </c>
      <c r="E16" s="35">
        <f t="shared" si="2"/>
        <v>13.5</v>
      </c>
      <c r="F16" s="95">
        <v>3.0</v>
      </c>
      <c r="G16" s="96">
        <v>0.0</v>
      </c>
      <c r="H16" s="97">
        <v>9.0</v>
      </c>
      <c r="I16" s="96">
        <v>0.0</v>
      </c>
      <c r="J16" s="96">
        <v>0.0</v>
      </c>
      <c r="K16" s="96">
        <v>0.0</v>
      </c>
      <c r="L16" s="98">
        <v>9.0</v>
      </c>
      <c r="M16" s="96">
        <v>0.0</v>
      </c>
      <c r="N16" s="34">
        <f t="shared" ref="N16:O16" si="19">C16+L16</f>
        <v>63</v>
      </c>
      <c r="O16" s="34">
        <f t="shared" si="19"/>
        <v>6</v>
      </c>
      <c r="P16" s="49" t="s">
        <v>58</v>
      </c>
      <c r="Q16" s="49" t="s">
        <v>58</v>
      </c>
      <c r="R16" s="49"/>
      <c r="S16" s="52">
        <f t="shared" si="4"/>
        <v>2</v>
      </c>
      <c r="T16" s="52">
        <f t="shared" si="5"/>
        <v>0</v>
      </c>
      <c r="U16" s="52"/>
      <c r="V16" s="52">
        <f t="shared" si="6"/>
        <v>3</v>
      </c>
      <c r="W16" s="52">
        <f t="shared" si="7"/>
        <v>-7</v>
      </c>
      <c r="X16" s="32">
        <f t="shared" si="10"/>
        <v>12</v>
      </c>
    </row>
    <row r="17">
      <c r="A17" s="32">
        <f t="shared" si="8"/>
        <v>13</v>
      </c>
      <c r="B17" s="33" t="s">
        <v>138</v>
      </c>
      <c r="C17" s="34">
        <v>54.0</v>
      </c>
      <c r="D17" s="34">
        <v>5.0</v>
      </c>
      <c r="E17" s="35">
        <f t="shared" si="2"/>
        <v>12</v>
      </c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20">C17+L17</f>
        <v>63</v>
      </c>
      <c r="O17" s="34">
        <f t="shared" si="20"/>
        <v>5</v>
      </c>
      <c r="P17" s="49" t="s">
        <v>58</v>
      </c>
      <c r="Q17" s="49" t="s">
        <v>58</v>
      </c>
      <c r="R17" s="49"/>
      <c r="S17" s="52">
        <f t="shared" si="4"/>
        <v>3</v>
      </c>
      <c r="T17" s="52">
        <f t="shared" si="5"/>
        <v>0</v>
      </c>
      <c r="U17" s="52"/>
      <c r="V17" s="52">
        <f t="shared" si="6"/>
        <v>2</v>
      </c>
      <c r="W17" s="52">
        <f t="shared" si="7"/>
        <v>12</v>
      </c>
      <c r="X17" s="32">
        <f t="shared" si="10"/>
        <v>13</v>
      </c>
    </row>
    <row r="18">
      <c r="A18" s="32">
        <f t="shared" si="8"/>
        <v>14</v>
      </c>
      <c r="B18" s="33" t="s">
        <v>91</v>
      </c>
      <c r="C18" s="34">
        <v>53.0</v>
      </c>
      <c r="D18" s="34">
        <v>7.0</v>
      </c>
      <c r="E18" s="35">
        <f t="shared" si="2"/>
        <v>10.6</v>
      </c>
      <c r="F18" s="95">
        <v>1.0</v>
      </c>
      <c r="G18" s="96">
        <v>3.0</v>
      </c>
      <c r="H18" s="97">
        <v>0.0</v>
      </c>
      <c r="I18" s="96">
        <v>6.0</v>
      </c>
      <c r="J18" s="96">
        <v>4.0</v>
      </c>
      <c r="K18" s="96">
        <v>6.0</v>
      </c>
      <c r="L18" s="98">
        <v>16.0</v>
      </c>
      <c r="M18" s="96">
        <v>1.0</v>
      </c>
      <c r="N18" s="34">
        <f t="shared" ref="N18:O18" si="21">C18+L18</f>
        <v>69</v>
      </c>
      <c r="O18" s="34">
        <f t="shared" si="21"/>
        <v>8</v>
      </c>
      <c r="P18" s="49" t="s">
        <v>58</v>
      </c>
      <c r="Q18" s="49" t="s">
        <v>58</v>
      </c>
      <c r="R18" s="49"/>
      <c r="S18" s="52">
        <f t="shared" si="4"/>
        <v>5</v>
      </c>
      <c r="T18" s="52">
        <f t="shared" si="5"/>
        <v>0</v>
      </c>
      <c r="U18" s="52"/>
      <c r="V18" s="52">
        <f t="shared" si="6"/>
        <v>0</v>
      </c>
      <c r="W18" s="52">
        <f t="shared" si="7"/>
        <v>-7</v>
      </c>
      <c r="X18" s="32">
        <f t="shared" si="10"/>
        <v>14</v>
      </c>
    </row>
    <row r="19">
      <c r="A19" s="32">
        <f t="shared" si="8"/>
        <v>15</v>
      </c>
      <c r="B19" s="33" t="s">
        <v>50</v>
      </c>
      <c r="C19" s="34">
        <v>53.0</v>
      </c>
      <c r="D19" s="34">
        <v>6.0</v>
      </c>
      <c r="E19" s="35">
        <f t="shared" si="2"/>
        <v>10.6</v>
      </c>
      <c r="F19" s="95">
        <v>1.0</v>
      </c>
      <c r="G19" s="96">
        <v>3.0</v>
      </c>
      <c r="H19" s="97">
        <v>0.0</v>
      </c>
      <c r="I19" s="96">
        <v>7.0</v>
      </c>
      <c r="J19" s="96">
        <v>4.0</v>
      </c>
      <c r="K19" s="96">
        <v>0.0</v>
      </c>
      <c r="L19" s="98">
        <v>11.0</v>
      </c>
      <c r="M19" s="96">
        <v>1.0</v>
      </c>
      <c r="N19" s="34">
        <f t="shared" ref="N19:O19" si="22">C19+L19</f>
        <v>64</v>
      </c>
      <c r="O19" s="34">
        <f t="shared" si="22"/>
        <v>7</v>
      </c>
      <c r="P19" s="49" t="s">
        <v>58</v>
      </c>
      <c r="Q19" s="49" t="s">
        <v>58</v>
      </c>
      <c r="R19" s="49"/>
      <c r="S19" s="52">
        <f t="shared" si="4"/>
        <v>5</v>
      </c>
      <c r="T19" s="52">
        <f t="shared" si="5"/>
        <v>0</v>
      </c>
      <c r="U19" s="52"/>
      <c r="V19" s="52">
        <f t="shared" si="6"/>
        <v>0</v>
      </c>
      <c r="W19" s="52">
        <f t="shared" si="7"/>
        <v>15</v>
      </c>
      <c r="X19" s="32">
        <f t="shared" si="10"/>
        <v>15</v>
      </c>
    </row>
    <row r="20">
      <c r="A20" s="32">
        <f t="shared" si="8"/>
        <v>16</v>
      </c>
      <c r="B20" s="33" t="s">
        <v>111</v>
      </c>
      <c r="C20" s="34">
        <v>53.0</v>
      </c>
      <c r="D20" s="34">
        <v>3.0</v>
      </c>
      <c r="E20" s="35">
        <f t="shared" si="2"/>
        <v>10.33333333</v>
      </c>
      <c r="F20" s="95">
        <v>2.0</v>
      </c>
      <c r="G20" s="96">
        <v>3.0</v>
      </c>
      <c r="H20" s="97">
        <v>0.0</v>
      </c>
      <c r="I20" s="96">
        <v>6.0</v>
      </c>
      <c r="J20" s="96">
        <v>6.0</v>
      </c>
      <c r="K20" s="96">
        <v>0.0</v>
      </c>
      <c r="L20" s="98">
        <v>12.0</v>
      </c>
      <c r="M20" s="96">
        <v>1.0</v>
      </c>
      <c r="N20" s="34">
        <f t="shared" ref="N20:O20" si="23">C20+L20</f>
        <v>65</v>
      </c>
      <c r="O20" s="34">
        <f t="shared" si="23"/>
        <v>4</v>
      </c>
      <c r="P20" s="49" t="s">
        <v>58</v>
      </c>
      <c r="Q20" s="49" t="s">
        <v>58</v>
      </c>
      <c r="R20" s="49"/>
      <c r="S20" s="52">
        <f t="shared" si="4"/>
        <v>3</v>
      </c>
      <c r="T20" s="52">
        <f t="shared" si="5"/>
        <v>1</v>
      </c>
      <c r="U20" s="52"/>
      <c r="V20" s="52">
        <f t="shared" si="6"/>
        <v>1</v>
      </c>
      <c r="W20" s="52">
        <f t="shared" si="7"/>
        <v>-3</v>
      </c>
      <c r="X20" s="32">
        <f t="shared" si="10"/>
        <v>16</v>
      </c>
    </row>
    <row r="21">
      <c r="A21" s="32">
        <f t="shared" si="8"/>
        <v>17</v>
      </c>
      <c r="B21" s="33" t="s">
        <v>87</v>
      </c>
      <c r="C21" s="34">
        <v>52.0</v>
      </c>
      <c r="D21" s="34">
        <v>6.0</v>
      </c>
      <c r="E21" s="35">
        <f t="shared" si="2"/>
        <v>10.75</v>
      </c>
      <c r="F21" s="95">
        <v>1.0</v>
      </c>
      <c r="G21" s="96">
        <v>9.0</v>
      </c>
      <c r="H21" s="97">
        <v>0.0</v>
      </c>
      <c r="I21" s="96">
        <v>6.0</v>
      </c>
      <c r="J21" s="96">
        <v>3.0</v>
      </c>
      <c r="K21" s="96">
        <v>2.0</v>
      </c>
      <c r="L21" s="98">
        <v>11.0</v>
      </c>
      <c r="M21" s="96">
        <v>1.0</v>
      </c>
      <c r="N21" s="34">
        <f t="shared" ref="N21:O21" si="24">C21+L21</f>
        <v>63</v>
      </c>
      <c r="O21" s="34">
        <f t="shared" si="24"/>
        <v>7</v>
      </c>
      <c r="P21" s="49" t="s">
        <v>58</v>
      </c>
      <c r="Q21" s="49" t="s">
        <v>58</v>
      </c>
      <c r="R21" s="49"/>
      <c r="S21" s="52">
        <f t="shared" si="4"/>
        <v>4</v>
      </c>
      <c r="T21" s="52">
        <f t="shared" si="5"/>
        <v>0</v>
      </c>
      <c r="U21" s="52"/>
      <c r="V21" s="52">
        <f t="shared" si="6"/>
        <v>1</v>
      </c>
      <c r="W21" s="52">
        <f t="shared" si="7"/>
        <v>-8</v>
      </c>
      <c r="X21" s="32">
        <f t="shared" si="10"/>
        <v>17</v>
      </c>
    </row>
    <row r="22">
      <c r="A22" s="32">
        <f t="shared" si="8"/>
        <v>18</v>
      </c>
      <c r="B22" s="33" t="s">
        <v>60</v>
      </c>
      <c r="C22" s="34">
        <v>52.0</v>
      </c>
      <c r="D22" s="34">
        <v>6.0</v>
      </c>
      <c r="E22" s="35">
        <f t="shared" si="2"/>
        <v>10.4</v>
      </c>
      <c r="F22" s="95">
        <v>1.0</v>
      </c>
      <c r="G22" s="96">
        <v>9.0</v>
      </c>
      <c r="H22" s="97">
        <v>0.0</v>
      </c>
      <c r="I22" s="96">
        <v>3.0</v>
      </c>
      <c r="J22" s="96">
        <v>6.0</v>
      </c>
      <c r="K22" s="96">
        <v>2.0</v>
      </c>
      <c r="L22" s="98">
        <v>11.0</v>
      </c>
      <c r="M22" s="96">
        <v>1.0</v>
      </c>
      <c r="N22" s="34">
        <f t="shared" ref="N22:O22" si="25">C22+L22</f>
        <v>63</v>
      </c>
      <c r="O22" s="34">
        <f t="shared" si="25"/>
        <v>7</v>
      </c>
      <c r="P22" s="49" t="s">
        <v>58</v>
      </c>
      <c r="Q22" s="49" t="s">
        <v>58</v>
      </c>
      <c r="R22" s="49"/>
      <c r="S22" s="52">
        <f t="shared" si="4"/>
        <v>5</v>
      </c>
      <c r="T22" s="52">
        <f t="shared" si="5"/>
        <v>0</v>
      </c>
      <c r="U22" s="52"/>
      <c r="V22" s="52">
        <f t="shared" si="6"/>
        <v>0</v>
      </c>
      <c r="W22" s="52">
        <f t="shared" si="7"/>
        <v>3</v>
      </c>
      <c r="X22" s="32">
        <f t="shared" si="10"/>
        <v>18</v>
      </c>
    </row>
    <row r="23">
      <c r="A23" s="32">
        <f t="shared" si="8"/>
        <v>19</v>
      </c>
      <c r="B23" s="33" t="s">
        <v>106</v>
      </c>
      <c r="C23" s="34">
        <v>52.0</v>
      </c>
      <c r="D23" s="34">
        <v>4.0</v>
      </c>
      <c r="E23" s="35">
        <f t="shared" si="2"/>
        <v>10.5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6">C23+L23</f>
        <v>61</v>
      </c>
      <c r="O23" s="34">
        <f t="shared" si="26"/>
        <v>4</v>
      </c>
      <c r="P23" s="49" t="s">
        <v>58</v>
      </c>
      <c r="Q23" s="49" t="s">
        <v>58</v>
      </c>
      <c r="R23" s="49"/>
      <c r="S23" s="52">
        <f t="shared" si="4"/>
        <v>2</v>
      </c>
      <c r="T23" s="52">
        <f t="shared" si="5"/>
        <v>1</v>
      </c>
      <c r="U23" s="52"/>
      <c r="V23" s="52">
        <f t="shared" si="6"/>
        <v>2</v>
      </c>
      <c r="W23" s="52">
        <f t="shared" si="7"/>
        <v>-11</v>
      </c>
      <c r="X23" s="32">
        <f t="shared" si="10"/>
        <v>19</v>
      </c>
    </row>
    <row r="24">
      <c r="A24" s="32">
        <f t="shared" si="8"/>
        <v>20</v>
      </c>
      <c r="B24" s="33" t="s">
        <v>132</v>
      </c>
      <c r="C24" s="34">
        <v>51.0</v>
      </c>
      <c r="D24" s="34">
        <v>5.0</v>
      </c>
      <c r="E24" s="35">
        <f t="shared" si="2"/>
        <v>11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7">C24+L24</f>
        <v>60</v>
      </c>
      <c r="O24" s="34">
        <f t="shared" si="27"/>
        <v>5</v>
      </c>
      <c r="P24" s="49" t="s">
        <v>58</v>
      </c>
      <c r="Q24" s="49" t="s">
        <v>58</v>
      </c>
      <c r="R24" s="49"/>
      <c r="S24" s="52">
        <f t="shared" si="4"/>
        <v>3</v>
      </c>
      <c r="T24" s="52">
        <f t="shared" si="5"/>
        <v>0</v>
      </c>
      <c r="U24" s="52"/>
      <c r="V24" s="52">
        <f t="shared" si="6"/>
        <v>2</v>
      </c>
      <c r="W24" s="52">
        <f t="shared" si="7"/>
        <v>-3</v>
      </c>
      <c r="X24" s="32">
        <f t="shared" si="10"/>
        <v>20</v>
      </c>
    </row>
    <row r="25">
      <c r="A25" s="32">
        <f t="shared" si="8"/>
        <v>21</v>
      </c>
      <c r="B25" s="33" t="s">
        <v>128</v>
      </c>
      <c r="C25" s="34">
        <v>51.0</v>
      </c>
      <c r="D25" s="34">
        <v>5.0</v>
      </c>
      <c r="E25" s="35">
        <f t="shared" si="2"/>
        <v>11</v>
      </c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28">C25+L25</f>
        <v>60</v>
      </c>
      <c r="O25" s="34">
        <f t="shared" si="28"/>
        <v>5</v>
      </c>
      <c r="P25" s="49" t="s">
        <v>58</v>
      </c>
      <c r="Q25" s="49" t="s">
        <v>58</v>
      </c>
      <c r="R25" s="49"/>
      <c r="S25" s="52">
        <f t="shared" si="4"/>
        <v>3</v>
      </c>
      <c r="T25" s="52">
        <f t="shared" si="5"/>
        <v>0</v>
      </c>
      <c r="U25" s="52"/>
      <c r="V25" s="52">
        <f t="shared" si="6"/>
        <v>2</v>
      </c>
      <c r="W25" s="52">
        <f t="shared" si="7"/>
        <v>-3</v>
      </c>
      <c r="X25" s="32">
        <f t="shared" si="10"/>
        <v>21</v>
      </c>
    </row>
    <row r="26">
      <c r="A26" s="32">
        <f t="shared" si="8"/>
        <v>22</v>
      </c>
      <c r="B26" s="33" t="s">
        <v>103</v>
      </c>
      <c r="C26" s="34">
        <v>51.0</v>
      </c>
      <c r="D26" s="34">
        <v>5.0</v>
      </c>
      <c r="E26" s="35">
        <f t="shared" si="2"/>
        <v>10.5</v>
      </c>
      <c r="F26" s="95">
        <v>3.0</v>
      </c>
      <c r="G26" s="96">
        <v>0.0</v>
      </c>
      <c r="H26" s="97">
        <v>9.0</v>
      </c>
      <c r="I26" s="96">
        <v>0.0</v>
      </c>
      <c r="J26" s="96">
        <v>0.0</v>
      </c>
      <c r="K26" s="96">
        <v>0.0</v>
      </c>
      <c r="L26" s="98">
        <v>9.0</v>
      </c>
      <c r="M26" s="96">
        <v>0.0</v>
      </c>
      <c r="N26" s="34">
        <f t="shared" ref="N26:O26" si="29">C26+L26</f>
        <v>60</v>
      </c>
      <c r="O26" s="34">
        <f t="shared" si="29"/>
        <v>5</v>
      </c>
      <c r="P26" s="49" t="s">
        <v>58</v>
      </c>
      <c r="Q26" s="49" t="s">
        <v>58</v>
      </c>
      <c r="R26" s="49"/>
      <c r="S26" s="52">
        <f t="shared" si="4"/>
        <v>4</v>
      </c>
      <c r="T26" s="52">
        <f t="shared" si="5"/>
        <v>0</v>
      </c>
      <c r="U26" s="52"/>
      <c r="V26" s="52">
        <f t="shared" si="6"/>
        <v>1</v>
      </c>
      <c r="W26" s="52">
        <f t="shared" si="7"/>
        <v>-8</v>
      </c>
      <c r="X26" s="32">
        <f t="shared" si="10"/>
        <v>22</v>
      </c>
    </row>
    <row r="27">
      <c r="A27" s="32">
        <f t="shared" si="8"/>
        <v>23</v>
      </c>
      <c r="B27" s="33" t="s">
        <v>97</v>
      </c>
      <c r="C27" s="34">
        <v>50.0</v>
      </c>
      <c r="D27" s="34">
        <v>5.0</v>
      </c>
      <c r="E27" s="35">
        <f t="shared" si="2"/>
        <v>10.66666667</v>
      </c>
      <c r="F27" s="95">
        <v>4.0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30">C27+L27</f>
        <v>59</v>
      </c>
      <c r="O27" s="34">
        <f t="shared" si="30"/>
        <v>5</v>
      </c>
      <c r="P27" s="49" t="s">
        <v>58</v>
      </c>
      <c r="Q27" s="49" t="s">
        <v>58</v>
      </c>
      <c r="R27" s="49"/>
      <c r="S27" s="52">
        <f t="shared" si="4"/>
        <v>3</v>
      </c>
      <c r="T27" s="52">
        <f t="shared" si="5"/>
        <v>0</v>
      </c>
      <c r="U27" s="52"/>
      <c r="V27" s="52">
        <f t="shared" si="6"/>
        <v>2</v>
      </c>
      <c r="W27" s="52">
        <f t="shared" si="7"/>
        <v>16</v>
      </c>
      <c r="X27" s="32">
        <f t="shared" si="10"/>
        <v>23</v>
      </c>
    </row>
    <row r="28">
      <c r="A28" s="32">
        <f t="shared" si="8"/>
        <v>24</v>
      </c>
      <c r="B28" s="33" t="s">
        <v>107</v>
      </c>
      <c r="C28" s="34">
        <v>49.0</v>
      </c>
      <c r="D28" s="34">
        <v>4.0</v>
      </c>
      <c r="E28" s="35">
        <f t="shared" si="2"/>
        <v>10.33333333</v>
      </c>
      <c r="F28" s="95">
        <v>1.0</v>
      </c>
      <c r="G28" s="96">
        <v>9.0</v>
      </c>
      <c r="H28" s="97">
        <v>0.0</v>
      </c>
      <c r="I28" s="96">
        <v>6.0</v>
      </c>
      <c r="J28" s="96">
        <v>6.0</v>
      </c>
      <c r="K28" s="96">
        <v>6.0</v>
      </c>
      <c r="L28" s="98">
        <v>18.0</v>
      </c>
      <c r="M28" s="96">
        <v>3.0</v>
      </c>
      <c r="N28" s="34">
        <f t="shared" ref="N28:O28" si="31">C28+L28</f>
        <v>67</v>
      </c>
      <c r="O28" s="34">
        <f t="shared" si="31"/>
        <v>7</v>
      </c>
      <c r="P28" s="49" t="s">
        <v>58</v>
      </c>
      <c r="Q28" s="49" t="s">
        <v>58</v>
      </c>
      <c r="R28" s="49"/>
      <c r="S28" s="52">
        <f t="shared" si="4"/>
        <v>3</v>
      </c>
      <c r="T28" s="52">
        <f t="shared" si="5"/>
        <v>0</v>
      </c>
      <c r="U28" s="52"/>
      <c r="V28" s="52">
        <f t="shared" si="6"/>
        <v>2</v>
      </c>
      <c r="W28" s="52">
        <f t="shared" si="7"/>
        <v>-12</v>
      </c>
      <c r="X28" s="32">
        <f t="shared" si="10"/>
        <v>24</v>
      </c>
    </row>
    <row r="29">
      <c r="A29" s="32">
        <f t="shared" si="8"/>
        <v>25</v>
      </c>
      <c r="B29" s="33" t="s">
        <v>99</v>
      </c>
      <c r="C29" s="34">
        <v>48.0</v>
      </c>
      <c r="D29" s="34">
        <v>4.0</v>
      </c>
      <c r="E29" s="35">
        <f t="shared" si="2"/>
        <v>10</v>
      </c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2">C29+L29</f>
        <v>57</v>
      </c>
      <c r="O29" s="34">
        <f t="shared" si="32"/>
        <v>4</v>
      </c>
      <c r="P29" s="49" t="s">
        <v>58</v>
      </c>
      <c r="Q29" s="49" t="s">
        <v>58</v>
      </c>
      <c r="R29" s="49"/>
      <c r="S29" s="52">
        <f t="shared" si="4"/>
        <v>3</v>
      </c>
      <c r="T29" s="52">
        <f t="shared" si="5"/>
        <v>0</v>
      </c>
      <c r="U29" s="52"/>
      <c r="V29" s="52">
        <f t="shared" si="6"/>
        <v>2</v>
      </c>
      <c r="W29" s="52">
        <f t="shared" si="7"/>
        <v>-3</v>
      </c>
      <c r="X29" s="32">
        <f t="shared" si="10"/>
        <v>25</v>
      </c>
    </row>
    <row r="30">
      <c r="A30" s="32">
        <f t="shared" si="8"/>
        <v>26</v>
      </c>
      <c r="B30" s="33" t="s">
        <v>109</v>
      </c>
      <c r="C30" s="34">
        <v>48.0</v>
      </c>
      <c r="D30" s="34">
        <v>3.0</v>
      </c>
      <c r="E30" s="35">
        <f t="shared" si="2"/>
        <v>10</v>
      </c>
      <c r="F30" s="95">
        <v>1.0</v>
      </c>
      <c r="G30" s="96">
        <v>9.0</v>
      </c>
      <c r="H30" s="97">
        <v>0.0</v>
      </c>
      <c r="I30" s="96">
        <v>3.0</v>
      </c>
      <c r="J30" s="96">
        <v>3.0</v>
      </c>
      <c r="K30" s="96">
        <v>6.0</v>
      </c>
      <c r="L30" s="98">
        <v>12.0</v>
      </c>
      <c r="M30" s="96">
        <v>1.0</v>
      </c>
      <c r="N30" s="34">
        <f t="shared" ref="N30:O30" si="33">C30+L30</f>
        <v>60</v>
      </c>
      <c r="O30" s="34">
        <f t="shared" si="33"/>
        <v>4</v>
      </c>
      <c r="P30" s="49" t="s">
        <v>58</v>
      </c>
      <c r="Q30" s="49" t="s">
        <v>58</v>
      </c>
      <c r="R30" s="49"/>
      <c r="S30" s="52">
        <f t="shared" si="4"/>
        <v>3</v>
      </c>
      <c r="T30" s="52">
        <f t="shared" si="5"/>
        <v>0</v>
      </c>
      <c r="U30" s="52"/>
      <c r="V30" s="52">
        <f t="shared" si="6"/>
        <v>2</v>
      </c>
      <c r="W30" s="52">
        <f t="shared" si="7"/>
        <v>6</v>
      </c>
      <c r="X30" s="32">
        <f t="shared" si="10"/>
        <v>26</v>
      </c>
    </row>
    <row r="31">
      <c r="A31" s="32">
        <f t="shared" si="8"/>
        <v>27</v>
      </c>
      <c r="B31" s="33" t="s">
        <v>144</v>
      </c>
      <c r="C31" s="34">
        <v>47.0</v>
      </c>
      <c r="D31" s="34">
        <v>4.0</v>
      </c>
      <c r="E31" s="35">
        <f t="shared" si="2"/>
        <v>8</v>
      </c>
      <c r="F31" s="95">
        <v>5.0</v>
      </c>
      <c r="G31" s="96">
        <v>0.0</v>
      </c>
      <c r="H31" s="97">
        <v>13.0</v>
      </c>
      <c r="I31" s="96">
        <v>0.0</v>
      </c>
      <c r="J31" s="96">
        <v>0.0</v>
      </c>
      <c r="K31" s="96">
        <v>0.0</v>
      </c>
      <c r="L31" s="98">
        <v>13.0</v>
      </c>
      <c r="M31" s="96">
        <v>0.0</v>
      </c>
      <c r="N31" s="34">
        <f t="shared" ref="N31:O31" si="34">C31+L31</f>
        <v>60</v>
      </c>
      <c r="O31" s="34">
        <f t="shared" si="34"/>
        <v>4</v>
      </c>
      <c r="P31" s="49" t="s">
        <v>58</v>
      </c>
      <c r="Q31" s="49" t="s">
        <v>58</v>
      </c>
      <c r="R31" s="49"/>
      <c r="S31" s="52">
        <f t="shared" si="4"/>
        <v>2</v>
      </c>
      <c r="T31" s="52">
        <f t="shared" si="5"/>
        <v>1</v>
      </c>
      <c r="U31" s="52"/>
      <c r="V31" s="52">
        <f t="shared" si="6"/>
        <v>2</v>
      </c>
      <c r="W31" s="52">
        <f t="shared" si="7"/>
        <v>-3</v>
      </c>
      <c r="X31" s="32">
        <f t="shared" si="10"/>
        <v>27</v>
      </c>
    </row>
    <row r="32">
      <c r="A32" s="32">
        <f t="shared" si="8"/>
        <v>28</v>
      </c>
      <c r="B32" s="33" t="s">
        <v>108</v>
      </c>
      <c r="C32" s="34">
        <v>47.0</v>
      </c>
      <c r="D32" s="34">
        <v>3.0</v>
      </c>
      <c r="E32" s="35">
        <f t="shared" si="2"/>
        <v>9.5</v>
      </c>
      <c r="F32" s="95">
        <v>1.0</v>
      </c>
      <c r="G32" s="96">
        <v>4.0</v>
      </c>
      <c r="H32" s="97">
        <v>0.0</v>
      </c>
      <c r="I32" s="96">
        <v>5.0</v>
      </c>
      <c r="J32" s="96">
        <v>4.0</v>
      </c>
      <c r="K32" s="96">
        <v>3.0</v>
      </c>
      <c r="L32" s="98">
        <v>12.0</v>
      </c>
      <c r="M32" s="96">
        <v>0.0</v>
      </c>
      <c r="N32" s="34">
        <f t="shared" ref="N32:O32" si="35">C32+L32</f>
        <v>59</v>
      </c>
      <c r="O32" s="34">
        <f t="shared" si="35"/>
        <v>3</v>
      </c>
      <c r="P32" s="49" t="s">
        <v>58</v>
      </c>
      <c r="Q32" s="49" t="s">
        <v>58</v>
      </c>
      <c r="R32" s="49"/>
      <c r="S32" s="52">
        <f t="shared" si="4"/>
        <v>4</v>
      </c>
      <c r="T32" s="52">
        <f t="shared" si="5"/>
        <v>0</v>
      </c>
      <c r="U32" s="52"/>
      <c r="V32" s="52">
        <f t="shared" si="6"/>
        <v>1</v>
      </c>
      <c r="W32" s="52">
        <f t="shared" si="7"/>
        <v>1</v>
      </c>
      <c r="X32" s="32">
        <f t="shared" si="10"/>
        <v>28</v>
      </c>
    </row>
    <row r="33">
      <c r="A33" s="32">
        <f t="shared" si="8"/>
        <v>29</v>
      </c>
      <c r="B33" s="33" t="s">
        <v>49</v>
      </c>
      <c r="C33" s="34">
        <v>46.0</v>
      </c>
      <c r="D33" s="34">
        <v>6.0</v>
      </c>
      <c r="E33" s="35">
        <f t="shared" si="2"/>
        <v>9.25</v>
      </c>
      <c r="F33" s="95">
        <v>1.0</v>
      </c>
      <c r="G33" s="96">
        <v>4.0</v>
      </c>
      <c r="H33" s="97">
        <v>0.0</v>
      </c>
      <c r="I33" s="96">
        <v>5.0</v>
      </c>
      <c r="J33" s="96">
        <v>6.0</v>
      </c>
      <c r="K33" s="96">
        <v>6.0</v>
      </c>
      <c r="L33" s="98">
        <v>17.0</v>
      </c>
      <c r="M33" s="96">
        <v>2.0</v>
      </c>
      <c r="N33" s="34">
        <f t="shared" ref="N33:O33" si="36">C33+L33</f>
        <v>63</v>
      </c>
      <c r="O33" s="34">
        <f t="shared" si="36"/>
        <v>8</v>
      </c>
      <c r="P33" s="49" t="s">
        <v>58</v>
      </c>
      <c r="Q33" s="49" t="s">
        <v>58</v>
      </c>
      <c r="R33" s="49"/>
      <c r="S33" s="52">
        <f t="shared" si="4"/>
        <v>4</v>
      </c>
      <c r="T33" s="52">
        <f t="shared" si="5"/>
        <v>0</v>
      </c>
      <c r="U33" s="52"/>
      <c r="V33" s="52">
        <f t="shared" si="6"/>
        <v>1</v>
      </c>
      <c r="W33" s="52">
        <f t="shared" si="7"/>
        <v>18</v>
      </c>
      <c r="X33" s="32">
        <f t="shared" si="10"/>
        <v>29</v>
      </c>
    </row>
    <row r="34">
      <c r="A34" s="32">
        <f t="shared" si="8"/>
        <v>30</v>
      </c>
      <c r="B34" s="33" t="s">
        <v>137</v>
      </c>
      <c r="C34" s="34">
        <v>46.0</v>
      </c>
      <c r="D34" s="34">
        <v>4.0</v>
      </c>
      <c r="E34" s="35">
        <f t="shared" si="2"/>
        <v>9.2</v>
      </c>
      <c r="F34" s="95">
        <v>1.0</v>
      </c>
      <c r="G34" s="96">
        <v>4.0</v>
      </c>
      <c r="H34" s="97">
        <v>0.0</v>
      </c>
      <c r="I34" s="96">
        <v>7.0</v>
      </c>
      <c r="J34" s="96">
        <v>4.0</v>
      </c>
      <c r="K34" s="96">
        <v>6.0</v>
      </c>
      <c r="L34" s="98">
        <v>17.0</v>
      </c>
      <c r="M34" s="96">
        <v>2.0</v>
      </c>
      <c r="N34" s="34">
        <f t="shared" ref="N34:O34" si="37">C34+L34</f>
        <v>63</v>
      </c>
      <c r="O34" s="34">
        <f t="shared" si="37"/>
        <v>6</v>
      </c>
      <c r="P34" s="49" t="s">
        <v>58</v>
      </c>
      <c r="Q34" s="49" t="s">
        <v>58</v>
      </c>
      <c r="R34" s="49"/>
      <c r="S34" s="52">
        <f t="shared" si="4"/>
        <v>5</v>
      </c>
      <c r="T34" s="52">
        <f t="shared" si="5"/>
        <v>0</v>
      </c>
      <c r="U34" s="52"/>
      <c r="V34" s="52">
        <f t="shared" si="6"/>
        <v>0</v>
      </c>
      <c r="W34" s="52">
        <f t="shared" si="7"/>
        <v>-3</v>
      </c>
      <c r="X34" s="32">
        <f t="shared" si="10"/>
        <v>30</v>
      </c>
    </row>
    <row r="35">
      <c r="A35" s="32">
        <f t="shared" si="8"/>
        <v>31</v>
      </c>
      <c r="B35" s="33" t="s">
        <v>113</v>
      </c>
      <c r="C35" s="34">
        <v>46.0</v>
      </c>
      <c r="D35" s="34">
        <v>3.0</v>
      </c>
      <c r="E35" s="35">
        <f t="shared" si="2"/>
        <v>9.5</v>
      </c>
      <c r="F35" s="95">
        <v>3.0</v>
      </c>
      <c r="G35" s="96">
        <v>0.0</v>
      </c>
      <c r="H35" s="97">
        <v>9.0</v>
      </c>
      <c r="I35" s="96">
        <v>0.0</v>
      </c>
      <c r="J35" s="96">
        <v>0.0</v>
      </c>
      <c r="K35" s="96">
        <v>0.0</v>
      </c>
      <c r="L35" s="98">
        <v>9.0</v>
      </c>
      <c r="M35" s="96">
        <v>0.0</v>
      </c>
      <c r="N35" s="34">
        <f t="shared" ref="N35:O35" si="38">C35+L35</f>
        <v>55</v>
      </c>
      <c r="O35" s="34">
        <f t="shared" si="38"/>
        <v>3</v>
      </c>
      <c r="P35" s="49" t="s">
        <v>58</v>
      </c>
      <c r="Q35" s="49" t="s">
        <v>58</v>
      </c>
      <c r="R35" s="49"/>
      <c r="S35" s="52">
        <f t="shared" si="4"/>
        <v>2</v>
      </c>
      <c r="T35" s="52">
        <f t="shared" si="5"/>
        <v>0</v>
      </c>
      <c r="U35" s="52"/>
      <c r="V35" s="52">
        <f t="shared" si="6"/>
        <v>3</v>
      </c>
      <c r="W35" s="52">
        <f t="shared" si="7"/>
        <v>-5</v>
      </c>
      <c r="X35" s="32">
        <f t="shared" si="10"/>
        <v>31</v>
      </c>
    </row>
    <row r="36">
      <c r="A36" s="32">
        <f t="shared" si="8"/>
        <v>32</v>
      </c>
      <c r="B36" s="33" t="s">
        <v>114</v>
      </c>
      <c r="C36" s="34">
        <v>46.0</v>
      </c>
      <c r="D36" s="34">
        <v>2.0</v>
      </c>
      <c r="E36" s="35">
        <f t="shared" si="2"/>
        <v>9.25</v>
      </c>
      <c r="F36" s="95">
        <v>1.0</v>
      </c>
      <c r="G36" s="96">
        <v>4.0</v>
      </c>
      <c r="H36" s="97">
        <v>0.0</v>
      </c>
      <c r="I36" s="96">
        <v>7.0</v>
      </c>
      <c r="J36" s="96">
        <v>6.0</v>
      </c>
      <c r="K36" s="96">
        <v>3.0</v>
      </c>
      <c r="L36" s="98">
        <v>16.0</v>
      </c>
      <c r="M36" s="96">
        <v>2.0</v>
      </c>
      <c r="N36" s="34">
        <f t="shared" ref="N36:O36" si="39">C36+L36</f>
        <v>62</v>
      </c>
      <c r="O36" s="34">
        <f t="shared" si="39"/>
        <v>4</v>
      </c>
      <c r="P36" s="49" t="s">
        <v>58</v>
      </c>
      <c r="Q36" s="49" t="s">
        <v>58</v>
      </c>
      <c r="R36" s="49"/>
      <c r="S36" s="52">
        <f t="shared" si="4"/>
        <v>4</v>
      </c>
      <c r="T36" s="52">
        <f t="shared" si="5"/>
        <v>0</v>
      </c>
      <c r="U36" s="52"/>
      <c r="V36" s="52">
        <f t="shared" si="6"/>
        <v>1</v>
      </c>
      <c r="W36" s="52">
        <f t="shared" si="7"/>
        <v>1</v>
      </c>
      <c r="X36" s="32">
        <f t="shared" si="10"/>
        <v>32</v>
      </c>
    </row>
    <row r="37">
      <c r="A37" s="32">
        <f t="shared" si="8"/>
        <v>33</v>
      </c>
      <c r="B37" s="33" t="s">
        <v>96</v>
      </c>
      <c r="C37" s="34">
        <v>45.0</v>
      </c>
      <c r="D37" s="34">
        <v>4.0</v>
      </c>
      <c r="E37" s="35">
        <f t="shared" si="2"/>
        <v>9</v>
      </c>
      <c r="F37" s="95">
        <v>3.0</v>
      </c>
      <c r="G37" s="96">
        <v>0.0</v>
      </c>
      <c r="H37" s="97">
        <v>9.0</v>
      </c>
      <c r="I37" s="96">
        <v>0.0</v>
      </c>
      <c r="J37" s="96">
        <v>0.0</v>
      </c>
      <c r="K37" s="96">
        <v>0.0</v>
      </c>
      <c r="L37" s="98">
        <v>9.0</v>
      </c>
      <c r="M37" s="96">
        <v>0.0</v>
      </c>
      <c r="N37" s="34">
        <f t="shared" ref="N37:O37" si="40">C37+L37</f>
        <v>54</v>
      </c>
      <c r="O37" s="34">
        <f t="shared" si="40"/>
        <v>4</v>
      </c>
      <c r="P37" s="49" t="s">
        <v>58</v>
      </c>
      <c r="Q37" s="49" t="s">
        <v>58</v>
      </c>
      <c r="R37" s="49"/>
      <c r="S37" s="52">
        <f t="shared" si="4"/>
        <v>3</v>
      </c>
      <c r="T37" s="52">
        <f t="shared" si="5"/>
        <v>0</v>
      </c>
      <c r="U37" s="52"/>
      <c r="V37" s="52">
        <f t="shared" si="6"/>
        <v>2</v>
      </c>
      <c r="W37" s="52">
        <f t="shared" si="7"/>
        <v>1</v>
      </c>
      <c r="X37" s="32">
        <f t="shared" si="10"/>
        <v>33</v>
      </c>
    </row>
    <row r="38">
      <c r="A38" s="32">
        <f t="shared" si="8"/>
        <v>34</v>
      </c>
      <c r="B38" s="33" t="s">
        <v>136</v>
      </c>
      <c r="C38" s="34">
        <v>45.0</v>
      </c>
      <c r="D38" s="34">
        <v>3.0</v>
      </c>
      <c r="E38" s="35">
        <f t="shared" si="2"/>
        <v>9</v>
      </c>
      <c r="F38" s="95">
        <v>1.0</v>
      </c>
      <c r="G38" s="96">
        <v>5.0</v>
      </c>
      <c r="H38" s="97">
        <v>0.0</v>
      </c>
      <c r="I38" s="96">
        <v>2.0</v>
      </c>
      <c r="J38" s="96">
        <v>6.0</v>
      </c>
      <c r="K38" s="96">
        <v>3.0</v>
      </c>
      <c r="L38" s="98">
        <v>11.0</v>
      </c>
      <c r="M38" s="96">
        <v>1.0</v>
      </c>
      <c r="N38" s="34">
        <f t="shared" ref="N38:O38" si="41">C38+L38</f>
        <v>56</v>
      </c>
      <c r="O38" s="34">
        <f t="shared" si="41"/>
        <v>4</v>
      </c>
      <c r="P38" s="49" t="s">
        <v>58</v>
      </c>
      <c r="Q38" s="49" t="s">
        <v>58</v>
      </c>
      <c r="R38" s="49"/>
      <c r="S38" s="52">
        <f t="shared" si="4"/>
        <v>5</v>
      </c>
      <c r="T38" s="52">
        <f t="shared" si="5"/>
        <v>0</v>
      </c>
      <c r="U38" s="52"/>
      <c r="V38" s="52">
        <f t="shared" si="6"/>
        <v>0</v>
      </c>
      <c r="W38" s="52">
        <f t="shared" si="7"/>
        <v>2</v>
      </c>
      <c r="X38" s="32">
        <f t="shared" si="10"/>
        <v>34</v>
      </c>
    </row>
    <row r="39">
      <c r="A39" s="32">
        <f t="shared" si="8"/>
        <v>35</v>
      </c>
      <c r="B39" s="33" t="s">
        <v>134</v>
      </c>
      <c r="C39" s="34">
        <v>45.0</v>
      </c>
      <c r="D39" s="34">
        <v>3.0</v>
      </c>
      <c r="E39" s="35">
        <f t="shared" si="2"/>
        <v>9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2">C39+L39</f>
        <v>54</v>
      </c>
      <c r="O39" s="34">
        <f t="shared" si="42"/>
        <v>3</v>
      </c>
      <c r="P39" s="49" t="s">
        <v>58</v>
      </c>
      <c r="Q39" s="49" t="s">
        <v>58</v>
      </c>
      <c r="R39" s="49"/>
      <c r="S39" s="52">
        <f t="shared" si="4"/>
        <v>1</v>
      </c>
      <c r="T39" s="52">
        <f t="shared" si="5"/>
        <v>0</v>
      </c>
      <c r="U39" s="52"/>
      <c r="V39" s="52">
        <f t="shared" si="6"/>
        <v>4</v>
      </c>
      <c r="W39" s="52">
        <f t="shared" si="7"/>
        <v>-7</v>
      </c>
      <c r="X39" s="32">
        <f t="shared" si="10"/>
        <v>35</v>
      </c>
    </row>
    <row r="40">
      <c r="A40" s="32">
        <f t="shared" si="8"/>
        <v>36</v>
      </c>
      <c r="B40" s="33" t="s">
        <v>139</v>
      </c>
      <c r="C40" s="34">
        <v>45.0</v>
      </c>
      <c r="D40" s="34">
        <v>2.0</v>
      </c>
      <c r="E40" s="35">
        <f t="shared" si="2"/>
        <v>9</v>
      </c>
      <c r="F40" s="95">
        <v>1.0</v>
      </c>
      <c r="G40" s="96">
        <v>5.0</v>
      </c>
      <c r="H40" s="97">
        <v>0.0</v>
      </c>
      <c r="I40" s="96">
        <v>6.0</v>
      </c>
      <c r="J40" s="96">
        <v>0.0</v>
      </c>
      <c r="K40" s="96">
        <v>3.0</v>
      </c>
      <c r="L40" s="98">
        <v>9.0</v>
      </c>
      <c r="M40" s="96">
        <v>1.0</v>
      </c>
      <c r="N40" s="34">
        <f t="shared" ref="N40:O40" si="43">C40+L40</f>
        <v>54</v>
      </c>
      <c r="O40" s="34">
        <f t="shared" si="43"/>
        <v>3</v>
      </c>
      <c r="P40" s="49" t="s">
        <v>58</v>
      </c>
      <c r="Q40" s="49" t="s">
        <v>58</v>
      </c>
      <c r="R40" s="49"/>
      <c r="S40" s="52">
        <f t="shared" si="4"/>
        <v>2</v>
      </c>
      <c r="T40" s="52">
        <f t="shared" si="5"/>
        <v>0</v>
      </c>
      <c r="U40" s="52"/>
      <c r="V40" s="52">
        <f t="shared" si="6"/>
        <v>3</v>
      </c>
      <c r="W40" s="52">
        <f t="shared" si="7"/>
        <v>22</v>
      </c>
      <c r="X40" s="32">
        <f t="shared" si="10"/>
        <v>36</v>
      </c>
    </row>
    <row r="41">
      <c r="A41" s="32">
        <f t="shared" si="8"/>
        <v>37</v>
      </c>
      <c r="B41" s="33" t="s">
        <v>45</v>
      </c>
      <c r="C41" s="34">
        <v>44.0</v>
      </c>
      <c r="D41" s="34">
        <v>2.0</v>
      </c>
      <c r="E41" s="35">
        <f t="shared" si="2"/>
        <v>8.5</v>
      </c>
      <c r="F41" s="95">
        <v>1.0</v>
      </c>
      <c r="G41" s="96">
        <v>5.0</v>
      </c>
      <c r="H41" s="97">
        <v>0.0</v>
      </c>
      <c r="I41" s="96">
        <v>6.0</v>
      </c>
      <c r="J41" s="96">
        <v>6.0</v>
      </c>
      <c r="K41" s="96">
        <v>6.0</v>
      </c>
      <c r="L41" s="98">
        <v>18.0</v>
      </c>
      <c r="M41" s="96">
        <v>3.0</v>
      </c>
      <c r="N41" s="34">
        <f t="shared" ref="N41:O41" si="44">C41+L41</f>
        <v>62</v>
      </c>
      <c r="O41" s="34">
        <f t="shared" si="44"/>
        <v>5</v>
      </c>
      <c r="P41" s="49" t="s">
        <v>58</v>
      </c>
      <c r="Q41" s="49" t="s">
        <v>58</v>
      </c>
      <c r="R41" s="49"/>
      <c r="S41" s="52">
        <f t="shared" si="4"/>
        <v>2</v>
      </c>
      <c r="T41" s="52">
        <f t="shared" si="5"/>
        <v>0</v>
      </c>
      <c r="U41" s="52"/>
      <c r="V41" s="52">
        <f t="shared" si="6"/>
        <v>3</v>
      </c>
      <c r="W41" s="52">
        <f t="shared" si="7"/>
        <v>-6</v>
      </c>
      <c r="X41" s="32">
        <f t="shared" si="10"/>
        <v>37</v>
      </c>
    </row>
    <row r="42">
      <c r="A42" s="32">
        <f t="shared" si="8"/>
        <v>38</v>
      </c>
      <c r="B42" s="33" t="s">
        <v>54</v>
      </c>
      <c r="C42" s="34">
        <v>43.0</v>
      </c>
      <c r="D42" s="34">
        <v>5.0</v>
      </c>
      <c r="E42" s="35">
        <f t="shared" si="2"/>
        <v>8.6</v>
      </c>
      <c r="F42" s="95">
        <v>1.0</v>
      </c>
      <c r="G42" s="96">
        <v>5.0</v>
      </c>
      <c r="H42" s="97">
        <v>0.0</v>
      </c>
      <c r="I42" s="96">
        <v>2.0</v>
      </c>
      <c r="J42" s="96">
        <v>0.0</v>
      </c>
      <c r="K42" s="96">
        <v>6.0</v>
      </c>
      <c r="L42" s="98">
        <v>8.0</v>
      </c>
      <c r="M42" s="96">
        <v>1.0</v>
      </c>
      <c r="N42" s="34">
        <f t="shared" ref="N42:O42" si="45">C42+L42</f>
        <v>51</v>
      </c>
      <c r="O42" s="34">
        <f t="shared" si="45"/>
        <v>6</v>
      </c>
      <c r="P42" s="49" t="s">
        <v>58</v>
      </c>
      <c r="Q42" s="49" t="s">
        <v>58</v>
      </c>
      <c r="R42" s="49"/>
      <c r="S42" s="52">
        <f t="shared" si="4"/>
        <v>5</v>
      </c>
      <c r="T42" s="52">
        <f t="shared" si="5"/>
        <v>0</v>
      </c>
      <c r="U42" s="52"/>
      <c r="V42" s="52">
        <f t="shared" si="6"/>
        <v>0</v>
      </c>
      <c r="W42" s="52">
        <f t="shared" si="7"/>
        <v>10</v>
      </c>
      <c r="X42" s="32">
        <f t="shared" si="10"/>
        <v>38</v>
      </c>
    </row>
    <row r="43">
      <c r="A43" s="32">
        <f t="shared" si="8"/>
        <v>39</v>
      </c>
      <c r="B43" s="33" t="s">
        <v>72</v>
      </c>
      <c r="C43" s="34">
        <v>43.0</v>
      </c>
      <c r="D43" s="34">
        <v>4.0</v>
      </c>
      <c r="E43" s="35">
        <f t="shared" si="2"/>
        <v>8.5</v>
      </c>
      <c r="F43" s="95">
        <v>1.0</v>
      </c>
      <c r="G43" s="96">
        <v>6.0</v>
      </c>
      <c r="H43" s="97">
        <v>0.0</v>
      </c>
      <c r="I43" s="96">
        <v>6.0</v>
      </c>
      <c r="J43" s="96">
        <v>4.0</v>
      </c>
      <c r="K43" s="96">
        <v>6.0</v>
      </c>
      <c r="L43" s="98">
        <v>16.0</v>
      </c>
      <c r="M43" s="96">
        <v>2.0</v>
      </c>
      <c r="N43" s="34">
        <f t="shared" ref="N43:O43" si="46">C43+L43</f>
        <v>59</v>
      </c>
      <c r="O43" s="34">
        <f t="shared" si="46"/>
        <v>6</v>
      </c>
      <c r="P43" s="49" t="s">
        <v>58</v>
      </c>
      <c r="Q43" s="49" t="s">
        <v>58</v>
      </c>
      <c r="R43" s="49"/>
      <c r="S43" s="52">
        <f t="shared" si="4"/>
        <v>4</v>
      </c>
      <c r="T43" s="52">
        <f t="shared" si="5"/>
        <v>0</v>
      </c>
      <c r="U43" s="52"/>
      <c r="V43" s="52">
        <f t="shared" si="6"/>
        <v>1</v>
      </c>
      <c r="W43" s="52">
        <f t="shared" si="7"/>
        <v>10</v>
      </c>
      <c r="X43" s="32">
        <f t="shared" si="10"/>
        <v>39</v>
      </c>
    </row>
    <row r="44">
      <c r="A44" s="32">
        <f t="shared" si="8"/>
        <v>40</v>
      </c>
      <c r="B44" s="33" t="s">
        <v>66</v>
      </c>
      <c r="C44" s="34">
        <v>43.0</v>
      </c>
      <c r="D44" s="34">
        <v>2.0</v>
      </c>
      <c r="E44" s="35">
        <f t="shared" si="2"/>
        <v>8.6</v>
      </c>
      <c r="F44" s="95">
        <v>1.0</v>
      </c>
      <c r="G44" s="96">
        <v>6.0</v>
      </c>
      <c r="H44" s="97">
        <v>0.0</v>
      </c>
      <c r="I44" s="96">
        <v>2.0</v>
      </c>
      <c r="J44" s="96">
        <v>6.0</v>
      </c>
      <c r="K44" s="96">
        <v>6.0</v>
      </c>
      <c r="L44" s="98">
        <v>14.0</v>
      </c>
      <c r="M44" s="96">
        <v>2.0</v>
      </c>
      <c r="N44" s="34">
        <f t="shared" ref="N44:O44" si="47">C44+L44</f>
        <v>57</v>
      </c>
      <c r="O44" s="34">
        <f t="shared" si="47"/>
        <v>4</v>
      </c>
      <c r="P44" s="49" t="s">
        <v>58</v>
      </c>
      <c r="Q44" s="49" t="s">
        <v>58</v>
      </c>
      <c r="R44" s="49"/>
      <c r="S44" s="52">
        <f t="shared" si="4"/>
        <v>5</v>
      </c>
      <c r="T44" s="52">
        <f t="shared" si="5"/>
        <v>0</v>
      </c>
      <c r="U44" s="52"/>
      <c r="V44" s="52">
        <f t="shared" si="6"/>
        <v>0</v>
      </c>
      <c r="W44" s="52">
        <f t="shared" si="7"/>
        <v>-21</v>
      </c>
      <c r="X44" s="32">
        <f t="shared" si="10"/>
        <v>40</v>
      </c>
    </row>
    <row r="45">
      <c r="A45" s="32">
        <f t="shared" si="8"/>
        <v>41</v>
      </c>
      <c r="B45" s="33" t="s">
        <v>148</v>
      </c>
      <c r="C45" s="34">
        <v>43.0</v>
      </c>
      <c r="D45" s="34">
        <v>1.0</v>
      </c>
      <c r="E45" s="35">
        <f t="shared" si="2"/>
        <v>8.333333333</v>
      </c>
      <c r="F45" s="95">
        <v>1.0</v>
      </c>
      <c r="G45" s="96">
        <v>6.0</v>
      </c>
      <c r="H45" s="97">
        <v>0.0</v>
      </c>
      <c r="I45" s="96">
        <v>2.0</v>
      </c>
      <c r="J45" s="96">
        <v>4.0</v>
      </c>
      <c r="K45" s="96">
        <v>4.0</v>
      </c>
      <c r="L45" s="98">
        <v>10.0</v>
      </c>
      <c r="M45" s="96">
        <v>0.0</v>
      </c>
      <c r="N45" s="34">
        <f t="shared" ref="N45:O45" si="48">C45+L45</f>
        <v>53</v>
      </c>
      <c r="O45" s="34">
        <f t="shared" si="48"/>
        <v>1</v>
      </c>
      <c r="P45" s="49" t="s">
        <v>58</v>
      </c>
      <c r="Q45" s="49" t="s">
        <v>58</v>
      </c>
      <c r="R45" s="49"/>
      <c r="S45" s="52">
        <f t="shared" si="4"/>
        <v>3</v>
      </c>
      <c r="T45" s="52">
        <f t="shared" si="5"/>
        <v>0</v>
      </c>
      <c r="U45" s="52"/>
      <c r="V45" s="52">
        <f t="shared" si="6"/>
        <v>2</v>
      </c>
      <c r="W45" s="52">
        <f t="shared" si="7"/>
        <v>-6</v>
      </c>
      <c r="X45" s="32">
        <f t="shared" si="10"/>
        <v>41</v>
      </c>
    </row>
    <row r="46">
      <c r="A46" s="32">
        <f t="shared" si="8"/>
        <v>42</v>
      </c>
      <c r="B46" s="33" t="s">
        <v>129</v>
      </c>
      <c r="C46" s="34">
        <v>42.0</v>
      </c>
      <c r="D46" s="34">
        <v>4.0</v>
      </c>
      <c r="E46" s="35">
        <f t="shared" si="2"/>
        <v>8.4</v>
      </c>
      <c r="F46" s="95">
        <v>1.0</v>
      </c>
      <c r="G46" s="96">
        <v>6.0</v>
      </c>
      <c r="H46" s="97">
        <v>0.0</v>
      </c>
      <c r="I46" s="96">
        <v>6.0</v>
      </c>
      <c r="J46" s="96">
        <v>6.0</v>
      </c>
      <c r="K46" s="96">
        <v>4.0</v>
      </c>
      <c r="L46" s="98">
        <v>16.0</v>
      </c>
      <c r="M46" s="96">
        <v>2.0</v>
      </c>
      <c r="N46" s="34">
        <f t="shared" ref="N46:O46" si="49">C46+L46</f>
        <v>58</v>
      </c>
      <c r="O46" s="34">
        <f t="shared" si="49"/>
        <v>6</v>
      </c>
      <c r="P46" s="49" t="s">
        <v>58</v>
      </c>
      <c r="Q46" s="49" t="s">
        <v>58</v>
      </c>
      <c r="R46" s="49"/>
      <c r="S46" s="52">
        <f t="shared" si="4"/>
        <v>5</v>
      </c>
      <c r="T46" s="52">
        <f t="shared" si="5"/>
        <v>0</v>
      </c>
      <c r="U46" s="52"/>
      <c r="V46" s="52">
        <f t="shared" si="6"/>
        <v>0</v>
      </c>
      <c r="W46" s="52">
        <f t="shared" si="7"/>
        <v>0</v>
      </c>
      <c r="X46" s="32">
        <f t="shared" si="10"/>
        <v>42</v>
      </c>
    </row>
    <row r="47">
      <c r="A47" s="32">
        <f t="shared" si="8"/>
        <v>43</v>
      </c>
      <c r="B47" s="33" t="s">
        <v>135</v>
      </c>
      <c r="C47" s="34">
        <v>42.0</v>
      </c>
      <c r="D47" s="34">
        <v>2.0</v>
      </c>
      <c r="E47" s="35">
        <f t="shared" si="2"/>
        <v>7.5</v>
      </c>
      <c r="F47" s="95">
        <v>1.0</v>
      </c>
      <c r="G47" s="96">
        <v>7.0</v>
      </c>
      <c r="H47" s="97">
        <v>0.0</v>
      </c>
      <c r="I47" s="96">
        <v>2.0</v>
      </c>
      <c r="J47" s="96">
        <v>6.0</v>
      </c>
      <c r="K47" s="96">
        <v>2.0</v>
      </c>
      <c r="L47" s="98">
        <v>10.0</v>
      </c>
      <c r="M47" s="96">
        <v>1.0</v>
      </c>
      <c r="N47" s="34">
        <f t="shared" ref="N47:O47" si="50">C47+L47</f>
        <v>52</v>
      </c>
      <c r="O47" s="34">
        <f t="shared" si="50"/>
        <v>3</v>
      </c>
      <c r="P47" s="49" t="s">
        <v>58</v>
      </c>
      <c r="Q47" s="49" t="s">
        <v>58</v>
      </c>
      <c r="R47" s="49"/>
      <c r="S47" s="52">
        <f t="shared" si="4"/>
        <v>2</v>
      </c>
      <c r="T47" s="52">
        <f t="shared" si="5"/>
        <v>0</v>
      </c>
      <c r="U47" s="52"/>
      <c r="V47" s="52">
        <f t="shared" si="6"/>
        <v>3</v>
      </c>
      <c r="W47" s="52">
        <f t="shared" si="7"/>
        <v>-6</v>
      </c>
      <c r="X47" s="32">
        <f t="shared" si="10"/>
        <v>43</v>
      </c>
    </row>
    <row r="48">
      <c r="A48" s="32">
        <f t="shared" si="8"/>
        <v>44</v>
      </c>
      <c r="B48" s="33" t="s">
        <v>93</v>
      </c>
      <c r="C48" s="34">
        <v>42.0</v>
      </c>
      <c r="D48" s="34">
        <v>2.0</v>
      </c>
      <c r="E48" s="35">
        <f t="shared" si="2"/>
        <v>6</v>
      </c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51">C48+L48</f>
        <v>51</v>
      </c>
      <c r="O48" s="34">
        <f t="shared" si="51"/>
        <v>2</v>
      </c>
      <c r="P48" s="49" t="s">
        <v>58</v>
      </c>
      <c r="Q48" s="49" t="s">
        <v>58</v>
      </c>
      <c r="R48" s="49"/>
      <c r="S48" s="52">
        <f t="shared" si="4"/>
        <v>1</v>
      </c>
      <c r="T48" s="52">
        <f t="shared" si="5"/>
        <v>0</v>
      </c>
      <c r="U48" s="52"/>
      <c r="V48" s="52">
        <f t="shared" si="6"/>
        <v>4</v>
      </c>
      <c r="W48" s="52">
        <f t="shared" si="7"/>
        <v>-6</v>
      </c>
      <c r="X48" s="32">
        <f t="shared" si="10"/>
        <v>44</v>
      </c>
    </row>
    <row r="49">
      <c r="A49" s="32">
        <f t="shared" si="8"/>
        <v>45</v>
      </c>
      <c r="B49" s="33" t="s">
        <v>65</v>
      </c>
      <c r="C49" s="34">
        <v>41.0</v>
      </c>
      <c r="D49" s="34">
        <v>2.0</v>
      </c>
      <c r="E49" s="35">
        <f t="shared" si="2"/>
        <v>7</v>
      </c>
      <c r="F49" s="95">
        <v>1.0</v>
      </c>
      <c r="G49" s="96">
        <v>7.0</v>
      </c>
      <c r="H49" s="97">
        <v>0.0</v>
      </c>
      <c r="I49" s="96">
        <v>6.0</v>
      </c>
      <c r="J49" s="96">
        <v>6.0</v>
      </c>
      <c r="K49" s="96">
        <v>6.0</v>
      </c>
      <c r="L49" s="98">
        <v>18.0</v>
      </c>
      <c r="M49" s="96">
        <v>3.0</v>
      </c>
      <c r="N49" s="34">
        <f t="shared" ref="N49:O49" si="52">C49+L49</f>
        <v>59</v>
      </c>
      <c r="O49" s="34">
        <f t="shared" si="52"/>
        <v>5</v>
      </c>
      <c r="P49" s="49" t="s">
        <v>58</v>
      </c>
      <c r="Q49" s="49" t="s">
        <v>58</v>
      </c>
      <c r="R49" s="49"/>
      <c r="S49" s="52">
        <f t="shared" si="4"/>
        <v>2</v>
      </c>
      <c r="T49" s="52">
        <f t="shared" si="5"/>
        <v>0</v>
      </c>
      <c r="U49" s="52"/>
      <c r="V49" s="52">
        <f t="shared" si="6"/>
        <v>3</v>
      </c>
      <c r="W49" s="52">
        <f t="shared" si="7"/>
        <v>-5</v>
      </c>
      <c r="X49" s="32">
        <f t="shared" si="10"/>
        <v>45</v>
      </c>
    </row>
    <row r="50">
      <c r="A50" s="32">
        <f t="shared" si="8"/>
        <v>46</v>
      </c>
      <c r="B50" s="33" t="s">
        <v>143</v>
      </c>
      <c r="C50" s="34">
        <v>41.0</v>
      </c>
      <c r="D50" s="34">
        <v>1.0</v>
      </c>
      <c r="E50" s="35">
        <f t="shared" si="2"/>
        <v>5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3">C50+L50</f>
        <v>50</v>
      </c>
      <c r="O50" s="34">
        <f t="shared" si="53"/>
        <v>1</v>
      </c>
      <c r="P50" s="49" t="s">
        <v>58</v>
      </c>
      <c r="Q50" s="49" t="s">
        <v>58</v>
      </c>
      <c r="R50" s="49"/>
      <c r="S50" s="52">
        <f t="shared" si="4"/>
        <v>1</v>
      </c>
      <c r="T50" s="52">
        <f t="shared" si="5"/>
        <v>0</v>
      </c>
      <c r="U50" s="52"/>
      <c r="V50" s="52">
        <f t="shared" si="6"/>
        <v>4</v>
      </c>
      <c r="W50" s="52">
        <f t="shared" si="7"/>
        <v>-5</v>
      </c>
      <c r="X50" s="32">
        <f t="shared" si="10"/>
        <v>46</v>
      </c>
    </row>
    <row r="51">
      <c r="A51" s="32">
        <f t="shared" si="8"/>
        <v>47</v>
      </c>
      <c r="B51" s="33" t="s">
        <v>133</v>
      </c>
      <c r="C51" s="34">
        <v>40.0</v>
      </c>
      <c r="D51" s="34">
        <v>2.0</v>
      </c>
      <c r="E51" s="35">
        <f t="shared" si="2"/>
        <v>6.5</v>
      </c>
      <c r="F51" s="95">
        <v>3.0</v>
      </c>
      <c r="G51" s="96">
        <v>0.0</v>
      </c>
      <c r="H51" s="97">
        <v>9.0</v>
      </c>
      <c r="I51" s="96">
        <v>0.0</v>
      </c>
      <c r="J51" s="96">
        <v>0.0</v>
      </c>
      <c r="K51" s="96">
        <v>0.0</v>
      </c>
      <c r="L51" s="98">
        <v>9.0</v>
      </c>
      <c r="M51" s="96">
        <v>0.0</v>
      </c>
      <c r="N51" s="34">
        <f t="shared" ref="N51:O51" si="54">C51+L51</f>
        <v>49</v>
      </c>
      <c r="O51" s="34">
        <f t="shared" si="54"/>
        <v>2</v>
      </c>
      <c r="P51" s="49" t="s">
        <v>58</v>
      </c>
      <c r="Q51" s="49" t="s">
        <v>58</v>
      </c>
      <c r="R51" s="49"/>
      <c r="S51" s="52">
        <f t="shared" si="4"/>
        <v>2</v>
      </c>
      <c r="T51" s="52">
        <f t="shared" si="5"/>
        <v>0</v>
      </c>
      <c r="U51" s="52"/>
      <c r="V51" s="52">
        <f t="shared" si="6"/>
        <v>3</v>
      </c>
      <c r="W51" s="52">
        <f t="shared" si="7"/>
        <v>-4</v>
      </c>
      <c r="X51" s="32">
        <f t="shared" si="10"/>
        <v>47</v>
      </c>
    </row>
    <row r="52">
      <c r="A52" s="32">
        <f t="shared" si="8"/>
        <v>48</v>
      </c>
      <c r="B52" s="33" t="s">
        <v>95</v>
      </c>
      <c r="C52" s="34">
        <v>40.0</v>
      </c>
      <c r="D52" s="34">
        <v>0.0</v>
      </c>
      <c r="E52" s="35">
        <f t="shared" si="2"/>
        <v>0</v>
      </c>
      <c r="F52" s="95">
        <v>2.0</v>
      </c>
      <c r="G52" s="96">
        <v>7.0</v>
      </c>
      <c r="H52" s="97">
        <v>0.0</v>
      </c>
      <c r="I52" s="96">
        <v>6.0</v>
      </c>
      <c r="J52" s="96">
        <v>1.0</v>
      </c>
      <c r="K52" s="96">
        <v>2.0</v>
      </c>
      <c r="L52" s="98">
        <v>9.0</v>
      </c>
      <c r="M52" s="96">
        <v>1.0</v>
      </c>
      <c r="N52" s="34">
        <f t="shared" ref="N52:O52" si="55">C52+L52</f>
        <v>49</v>
      </c>
      <c r="O52" s="34">
        <f t="shared" si="55"/>
        <v>1</v>
      </c>
      <c r="P52" s="49" t="s">
        <v>58</v>
      </c>
      <c r="Q52" s="49" t="s">
        <v>58</v>
      </c>
      <c r="R52" s="49"/>
      <c r="S52" s="52">
        <f t="shared" si="4"/>
        <v>1</v>
      </c>
      <c r="T52" s="52">
        <f t="shared" si="5"/>
        <v>1</v>
      </c>
      <c r="U52" s="52"/>
      <c r="V52" s="52">
        <f t="shared" si="6"/>
        <v>3</v>
      </c>
      <c r="W52" s="52">
        <f t="shared" si="7"/>
        <v>11</v>
      </c>
      <c r="X52" s="32">
        <f t="shared" si="10"/>
        <v>48</v>
      </c>
    </row>
    <row r="53">
      <c r="A53" s="32">
        <f t="shared" si="8"/>
        <v>49</v>
      </c>
      <c r="B53" s="33" t="s">
        <v>142</v>
      </c>
      <c r="C53" s="34">
        <v>38.0</v>
      </c>
      <c r="D53" s="34">
        <v>4.0</v>
      </c>
      <c r="E53" s="35">
        <f t="shared" si="2"/>
        <v>7.25</v>
      </c>
      <c r="F53" s="95">
        <v>1.0</v>
      </c>
      <c r="G53" s="96">
        <v>7.0</v>
      </c>
      <c r="H53" s="97">
        <v>0.0</v>
      </c>
      <c r="I53" s="96">
        <v>2.0</v>
      </c>
      <c r="J53" s="96">
        <v>1.0</v>
      </c>
      <c r="K53" s="96">
        <v>6.0</v>
      </c>
      <c r="L53" s="98">
        <v>9.0</v>
      </c>
      <c r="M53" s="96">
        <v>1.0</v>
      </c>
      <c r="N53" s="34">
        <f t="shared" ref="N53:O53" si="56">C53+L53</f>
        <v>47</v>
      </c>
      <c r="O53" s="34">
        <f t="shared" si="56"/>
        <v>5</v>
      </c>
      <c r="P53" s="49" t="s">
        <v>58</v>
      </c>
      <c r="Q53" s="49" t="s">
        <v>58</v>
      </c>
      <c r="R53" s="49"/>
      <c r="S53" s="52">
        <f t="shared" si="4"/>
        <v>4</v>
      </c>
      <c r="T53" s="52">
        <f t="shared" si="5"/>
        <v>0</v>
      </c>
      <c r="U53" s="52"/>
      <c r="V53" s="52">
        <f t="shared" si="6"/>
        <v>1</v>
      </c>
      <c r="W53" s="52">
        <f t="shared" si="7"/>
        <v>-3</v>
      </c>
      <c r="X53" s="32">
        <f t="shared" si="10"/>
        <v>49</v>
      </c>
    </row>
    <row r="54">
      <c r="A54" s="32">
        <f t="shared" si="8"/>
        <v>50</v>
      </c>
      <c r="B54" s="33" t="s">
        <v>145</v>
      </c>
      <c r="C54" s="34">
        <v>38.0</v>
      </c>
      <c r="D54" s="34">
        <v>3.0</v>
      </c>
      <c r="E54" s="35">
        <f t="shared" si="2"/>
        <v>7.25</v>
      </c>
      <c r="F54" s="95">
        <v>1.0</v>
      </c>
      <c r="G54" s="96">
        <v>8.0</v>
      </c>
      <c r="H54" s="97">
        <v>0.0</v>
      </c>
      <c r="I54" s="96">
        <v>7.0</v>
      </c>
      <c r="J54" s="96">
        <v>6.0</v>
      </c>
      <c r="K54" s="96">
        <v>1.0</v>
      </c>
      <c r="L54" s="98">
        <v>14.0</v>
      </c>
      <c r="M54" s="96">
        <v>2.0</v>
      </c>
      <c r="N54" s="34">
        <f t="shared" ref="N54:O54" si="57">C54+L54</f>
        <v>52</v>
      </c>
      <c r="O54" s="34">
        <f t="shared" si="57"/>
        <v>5</v>
      </c>
      <c r="P54" s="49" t="s">
        <v>58</v>
      </c>
      <c r="Q54" s="49" t="s">
        <v>58</v>
      </c>
      <c r="R54" s="49"/>
      <c r="S54" s="52">
        <f t="shared" si="4"/>
        <v>4</v>
      </c>
      <c r="T54" s="52">
        <f t="shared" si="5"/>
        <v>0</v>
      </c>
      <c r="U54" s="52"/>
      <c r="V54" s="52">
        <f t="shared" si="6"/>
        <v>1</v>
      </c>
      <c r="W54" s="52">
        <f t="shared" si="7"/>
        <v>-5</v>
      </c>
      <c r="X54" s="32">
        <f t="shared" si="10"/>
        <v>50</v>
      </c>
    </row>
    <row r="55">
      <c r="A55" s="32">
        <f t="shared" si="8"/>
        <v>51</v>
      </c>
      <c r="B55" s="33" t="s">
        <v>147</v>
      </c>
      <c r="C55" s="34">
        <v>38.0</v>
      </c>
      <c r="D55" s="34">
        <v>2.0</v>
      </c>
      <c r="E55" s="35">
        <f t="shared" si="2"/>
        <v>5.5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8">C55+L55</f>
        <v>47</v>
      </c>
      <c r="O55" s="34">
        <f t="shared" si="58"/>
        <v>2</v>
      </c>
      <c r="P55" s="49" t="s">
        <v>58</v>
      </c>
      <c r="Q55" s="49" t="s">
        <v>58</v>
      </c>
      <c r="R55" s="49"/>
      <c r="S55" s="52">
        <f t="shared" si="4"/>
        <v>2</v>
      </c>
      <c r="T55" s="52">
        <f t="shared" si="5"/>
        <v>0</v>
      </c>
      <c r="U55" s="52"/>
      <c r="V55" s="52">
        <f t="shared" si="6"/>
        <v>3</v>
      </c>
      <c r="W55" s="52">
        <f t="shared" si="7"/>
        <v>-7</v>
      </c>
      <c r="X55" s="32">
        <f t="shared" si="10"/>
        <v>51</v>
      </c>
    </row>
    <row r="56">
      <c r="A56" s="32">
        <f t="shared" si="8"/>
        <v>52</v>
      </c>
      <c r="B56" s="33" t="s">
        <v>101</v>
      </c>
      <c r="C56" s="34">
        <v>37.0</v>
      </c>
      <c r="D56" s="34">
        <v>0.0</v>
      </c>
      <c r="E56" s="35">
        <f t="shared" si="2"/>
        <v>5</v>
      </c>
      <c r="F56" s="95">
        <v>1.0</v>
      </c>
      <c r="G56" s="96">
        <v>8.0</v>
      </c>
      <c r="H56" s="97">
        <v>0.0</v>
      </c>
      <c r="I56" s="96">
        <v>5.0</v>
      </c>
      <c r="J56" s="96">
        <v>3.0</v>
      </c>
      <c r="K56" s="96">
        <v>1.0</v>
      </c>
      <c r="L56" s="98">
        <v>9.0</v>
      </c>
      <c r="M56" s="96">
        <v>0.0</v>
      </c>
      <c r="N56" s="34">
        <f t="shared" ref="N56:O56" si="59">C56+L56</f>
        <v>46</v>
      </c>
      <c r="O56" s="34">
        <f t="shared" si="59"/>
        <v>0</v>
      </c>
      <c r="P56" s="49" t="s">
        <v>58</v>
      </c>
      <c r="Q56" s="49" t="s">
        <v>58</v>
      </c>
      <c r="R56" s="49"/>
      <c r="S56" s="52">
        <f t="shared" si="4"/>
        <v>2</v>
      </c>
      <c r="T56" s="52">
        <f t="shared" si="5"/>
        <v>0</v>
      </c>
      <c r="U56" s="52"/>
      <c r="V56" s="52">
        <f t="shared" si="6"/>
        <v>3</v>
      </c>
      <c r="W56" s="52">
        <f t="shared" si="7"/>
        <v>5</v>
      </c>
      <c r="X56" s="32">
        <f t="shared" si="10"/>
        <v>52</v>
      </c>
    </row>
    <row r="57">
      <c r="A57" s="32">
        <f t="shared" si="8"/>
        <v>53</v>
      </c>
      <c r="B57" s="33" t="s">
        <v>122</v>
      </c>
      <c r="C57" s="34">
        <v>37.0</v>
      </c>
      <c r="D57" s="34">
        <v>0.0</v>
      </c>
      <c r="E57" s="35">
        <f t="shared" si="2"/>
        <v>5</v>
      </c>
      <c r="F57" s="95">
        <v>1.0</v>
      </c>
      <c r="G57" s="96">
        <v>8.0</v>
      </c>
      <c r="H57" s="97">
        <v>0.0</v>
      </c>
      <c r="I57" s="96">
        <v>5.0</v>
      </c>
      <c r="J57" s="96">
        <v>6.0</v>
      </c>
      <c r="K57" s="96">
        <v>6.0</v>
      </c>
      <c r="L57" s="98">
        <v>17.0</v>
      </c>
      <c r="M57" s="96">
        <v>2.0</v>
      </c>
      <c r="N57" s="34">
        <f t="shared" ref="N57:O57" si="60">C57+L57</f>
        <v>54</v>
      </c>
      <c r="O57" s="34">
        <f t="shared" si="60"/>
        <v>2</v>
      </c>
      <c r="P57" s="49" t="s">
        <v>58</v>
      </c>
      <c r="Q57" s="49" t="s">
        <v>58</v>
      </c>
      <c r="R57" s="49"/>
      <c r="S57" s="52">
        <f t="shared" si="4"/>
        <v>2</v>
      </c>
      <c r="T57" s="52">
        <f t="shared" si="5"/>
        <v>0</v>
      </c>
      <c r="U57" s="52"/>
      <c r="V57" s="52">
        <f t="shared" si="6"/>
        <v>3</v>
      </c>
      <c r="W57" s="52">
        <f t="shared" si="7"/>
        <v>-3</v>
      </c>
      <c r="X57" s="32">
        <f t="shared" si="10"/>
        <v>53</v>
      </c>
    </row>
    <row r="58">
      <c r="A58" s="32">
        <f t="shared" si="8"/>
        <v>54</v>
      </c>
      <c r="B58" s="33" t="s">
        <v>130</v>
      </c>
      <c r="C58" s="34">
        <v>36.0</v>
      </c>
      <c r="D58" s="34">
        <v>0.0</v>
      </c>
      <c r="E58" s="35">
        <f t="shared" si="2"/>
        <v>0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1">C58+L58</f>
        <v>45</v>
      </c>
      <c r="O58" s="34">
        <f t="shared" si="61"/>
        <v>0</v>
      </c>
      <c r="P58" s="49" t="s">
        <v>58</v>
      </c>
      <c r="Q58" s="49" t="s">
        <v>58</v>
      </c>
      <c r="R58" s="49"/>
      <c r="S58" s="52">
        <f t="shared" si="4"/>
        <v>0</v>
      </c>
      <c r="T58" s="52">
        <f t="shared" si="5"/>
        <v>0</v>
      </c>
      <c r="U58" s="52"/>
      <c r="V58" s="52">
        <f t="shared" si="6"/>
        <v>5</v>
      </c>
      <c r="W58" s="52">
        <f t="shared" si="7"/>
        <v>-3</v>
      </c>
      <c r="X58" s="32">
        <f t="shared" si="10"/>
        <v>54</v>
      </c>
    </row>
    <row r="59">
      <c r="A59" s="32">
        <f t="shared" si="8"/>
        <v>55</v>
      </c>
      <c r="B59" s="33" t="s">
        <v>47</v>
      </c>
      <c r="C59" s="34">
        <v>36.0</v>
      </c>
      <c r="D59" s="34">
        <v>0.0</v>
      </c>
      <c r="E59" s="35">
        <f t="shared" si="2"/>
        <v>0</v>
      </c>
      <c r="F59" s="95">
        <v>1.0</v>
      </c>
      <c r="G59" s="96">
        <v>8.0</v>
      </c>
      <c r="H59" s="97">
        <v>0.0</v>
      </c>
      <c r="I59" s="96">
        <v>7.0</v>
      </c>
      <c r="J59" s="96">
        <v>3.0</v>
      </c>
      <c r="K59" s="96">
        <v>6.0</v>
      </c>
      <c r="L59" s="98">
        <v>16.0</v>
      </c>
      <c r="M59" s="96">
        <v>2.0</v>
      </c>
      <c r="N59" s="34">
        <f t="shared" ref="N59:O59" si="62">C59+L59</f>
        <v>52</v>
      </c>
      <c r="O59" s="34">
        <f t="shared" si="62"/>
        <v>2</v>
      </c>
      <c r="P59" s="49" t="s">
        <v>58</v>
      </c>
      <c r="Q59" s="49" t="s">
        <v>58</v>
      </c>
      <c r="R59" s="49"/>
      <c r="S59" s="52">
        <f t="shared" si="4"/>
        <v>1</v>
      </c>
      <c r="T59" s="52">
        <f t="shared" si="5"/>
        <v>0</v>
      </c>
      <c r="U59" s="52"/>
      <c r="V59" s="52">
        <f t="shared" si="6"/>
        <v>4</v>
      </c>
      <c r="W59" s="52">
        <f t="shared" si="7"/>
        <v>-3</v>
      </c>
      <c r="X59" s="32">
        <f t="shared" si="10"/>
        <v>55</v>
      </c>
    </row>
    <row r="60">
      <c r="A60" s="32">
        <f t="shared" si="8"/>
        <v>56</v>
      </c>
      <c r="B60" s="33" t="s">
        <v>140</v>
      </c>
      <c r="C60" s="34">
        <v>36.0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3">C60+L60</f>
        <v>45</v>
      </c>
      <c r="O60" s="34">
        <f t="shared" si="63"/>
        <v>0</v>
      </c>
      <c r="P60" s="49" t="s">
        <v>58</v>
      </c>
      <c r="Q60" s="49" t="s">
        <v>58</v>
      </c>
      <c r="R60" s="49"/>
      <c r="S60" s="52">
        <f t="shared" si="4"/>
        <v>0</v>
      </c>
      <c r="T60" s="52">
        <f t="shared" si="5"/>
        <v>0</v>
      </c>
      <c r="U60" s="52"/>
      <c r="V60" s="52">
        <f t="shared" si="6"/>
        <v>5</v>
      </c>
      <c r="W60" s="52">
        <f t="shared" si="7"/>
        <v>-3</v>
      </c>
      <c r="X60" s="32">
        <f t="shared" si="10"/>
        <v>56</v>
      </c>
    </row>
    <row r="61">
      <c r="A61" s="32">
        <f t="shared" si="8"/>
        <v>57</v>
      </c>
      <c r="B61" s="33" t="s">
        <v>75</v>
      </c>
      <c r="C61" s="34">
        <v>36.0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4">C61+L61</f>
        <v>45</v>
      </c>
      <c r="O61" s="34">
        <f t="shared" si="64"/>
        <v>0</v>
      </c>
      <c r="P61" s="49" t="s">
        <v>58</v>
      </c>
      <c r="Q61" s="49" t="s">
        <v>58</v>
      </c>
      <c r="R61" s="49"/>
      <c r="S61" s="52">
        <f t="shared" si="4"/>
        <v>0</v>
      </c>
      <c r="T61" s="52">
        <f t="shared" si="5"/>
        <v>0</v>
      </c>
      <c r="U61" s="52"/>
      <c r="V61" s="52">
        <f t="shared" si="6"/>
        <v>5</v>
      </c>
      <c r="W61" s="52">
        <f t="shared" si="7"/>
        <v>-3</v>
      </c>
      <c r="X61" s="32">
        <f t="shared" si="10"/>
        <v>57</v>
      </c>
    </row>
    <row r="62">
      <c r="A62" s="32">
        <f t="shared" si="8"/>
        <v>58</v>
      </c>
      <c r="B62" s="33" t="s">
        <v>121</v>
      </c>
      <c r="C62" s="34">
        <v>36.0</v>
      </c>
      <c r="D62" s="34">
        <v>0.0</v>
      </c>
      <c r="E62" s="35">
        <f t="shared" si="2"/>
        <v>0</v>
      </c>
      <c r="F62" s="95">
        <v>3.0</v>
      </c>
      <c r="G62" s="96">
        <v>0.0</v>
      </c>
      <c r="H62" s="97">
        <v>9.0</v>
      </c>
      <c r="I62" s="96">
        <v>0.0</v>
      </c>
      <c r="J62" s="96">
        <v>0.0</v>
      </c>
      <c r="K62" s="96">
        <v>0.0</v>
      </c>
      <c r="L62" s="98">
        <v>9.0</v>
      </c>
      <c r="M62" s="96">
        <v>0.0</v>
      </c>
      <c r="N62" s="34">
        <f t="shared" ref="N62:O62" si="65">C62+L62</f>
        <v>45</v>
      </c>
      <c r="O62" s="34">
        <f t="shared" si="65"/>
        <v>0</v>
      </c>
      <c r="P62" s="49" t="s">
        <v>58</v>
      </c>
      <c r="Q62" s="49" t="s">
        <v>58</v>
      </c>
      <c r="R62" s="49"/>
      <c r="S62" s="52">
        <f t="shared" si="4"/>
        <v>0</v>
      </c>
      <c r="T62" s="52">
        <f t="shared" si="5"/>
        <v>0</v>
      </c>
      <c r="U62" s="52"/>
      <c r="V62" s="52">
        <f t="shared" si="6"/>
        <v>5</v>
      </c>
      <c r="W62" s="52">
        <f t="shared" si="7"/>
        <v>-3</v>
      </c>
      <c r="X62" s="32">
        <f t="shared" si="10"/>
        <v>58</v>
      </c>
    </row>
    <row r="63">
      <c r="A63" s="32">
        <f t="shared" si="8"/>
        <v>59</v>
      </c>
      <c r="B63" s="33" t="s">
        <v>141</v>
      </c>
      <c r="C63" s="34">
        <v>36.0</v>
      </c>
      <c r="D63" s="34">
        <v>0.0</v>
      </c>
      <c r="E63" s="35">
        <f t="shared" si="2"/>
        <v>0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6">C63+L63</f>
        <v>45</v>
      </c>
      <c r="O63" s="34">
        <f t="shared" si="66"/>
        <v>0</v>
      </c>
      <c r="P63" s="49" t="s">
        <v>58</v>
      </c>
      <c r="Q63" s="49" t="s">
        <v>58</v>
      </c>
      <c r="R63" s="49"/>
      <c r="S63" s="52">
        <f t="shared" si="4"/>
        <v>0</v>
      </c>
      <c r="T63" s="52">
        <f t="shared" si="5"/>
        <v>0</v>
      </c>
      <c r="U63" s="52"/>
      <c r="V63" s="52">
        <f t="shared" si="6"/>
        <v>5</v>
      </c>
      <c r="W63" s="52">
        <f t="shared" si="7"/>
        <v>-3</v>
      </c>
      <c r="X63" s="32">
        <f t="shared" si="10"/>
        <v>59</v>
      </c>
    </row>
    <row r="64">
      <c r="A64" s="32">
        <f t="shared" si="8"/>
        <v>60</v>
      </c>
      <c r="B64" s="33" t="s">
        <v>146</v>
      </c>
      <c r="C64" s="34">
        <v>36.0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7">C64+L64</f>
        <v>45</v>
      </c>
      <c r="O64" s="34">
        <f t="shared" si="67"/>
        <v>0</v>
      </c>
      <c r="P64" s="49" t="s">
        <v>58</v>
      </c>
      <c r="Q64" s="49" t="s">
        <v>58</v>
      </c>
      <c r="R64" s="49"/>
      <c r="S64" s="52">
        <f t="shared" si="4"/>
        <v>0</v>
      </c>
      <c r="T64" s="52">
        <f t="shared" si="5"/>
        <v>0</v>
      </c>
      <c r="U64" s="52"/>
      <c r="V64" s="52">
        <f t="shared" si="6"/>
        <v>5</v>
      </c>
      <c r="W64" s="52">
        <f t="shared" si="7"/>
        <v>0</v>
      </c>
      <c r="X64" s="32">
        <f t="shared" si="10"/>
        <v>60</v>
      </c>
    </row>
    <row r="65">
      <c r="A65" s="32">
        <f t="shared" si="8"/>
        <v>61</v>
      </c>
      <c r="B65" s="33" t="s">
        <v>69</v>
      </c>
      <c r="C65" s="34">
        <v>36.0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8">C65+L65</f>
        <v>45</v>
      </c>
      <c r="O65" s="34">
        <f t="shared" si="68"/>
        <v>0</v>
      </c>
      <c r="P65" s="49" t="s">
        <v>58</v>
      </c>
      <c r="Q65" s="49" t="s">
        <v>58</v>
      </c>
      <c r="R65" s="49"/>
      <c r="S65" s="52">
        <f t="shared" si="4"/>
        <v>0</v>
      </c>
      <c r="T65" s="52">
        <f t="shared" si="5"/>
        <v>0</v>
      </c>
      <c r="U65" s="52"/>
      <c r="V65" s="52">
        <f t="shared" si="6"/>
        <v>5</v>
      </c>
      <c r="W65" s="52">
        <f t="shared" si="7"/>
        <v>0</v>
      </c>
      <c r="X65" s="32">
        <f t="shared" si="10"/>
        <v>61</v>
      </c>
    </row>
    <row r="66">
      <c r="A66" s="32">
        <f t="shared" si="8"/>
        <v>62</v>
      </c>
      <c r="B66" s="33" t="s">
        <v>104</v>
      </c>
      <c r="C66" s="34">
        <v>36.0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69">C66+L66</f>
        <v>45</v>
      </c>
      <c r="O66" s="34">
        <f t="shared" si="69"/>
        <v>0</v>
      </c>
      <c r="P66" s="49" t="s">
        <v>58</v>
      </c>
      <c r="Q66" s="49" t="s">
        <v>58</v>
      </c>
      <c r="R66" s="49"/>
      <c r="S66" s="52">
        <f t="shared" si="4"/>
        <v>0</v>
      </c>
      <c r="T66" s="52">
        <f t="shared" si="5"/>
        <v>0</v>
      </c>
      <c r="U66" s="52"/>
      <c r="V66" s="52">
        <f t="shared" si="6"/>
        <v>5</v>
      </c>
      <c r="W66" s="52">
        <f t="shared" si="7"/>
        <v>0</v>
      </c>
      <c r="X66" s="32">
        <f t="shared" si="10"/>
        <v>62</v>
      </c>
    </row>
    <row r="67">
      <c r="A67" s="32">
        <f t="shared" si="8"/>
        <v>63</v>
      </c>
      <c r="B67" s="33" t="s">
        <v>131</v>
      </c>
      <c r="C67" s="34">
        <v>36.0</v>
      </c>
      <c r="D67" s="34">
        <v>0.0</v>
      </c>
      <c r="E67" s="35">
        <f t="shared" si="2"/>
        <v>0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0">C67+L67</f>
        <v>45</v>
      </c>
      <c r="O67" s="34">
        <f t="shared" si="70"/>
        <v>0</v>
      </c>
      <c r="P67" s="49" t="s">
        <v>58</v>
      </c>
      <c r="Q67" s="49" t="s">
        <v>58</v>
      </c>
      <c r="R67" s="49"/>
      <c r="S67" s="52">
        <f t="shared" si="4"/>
        <v>0</v>
      </c>
      <c r="T67" s="52">
        <f t="shared" si="5"/>
        <v>0</v>
      </c>
      <c r="U67" s="52"/>
      <c r="V67" s="52">
        <f t="shared" si="6"/>
        <v>5</v>
      </c>
      <c r="W67" s="52">
        <f t="shared" si="7"/>
        <v>0</v>
      </c>
      <c r="X67" s="32">
        <f t="shared" si="10"/>
        <v>63</v>
      </c>
    </row>
    <row r="68">
      <c r="A68" s="32">
        <f t="shared" si="8"/>
        <v>64</v>
      </c>
      <c r="B68" s="33" t="s">
        <v>118</v>
      </c>
      <c r="C68" s="34">
        <v>34.0</v>
      </c>
      <c r="D68" s="34">
        <v>1.0</v>
      </c>
      <c r="E68" s="35">
        <f t="shared" si="2"/>
        <v>-2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1">C68+L68</f>
        <v>43</v>
      </c>
      <c r="O68" s="34">
        <f t="shared" si="71"/>
        <v>1</v>
      </c>
      <c r="P68" s="49" t="s">
        <v>58</v>
      </c>
      <c r="Q68" s="49" t="s">
        <v>58</v>
      </c>
      <c r="R68" s="49"/>
      <c r="S68" s="52">
        <f t="shared" si="4"/>
        <v>1</v>
      </c>
      <c r="T68" s="52">
        <f t="shared" si="5"/>
        <v>0</v>
      </c>
      <c r="U68" s="52"/>
      <c r="V68" s="52">
        <f t="shared" si="6"/>
        <v>4</v>
      </c>
      <c r="W68" s="52">
        <f t="shared" si="7"/>
        <v>0</v>
      </c>
      <c r="X68" s="32">
        <f t="shared" si="10"/>
        <v>64</v>
      </c>
    </row>
    <row r="69">
      <c r="A69" s="32">
        <f t="shared" si="8"/>
        <v>65</v>
      </c>
      <c r="B69" s="33" t="s">
        <v>86</v>
      </c>
      <c r="C69" s="34">
        <v>28.0</v>
      </c>
      <c r="D69" s="34">
        <v>0.0</v>
      </c>
      <c r="E69" s="35">
        <f t="shared" si="2"/>
        <v>0.5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2">C69+L69</f>
        <v>37</v>
      </c>
      <c r="O69" s="34">
        <f t="shared" si="72"/>
        <v>0</v>
      </c>
      <c r="P69" s="49" t="s">
        <v>58</v>
      </c>
      <c r="Q69" s="49" t="s">
        <v>58</v>
      </c>
      <c r="R69" s="49"/>
      <c r="S69" s="52">
        <f t="shared" si="4"/>
        <v>2</v>
      </c>
      <c r="T69" s="52">
        <f t="shared" si="5"/>
        <v>0</v>
      </c>
      <c r="U69" s="52"/>
      <c r="V69" s="52">
        <f t="shared" si="6"/>
        <v>3</v>
      </c>
      <c r="W69" s="52">
        <f t="shared" si="7"/>
        <v>0</v>
      </c>
      <c r="X69" s="32">
        <f t="shared" si="10"/>
        <v>65</v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K73" s="82"/>
      <c r="L73" s="99"/>
      <c r="M73" s="100"/>
    </row>
    <row r="74">
      <c r="A74" s="1"/>
      <c r="C74" s="1"/>
      <c r="D74" s="1"/>
      <c r="K74" s="82"/>
      <c r="L74" s="99"/>
      <c r="M74" s="100"/>
      <c r="P74" s="129" t="s">
        <v>152</v>
      </c>
      <c r="Q74" s="26"/>
      <c r="R74" s="16">
        <f>COUNTIF(R5:R69,"X")</f>
        <v>0</v>
      </c>
      <c r="S74" s="130"/>
      <c r="T74" s="130">
        <f>R74/R78</f>
        <v>0</v>
      </c>
    </row>
    <row r="75">
      <c r="A75" s="1"/>
      <c r="C75" s="1"/>
      <c r="D75" s="1"/>
      <c r="K75" s="82"/>
      <c r="L75" s="99"/>
      <c r="M75" s="100"/>
      <c r="P75" s="19" t="s">
        <v>154</v>
      </c>
      <c r="Q75" s="16"/>
      <c r="R75" s="16">
        <f>countif(R5:R69,"N")</f>
        <v>0</v>
      </c>
    </row>
    <row r="76">
      <c r="A76" s="1"/>
      <c r="B76" s="131" t="s">
        <v>179</v>
      </c>
      <c r="C76" s="112" t="s">
        <v>159</v>
      </c>
      <c r="D76" s="112" t="s">
        <v>160</v>
      </c>
      <c r="E76" s="112" t="s">
        <v>1</v>
      </c>
      <c r="F76" s="1"/>
      <c r="L76" s="99"/>
      <c r="M76" s="100"/>
      <c r="P76" s="129" t="s">
        <v>180</v>
      </c>
      <c r="Q76" s="26"/>
      <c r="R76" s="19"/>
    </row>
    <row r="77">
      <c r="A77" s="1"/>
      <c r="B77" s="33" t="str">
        <f>IFERROR(__xludf.DUMMYFUNCTION("QUERY(B5:M69,""Select B, L, M, G where L &gt;= 18 order by L desc,M desc"",0)"),"Pulkit Mathur")</f>
        <v>Pulkit Mathur</v>
      </c>
      <c r="C77" s="117">
        <f>IFERROR(__xludf.DUMMYFUNCTION("""COMPUTED_VALUE"""),19.0)</f>
        <v>19</v>
      </c>
      <c r="D77" s="117">
        <f>IFERROR(__xludf.DUMMYFUNCTION("""COMPUTED_VALUE"""),3.0)</f>
        <v>3</v>
      </c>
      <c r="E77" s="117">
        <f>IFERROR(__xludf.DUMMYFUNCTION("""COMPUTED_VALUE"""),3.0)</f>
        <v>3</v>
      </c>
      <c r="F77" s="1"/>
      <c r="L77" s="99"/>
      <c r="M77" s="100"/>
      <c r="P77" s="129" t="s">
        <v>155</v>
      </c>
      <c r="Q77" s="26"/>
      <c r="R77" s="16">
        <f>countif(R5:R69,"")</f>
        <v>65</v>
      </c>
    </row>
    <row r="78">
      <c r="A78" s="1"/>
      <c r="B78" s="33" t="str">
        <f>IFERROR(__xludf.DUMMYFUNCTION("""COMPUTED_VALUE"""),"Darren Wong")</f>
        <v>Darren Wong</v>
      </c>
      <c r="C78" s="117">
        <f>IFERROR(__xludf.DUMMYFUNCTION("""COMPUTED_VALUE"""),18.0)</f>
        <v>18</v>
      </c>
      <c r="D78" s="117">
        <f>IFERROR(__xludf.DUMMYFUNCTION("""COMPUTED_VALUE"""),3.0)</f>
        <v>3</v>
      </c>
      <c r="E78" s="117">
        <f>IFERROR(__xludf.DUMMYFUNCTION("""COMPUTED_VALUE"""),1.0)</f>
        <v>1</v>
      </c>
      <c r="F78" s="1"/>
      <c r="M78" s="132"/>
      <c r="P78" s="129" t="s">
        <v>61</v>
      </c>
      <c r="Q78" s="26"/>
      <c r="R78" s="16">
        <f>sum(R74:R77)-R76</f>
        <v>65</v>
      </c>
    </row>
    <row r="79">
      <c r="A79" s="1"/>
      <c r="B79" s="33" t="str">
        <f>IFERROR(__xludf.DUMMYFUNCTION("""COMPUTED_VALUE"""),"Eric Pan")</f>
        <v>Eric Pan</v>
      </c>
      <c r="C79" s="117">
        <f>IFERROR(__xludf.DUMMYFUNCTION("""COMPUTED_VALUE"""),18.0)</f>
        <v>18</v>
      </c>
      <c r="D79" s="117">
        <f>IFERROR(__xludf.DUMMYFUNCTION("""COMPUTED_VALUE"""),3.0)</f>
        <v>3</v>
      </c>
      <c r="E79" s="117">
        <f>IFERROR(__xludf.DUMMYFUNCTION("""COMPUTED_VALUE"""),2.0)</f>
        <v>2</v>
      </c>
      <c r="F79" s="1"/>
    </row>
    <row r="80">
      <c r="A80" s="1"/>
      <c r="B80" s="33" t="str">
        <f>IFERROR(__xludf.DUMMYFUNCTION("""COMPUTED_VALUE"""),"Tom Le")</f>
        <v>Tom Le</v>
      </c>
      <c r="C80" s="117">
        <f>IFERROR(__xludf.DUMMYFUNCTION("""COMPUTED_VALUE"""),18.0)</f>
        <v>18</v>
      </c>
      <c r="D80" s="117">
        <f>IFERROR(__xludf.DUMMYFUNCTION("""COMPUTED_VALUE"""),3.0)</f>
        <v>3</v>
      </c>
      <c r="E80" s="117">
        <f>IFERROR(__xludf.DUMMYFUNCTION("""COMPUTED_VALUE"""),9.0)</f>
        <v>9</v>
      </c>
      <c r="F80" s="1"/>
    </row>
    <row r="81">
      <c r="A81" s="1"/>
      <c r="B81" s="33" t="str">
        <f>IFERROR(__xludf.DUMMYFUNCTION("""COMPUTED_VALUE"""),"Adrian Tay")</f>
        <v>Adrian Tay</v>
      </c>
      <c r="C81" s="117">
        <f>IFERROR(__xludf.DUMMYFUNCTION("""COMPUTED_VALUE"""),18.0)</f>
        <v>18</v>
      </c>
      <c r="D81" s="117">
        <f>IFERROR(__xludf.DUMMYFUNCTION("""COMPUTED_VALUE"""),3.0)</f>
        <v>3</v>
      </c>
      <c r="E81" s="117">
        <f>IFERROR(__xludf.DUMMYFUNCTION("""COMPUTED_VALUE"""),5.0)</f>
        <v>5</v>
      </c>
      <c r="F81" s="1"/>
      <c r="L81" s="51"/>
    </row>
    <row r="82">
      <c r="A82" s="1"/>
      <c r="B82" s="33" t="str">
        <f>IFERROR(__xludf.DUMMYFUNCTION("""COMPUTED_VALUE"""),"Suleman Alidina")</f>
        <v>Suleman Alidina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IFERROR(__xludf.DUMMYFUNCTION("""COMPUTED_VALUE"""),7.0)</f>
        <v>7</v>
      </c>
      <c r="F82" s="1"/>
      <c r="L82" s="51"/>
    </row>
    <row r="83">
      <c r="A83" s="1"/>
      <c r="B83" s="33"/>
      <c r="C83" s="117"/>
      <c r="D83" s="117"/>
      <c r="E83" s="117"/>
      <c r="F83" s="1"/>
      <c r="L83" s="51"/>
    </row>
    <row r="84">
      <c r="A84" s="1"/>
      <c r="B84" s="33"/>
      <c r="C84" s="117"/>
      <c r="D84" s="117"/>
      <c r="E84" s="117"/>
      <c r="F84" s="1"/>
      <c r="L84" s="5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C87" s="1"/>
      <c r="D87" s="1"/>
      <c r="E87" s="1"/>
      <c r="F87" s="1"/>
    </row>
    <row r="88">
      <c r="A88" s="1"/>
      <c r="B88" s="51"/>
      <c r="C88" s="1"/>
      <c r="D88" s="1"/>
      <c r="E88" s="1"/>
      <c r="F88" s="1"/>
      <c r="G88" s="1"/>
      <c r="H88" s="1"/>
    </row>
    <row r="89">
      <c r="A89" s="1"/>
      <c r="B89" s="51"/>
      <c r="C89" s="1"/>
      <c r="D89" s="1"/>
      <c r="E89" s="1"/>
      <c r="F89" s="1"/>
    </row>
    <row r="90" ht="37.5" customHeight="1">
      <c r="A90" s="1"/>
      <c r="B90" s="119" t="s">
        <v>167</v>
      </c>
      <c r="C90" s="119" t="s">
        <v>168</v>
      </c>
      <c r="D90" s="133" t="s">
        <v>169</v>
      </c>
      <c r="E90" s="134" t="s">
        <v>170</v>
      </c>
      <c r="F90" s="135" t="s">
        <v>171</v>
      </c>
      <c r="G90" s="119" t="s">
        <v>172</v>
      </c>
      <c r="L90" s="119" t="s">
        <v>173</v>
      </c>
    </row>
    <row r="91">
      <c r="A91" s="1"/>
      <c r="B91" s="33" t="str">
        <f>IFERROR(__xludf.DUMMYFUNCTION("query(B5:W69,""select B, W order by W Desc Limit 10"")"),"Sandy Weyant")</f>
        <v>Sandy Weyant</v>
      </c>
      <c r="C91" s="117">
        <f>IFERROR(__xludf.DUMMYFUNCTION("""COMPUTED_VALUE"""),22.0)</f>
        <v>22</v>
      </c>
      <c r="D91" s="117">
        <f t="shared" ref="D91:D100" si="73">VLOOKUP(B91,indirect($AC$2&amp;"!B$5:X$69"),23, false)</f>
        <v>58</v>
      </c>
      <c r="E91" s="117">
        <f t="shared" ref="E91:E100" si="74">VLOOKUP(B91,B$5:X$69,23, false)</f>
        <v>36</v>
      </c>
      <c r="F91" s="117">
        <f t="shared" ref="F91:F100" si="75">VLOOKUP(B91,indirect($AC$2&amp;"!B$5:U$70"),11, false)</f>
        <v>18</v>
      </c>
      <c r="G91" s="117">
        <f t="shared" ref="G91:G100" si="76">VLOOKUP(B91,indirect($AC$2&amp;"!B$5:U$70"),6, false)</f>
        <v>8</v>
      </c>
      <c r="L91" s="117" t="str">
        <f t="shared" ref="L91:L100" si="77">if(D91-E91=C91,"ok","Error")</f>
        <v>ok</v>
      </c>
    </row>
    <row r="92">
      <c r="A92" s="1"/>
      <c r="B92" s="33" t="str">
        <f>IFERROR(__xludf.DUMMYFUNCTION("""COMPUTED_VALUE"""),"Jimmy Awolesi")</f>
        <v>Jimmy Awolesi</v>
      </c>
      <c r="C92" s="117">
        <f>IFERROR(__xludf.DUMMYFUNCTION("""COMPUTED_VALUE"""),18.0)</f>
        <v>18</v>
      </c>
      <c r="D92" s="117">
        <f t="shared" si="73"/>
        <v>47</v>
      </c>
      <c r="E92" s="117">
        <f t="shared" si="74"/>
        <v>29</v>
      </c>
      <c r="F92" s="117">
        <f t="shared" si="75"/>
        <v>18</v>
      </c>
      <c r="G92" s="117">
        <f t="shared" si="76"/>
        <v>7</v>
      </c>
      <c r="L92" s="117" t="str">
        <f t="shared" si="77"/>
        <v>ok</v>
      </c>
    </row>
    <row r="93">
      <c r="A93" s="1"/>
      <c r="B93" s="33" t="str">
        <f>IFERROR(__xludf.DUMMYFUNCTION("""COMPUTED_VALUE"""),"Ted Shen")</f>
        <v>Ted Shen</v>
      </c>
      <c r="C93" s="117">
        <f>IFERROR(__xludf.DUMMYFUNCTION("""COMPUTED_VALUE"""),16.0)</f>
        <v>16</v>
      </c>
      <c r="D93" s="117">
        <f t="shared" si="73"/>
        <v>39</v>
      </c>
      <c r="E93" s="117">
        <f t="shared" si="74"/>
        <v>23</v>
      </c>
      <c r="F93" s="117">
        <f t="shared" si="75"/>
        <v>18</v>
      </c>
      <c r="G93" s="117">
        <f t="shared" si="76"/>
        <v>6</v>
      </c>
      <c r="L93" s="117" t="str">
        <f t="shared" si="77"/>
        <v>ok</v>
      </c>
      <c r="Q93" s="136"/>
    </row>
    <row r="94">
      <c r="A94" s="1"/>
      <c r="B94" s="33" t="str">
        <f>IFERROR(__xludf.DUMMYFUNCTION("""COMPUTED_VALUE"""),"Chinna Ponnaganti")</f>
        <v>Chinna Ponnaganti</v>
      </c>
      <c r="C94" s="117">
        <f>IFERROR(__xludf.DUMMYFUNCTION("""COMPUTED_VALUE"""),15.0)</f>
        <v>15</v>
      </c>
      <c r="D94" s="117">
        <f t="shared" si="73"/>
        <v>30</v>
      </c>
      <c r="E94" s="117">
        <f t="shared" si="74"/>
        <v>15</v>
      </c>
      <c r="F94" s="117">
        <f t="shared" si="75"/>
        <v>18</v>
      </c>
      <c r="G94" s="117">
        <f t="shared" si="76"/>
        <v>5</v>
      </c>
      <c r="L94" s="117" t="str">
        <f t="shared" si="77"/>
        <v>ok</v>
      </c>
    </row>
    <row r="95">
      <c r="A95" s="1"/>
      <c r="B95" s="33" t="str">
        <f>IFERROR(__xludf.DUMMYFUNCTION("""COMPUTED_VALUE"""),"Mauricio Palacios")</f>
        <v>Mauricio Palacios</v>
      </c>
      <c r="C95" s="117">
        <f>IFERROR(__xludf.DUMMYFUNCTION("""COMPUTED_VALUE"""),12.0)</f>
        <v>12</v>
      </c>
      <c r="D95" s="117">
        <f t="shared" si="73"/>
        <v>23</v>
      </c>
      <c r="E95" s="117">
        <f t="shared" si="74"/>
        <v>11</v>
      </c>
      <c r="F95" s="117">
        <f t="shared" si="75"/>
        <v>16</v>
      </c>
      <c r="G95" s="117">
        <f t="shared" si="76"/>
        <v>4</v>
      </c>
      <c r="L95" s="117" t="str">
        <f t="shared" si="77"/>
        <v>ok</v>
      </c>
    </row>
    <row r="96">
      <c r="A96" s="1"/>
      <c r="B96" s="33" t="str">
        <f>IFERROR(__xludf.DUMMYFUNCTION("""COMPUTED_VALUE"""),"Ramesh Bandaru")</f>
        <v>Ramesh Bandaru</v>
      </c>
      <c r="C96" s="117">
        <f>IFERROR(__xludf.DUMMYFUNCTION("""COMPUTED_VALUE"""),12.0)</f>
        <v>12</v>
      </c>
      <c r="D96" s="117">
        <f t="shared" si="73"/>
        <v>25</v>
      </c>
      <c r="E96" s="117">
        <f t="shared" si="74"/>
        <v>13</v>
      </c>
      <c r="F96" s="117">
        <f t="shared" si="75"/>
        <v>16</v>
      </c>
      <c r="G96" s="117">
        <f t="shared" si="76"/>
        <v>4</v>
      </c>
      <c r="L96" s="117" t="str">
        <f t="shared" si="77"/>
        <v>ok</v>
      </c>
    </row>
    <row r="97">
      <c r="A97" s="1"/>
      <c r="B97" s="33" t="str">
        <f>IFERROR(__xludf.DUMMYFUNCTION("""COMPUTED_VALUE"""),"Manuel Rivera")</f>
        <v>Manuel Rivera</v>
      </c>
      <c r="C97" s="117">
        <f>IFERROR(__xludf.DUMMYFUNCTION("""COMPUTED_VALUE"""),11.0)</f>
        <v>11</v>
      </c>
      <c r="D97" s="117">
        <f t="shared" si="73"/>
        <v>59</v>
      </c>
      <c r="E97" s="117">
        <f t="shared" si="74"/>
        <v>48</v>
      </c>
      <c r="F97" s="117">
        <f t="shared" si="75"/>
        <v>13</v>
      </c>
      <c r="G97" s="117">
        <f t="shared" si="76"/>
        <v>0</v>
      </c>
      <c r="L97" s="117" t="str">
        <f t="shared" si="77"/>
        <v>ok</v>
      </c>
    </row>
    <row r="98">
      <c r="A98" s="1"/>
      <c r="B98" s="33" t="str">
        <f>IFERROR(__xludf.DUMMYFUNCTION("""COMPUTED_VALUE"""),"Pulkit Mathur")</f>
        <v>Pulkit Mathur</v>
      </c>
      <c r="C98" s="117">
        <f>IFERROR(__xludf.DUMMYFUNCTION("""COMPUTED_VALUE"""),10.0)</f>
        <v>10</v>
      </c>
      <c r="D98" s="117">
        <f t="shared" si="73"/>
        <v>20</v>
      </c>
      <c r="E98" s="117">
        <f t="shared" si="74"/>
        <v>10</v>
      </c>
      <c r="F98" s="117">
        <f t="shared" si="75"/>
        <v>16</v>
      </c>
      <c r="G98" s="117">
        <f t="shared" si="76"/>
        <v>3</v>
      </c>
      <c r="L98" s="117" t="str">
        <f t="shared" si="77"/>
        <v>ok</v>
      </c>
    </row>
    <row r="99">
      <c r="A99" s="1"/>
      <c r="B99" s="33" t="str">
        <f>IFERROR(__xludf.DUMMYFUNCTION("""COMPUTED_VALUE"""),"Vinaya Kajla")</f>
        <v>Vinaya Kajla</v>
      </c>
      <c r="C99" s="117">
        <f>IFERROR(__xludf.DUMMYFUNCTION("""COMPUTED_VALUE"""),10.0)</f>
        <v>10</v>
      </c>
      <c r="D99" s="117">
        <f t="shared" si="73"/>
        <v>48</v>
      </c>
      <c r="E99" s="117">
        <f t="shared" si="74"/>
        <v>38</v>
      </c>
      <c r="F99" s="117">
        <f t="shared" si="75"/>
        <v>15</v>
      </c>
      <c r="G99" s="117">
        <f t="shared" si="76"/>
        <v>8</v>
      </c>
      <c r="L99" s="117" t="str">
        <f t="shared" si="77"/>
        <v>ok</v>
      </c>
    </row>
    <row r="100">
      <c r="A100" s="1"/>
      <c r="B100" s="33" t="str">
        <f>IFERROR(__xludf.DUMMYFUNCTION("""COMPUTED_VALUE"""),"Andrew Wen")</f>
        <v>Andrew Wen</v>
      </c>
      <c r="C100" s="117">
        <f>IFERROR(__xludf.DUMMYFUNCTION("""COMPUTED_VALUE"""),10.0)</f>
        <v>10</v>
      </c>
      <c r="D100" s="117">
        <f t="shared" si="73"/>
        <v>49</v>
      </c>
      <c r="E100" s="117">
        <f t="shared" si="74"/>
        <v>39</v>
      </c>
      <c r="F100" s="117">
        <f t="shared" si="75"/>
        <v>15</v>
      </c>
      <c r="G100" s="117">
        <f t="shared" si="76"/>
        <v>8</v>
      </c>
      <c r="L100" s="117" t="str">
        <f t="shared" si="77"/>
        <v>ok</v>
      </c>
    </row>
    <row r="101">
      <c r="A101" s="1"/>
      <c r="B101" s="51"/>
      <c r="C101" s="1"/>
      <c r="E101" s="1"/>
      <c r="F101" s="1"/>
    </row>
    <row r="102">
      <c r="A102" s="1"/>
      <c r="B102" s="51"/>
      <c r="C102" s="1"/>
      <c r="E102" s="1"/>
      <c r="F102" s="1"/>
    </row>
    <row r="103">
      <c r="A103" s="1"/>
      <c r="B103" s="131" t="s">
        <v>181</v>
      </c>
      <c r="C103" s="131" t="s">
        <v>182</v>
      </c>
      <c r="D103" s="133" t="s">
        <v>169</v>
      </c>
      <c r="E103" s="134" t="s">
        <v>170</v>
      </c>
      <c r="F103" s="135" t="s">
        <v>171</v>
      </c>
      <c r="G103" s="119" t="s">
        <v>172</v>
      </c>
      <c r="L103" s="119" t="s">
        <v>173</v>
      </c>
    </row>
    <row r="104">
      <c r="A104" s="1"/>
      <c r="B104" s="33" t="str">
        <f>IFERROR(__xludf.DUMMYFUNCTION("query(B5:W69,""select B, W order by W asc Limit 10"")"),"Allen Zhang")</f>
        <v>Allen Zhang</v>
      </c>
      <c r="C104" s="117">
        <f>IFERROR(__xludf.DUMMYFUNCTION("""COMPUTED_VALUE"""),-21.0)</f>
        <v>-21</v>
      </c>
      <c r="D104" s="117">
        <f t="shared" ref="D104:D113" si="78">VLOOKUP(B104,indirect($AC$2&amp;"!B$5:X$69"),23, false)</f>
        <v>19</v>
      </c>
      <c r="E104" s="117">
        <f t="shared" ref="E104:E113" si="79">VLOOKUP(B104,B$5:X$69,23, false)</f>
        <v>40</v>
      </c>
      <c r="F104" s="117">
        <f t="shared" ref="F104:F113" si="80">VLOOKUP(B104,indirect($AC$2&amp;"!B$5:U$70"),11, false)</f>
        <v>4</v>
      </c>
      <c r="G104" s="117">
        <f t="shared" ref="G104:G113" si="81">VLOOKUP(B104,indirect($AC$2&amp;"!B$5:U$70"),6, false)</f>
        <v>3</v>
      </c>
      <c r="L104" s="117" t="str">
        <f t="shared" ref="L104:L113" si="82">if(D104-E104=C104,"ok","Error")</f>
        <v>ok</v>
      </c>
    </row>
    <row r="105">
      <c r="A105" s="1"/>
      <c r="B105" s="33" t="str">
        <f>IFERROR(__xludf.DUMMYFUNCTION("""COMPUTED_VALUE"""),"Tom Le")</f>
        <v>Tom Le</v>
      </c>
      <c r="C105" s="117">
        <f>IFERROR(__xludf.DUMMYFUNCTION("""COMPUTED_VALUE"""),-12.0)</f>
        <v>-12</v>
      </c>
      <c r="D105" s="117">
        <f t="shared" si="78"/>
        <v>12</v>
      </c>
      <c r="E105" s="117">
        <f t="shared" si="79"/>
        <v>24</v>
      </c>
      <c r="F105" s="117">
        <f t="shared" si="80"/>
        <v>9</v>
      </c>
      <c r="G105" s="117">
        <f t="shared" si="81"/>
        <v>0</v>
      </c>
      <c r="L105" s="117" t="str">
        <f t="shared" si="82"/>
        <v>ok</v>
      </c>
    </row>
    <row r="106">
      <c r="A106" s="1"/>
      <c r="B106" s="33" t="str">
        <f>IFERROR(__xludf.DUMMYFUNCTION("""COMPUTED_VALUE"""),"Sean Chang")</f>
        <v>Sean Chang</v>
      </c>
      <c r="C106" s="117">
        <f>IFERROR(__xludf.DUMMYFUNCTION("""COMPUTED_VALUE"""),-11.0)</f>
        <v>-11</v>
      </c>
      <c r="D106" s="117">
        <f t="shared" si="78"/>
        <v>8</v>
      </c>
      <c r="E106" s="117">
        <f t="shared" si="79"/>
        <v>19</v>
      </c>
      <c r="F106" s="117">
        <f t="shared" si="80"/>
        <v>9</v>
      </c>
      <c r="G106" s="117">
        <f t="shared" si="81"/>
        <v>0</v>
      </c>
      <c r="L106" s="117" t="str">
        <f t="shared" si="82"/>
        <v>ok</v>
      </c>
    </row>
    <row r="107">
      <c r="A107" s="1"/>
      <c r="B107" s="33" t="str">
        <f>IFERROR(__xludf.DUMMYFUNCTION("""COMPUTED_VALUE"""),"Scott Li")</f>
        <v>Scott Li</v>
      </c>
      <c r="C107" s="117">
        <f>IFERROR(__xludf.DUMMYFUNCTION("""COMPUTED_VALUE"""),-8.0)</f>
        <v>-8</v>
      </c>
      <c r="D107" s="117">
        <f t="shared" si="78"/>
        <v>9</v>
      </c>
      <c r="E107" s="117">
        <f t="shared" si="79"/>
        <v>17</v>
      </c>
      <c r="F107" s="117">
        <f t="shared" si="80"/>
        <v>10</v>
      </c>
      <c r="G107" s="117">
        <f t="shared" si="81"/>
        <v>1</v>
      </c>
      <c r="L107" s="117" t="str">
        <f t="shared" si="82"/>
        <v>ok</v>
      </c>
    </row>
    <row r="108">
      <c r="A108" s="1"/>
      <c r="B108" s="33" t="str">
        <f>IFERROR(__xludf.DUMMYFUNCTION("""COMPUTED_VALUE"""),"Joe Luzzi")</f>
        <v>Joe Luzzi</v>
      </c>
      <c r="C108" s="117">
        <f>IFERROR(__xludf.DUMMYFUNCTION("""COMPUTED_VALUE"""),-8.0)</f>
        <v>-8</v>
      </c>
      <c r="D108" s="117">
        <f t="shared" si="78"/>
        <v>14</v>
      </c>
      <c r="E108" s="117">
        <f t="shared" si="79"/>
        <v>22</v>
      </c>
      <c r="F108" s="117">
        <f t="shared" si="80"/>
        <v>12</v>
      </c>
      <c r="G108" s="117">
        <f t="shared" si="81"/>
        <v>2</v>
      </c>
      <c r="L108" s="117" t="str">
        <f t="shared" si="82"/>
        <v>ok</v>
      </c>
    </row>
    <row r="109">
      <c r="A109" s="1"/>
      <c r="B109" s="33" t="str">
        <f>IFERROR(__xludf.DUMMYFUNCTION("""COMPUTED_VALUE"""),"Robert Chang")</f>
        <v>Robert Chang</v>
      </c>
      <c r="C109" s="117">
        <f>IFERROR(__xludf.DUMMYFUNCTION("""COMPUTED_VALUE"""),-7.0)</f>
        <v>-7</v>
      </c>
      <c r="D109" s="117">
        <f t="shared" si="78"/>
        <v>5</v>
      </c>
      <c r="E109" s="117">
        <f t="shared" si="79"/>
        <v>12</v>
      </c>
      <c r="F109" s="117">
        <f t="shared" si="80"/>
        <v>9</v>
      </c>
      <c r="G109" s="117">
        <f t="shared" si="81"/>
        <v>0</v>
      </c>
      <c r="L109" s="117" t="str">
        <f t="shared" si="82"/>
        <v>ok</v>
      </c>
    </row>
    <row r="110">
      <c r="A110" s="1"/>
      <c r="B110" s="33" t="str">
        <f>IFERROR(__xludf.DUMMYFUNCTION("""COMPUTED_VALUE"""),"Rajasekar Ramasamy")</f>
        <v>Rajasekar Ramasamy</v>
      </c>
      <c r="C110" s="117">
        <f>IFERROR(__xludf.DUMMYFUNCTION("""COMPUTED_VALUE"""),-7.0)</f>
        <v>-7</v>
      </c>
      <c r="D110" s="117">
        <f t="shared" si="78"/>
        <v>7</v>
      </c>
      <c r="E110" s="117">
        <f t="shared" si="79"/>
        <v>14</v>
      </c>
      <c r="F110" s="117">
        <f t="shared" si="80"/>
        <v>10</v>
      </c>
      <c r="G110" s="117">
        <f t="shared" si="81"/>
        <v>1</v>
      </c>
      <c r="L110" s="117" t="str">
        <f t="shared" si="82"/>
        <v>ok</v>
      </c>
    </row>
    <row r="111">
      <c r="A111" s="1"/>
      <c r="B111" s="33" t="str">
        <f>IFERROR(__xludf.DUMMYFUNCTION("""COMPUTED_VALUE"""),"Matthew Huang")</f>
        <v>Matthew Huang</v>
      </c>
      <c r="C111" s="117">
        <f>IFERROR(__xludf.DUMMYFUNCTION("""COMPUTED_VALUE"""),-7.0)</f>
        <v>-7</v>
      </c>
      <c r="D111" s="117">
        <f t="shared" si="78"/>
        <v>28</v>
      </c>
      <c r="E111" s="117">
        <f t="shared" si="79"/>
        <v>35</v>
      </c>
      <c r="F111" s="117">
        <f t="shared" si="80"/>
        <v>9</v>
      </c>
      <c r="G111" s="117">
        <f t="shared" si="81"/>
        <v>0</v>
      </c>
      <c r="L111" s="117" t="str">
        <f t="shared" si="82"/>
        <v>ok</v>
      </c>
    </row>
    <row r="112">
      <c r="A112" s="1"/>
      <c r="B112" s="33" t="str">
        <f>IFERROR(__xludf.DUMMYFUNCTION("""COMPUTED_VALUE"""),"Tyler Leong")</f>
        <v>Tyler Leong</v>
      </c>
      <c r="C112" s="117">
        <f>IFERROR(__xludf.DUMMYFUNCTION("""COMPUTED_VALUE"""),-7.0)</f>
        <v>-7</v>
      </c>
      <c r="D112" s="117">
        <f t="shared" si="78"/>
        <v>44</v>
      </c>
      <c r="E112" s="117">
        <f t="shared" si="79"/>
        <v>51</v>
      </c>
      <c r="F112" s="117">
        <f t="shared" si="80"/>
        <v>8</v>
      </c>
      <c r="G112" s="117">
        <f t="shared" si="81"/>
        <v>7</v>
      </c>
      <c r="L112" s="117" t="str">
        <f t="shared" si="82"/>
        <v>ok</v>
      </c>
    </row>
    <row r="113">
      <c r="A113" s="1"/>
      <c r="B113" s="33" t="str">
        <f>IFERROR(__xludf.DUMMYFUNCTION("""COMPUTED_VALUE"""),"Adrian Tay")</f>
        <v>Adrian Tay</v>
      </c>
      <c r="C113" s="117">
        <f>IFERROR(__xludf.DUMMYFUNCTION("""COMPUTED_VALUE"""),-6.0)</f>
        <v>-6</v>
      </c>
      <c r="D113" s="117">
        <f t="shared" si="78"/>
        <v>31</v>
      </c>
      <c r="E113" s="117">
        <f t="shared" si="79"/>
        <v>37</v>
      </c>
      <c r="F113" s="117">
        <f t="shared" si="80"/>
        <v>9</v>
      </c>
      <c r="G113" s="117">
        <f t="shared" si="81"/>
        <v>0</v>
      </c>
      <c r="L113" s="117" t="str">
        <f t="shared" si="82"/>
        <v>ok</v>
      </c>
    </row>
    <row r="114">
      <c r="A114" s="1"/>
      <c r="B114" s="51"/>
      <c r="C114" s="1"/>
      <c r="E114" s="1"/>
      <c r="F114" s="1"/>
    </row>
    <row r="115">
      <c r="A115" s="1"/>
      <c r="B115" s="51"/>
      <c r="C115" s="1"/>
      <c r="E115" s="1"/>
      <c r="F115" s="1"/>
    </row>
    <row r="116">
      <c r="A116" s="1"/>
      <c r="B116" s="51"/>
      <c r="C116" s="1"/>
      <c r="E116" s="1"/>
      <c r="F116" s="1"/>
    </row>
    <row r="117">
      <c r="A117" s="1"/>
      <c r="B117" s="51"/>
      <c r="C117" s="1"/>
      <c r="E117" s="1"/>
      <c r="F117" s="1"/>
    </row>
    <row r="118">
      <c r="A118" s="1"/>
      <c r="B118" s="51"/>
      <c r="C118" s="1"/>
      <c r="D118" s="1"/>
      <c r="E118" s="1"/>
      <c r="F118" s="1"/>
    </row>
    <row r="119">
      <c r="A119" s="137" t="s">
        <v>183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6"/>
    </row>
    <row r="120">
      <c r="A120" s="64"/>
      <c r="B120" s="131" t="s">
        <v>184</v>
      </c>
      <c r="C120" s="138" t="s">
        <v>185</v>
      </c>
      <c r="D120" s="25"/>
      <c r="E120" s="26"/>
      <c r="F120" s="138" t="s">
        <v>186</v>
      </c>
      <c r="G120" s="25"/>
      <c r="H120" s="26"/>
      <c r="I120" s="139" t="s">
        <v>187</v>
      </c>
      <c r="J120" s="25"/>
      <c r="K120" s="25"/>
      <c r="L120" s="25"/>
      <c r="M120" s="26"/>
    </row>
    <row r="121">
      <c r="A121" s="140">
        <v>1.0</v>
      </c>
      <c r="B121" s="33" t="str">
        <f>IFERROR(__xludf.DUMMYFUNCTION("query(B5:W69,""select B where R = 'X' order by B asc"")"),"#N/A")</f>
        <v>#N/A</v>
      </c>
      <c r="C121" s="141" t="str">
        <f>IFERROR(__xludf.DUMMYFUNCTION("query(B5:W69,""select B where R = '' order by B asc"")"),"Adrian Tay")</f>
        <v>Adrian Tay</v>
      </c>
      <c r="D121" s="25"/>
      <c r="E121" s="26"/>
      <c r="F121" s="141" t="str">
        <f>IFERROR(__xludf.DUMMYFUNCTION("query(B5:W69,""select B where R = 'N' order by B asc"")"),"#N/A")</f>
        <v>#N/A</v>
      </c>
      <c r="G121" s="25"/>
      <c r="H121" s="26"/>
      <c r="I121" s="141"/>
      <c r="J121" s="25"/>
      <c r="K121" s="25"/>
      <c r="L121" s="25"/>
      <c r="M121" s="26"/>
    </row>
    <row r="122">
      <c r="A122" s="140">
        <f t="shared" ref="A122:A185" si="83">A121+1</f>
        <v>2</v>
      </c>
      <c r="B122" s="33"/>
      <c r="C122" s="141" t="str">
        <f>IFERROR(__xludf.DUMMYFUNCTION("""COMPUTED_VALUE"""),"Alejandro Mejia")</f>
        <v>Alejandro Mejia</v>
      </c>
      <c r="D122" s="25"/>
      <c r="E122" s="26"/>
      <c r="F122" s="141"/>
      <c r="G122" s="25"/>
      <c r="H122" s="26"/>
      <c r="I122" s="141"/>
      <c r="J122" s="25"/>
      <c r="K122" s="25"/>
      <c r="L122" s="25"/>
      <c r="M122" s="26"/>
    </row>
    <row r="123">
      <c r="A123" s="140">
        <f t="shared" si="83"/>
        <v>3</v>
      </c>
      <c r="B123" s="33"/>
      <c r="C123" s="141" t="str">
        <f>IFERROR(__xludf.DUMMYFUNCTION("""COMPUTED_VALUE"""),"Alex Hou")</f>
        <v>Alex Hou</v>
      </c>
      <c r="D123" s="25"/>
      <c r="E123" s="26"/>
      <c r="F123" s="141"/>
      <c r="G123" s="25"/>
      <c r="H123" s="26"/>
      <c r="I123" s="141"/>
      <c r="J123" s="25"/>
      <c r="K123" s="25"/>
      <c r="L123" s="25"/>
      <c r="M123" s="26"/>
    </row>
    <row r="124">
      <c r="A124" s="140">
        <f t="shared" si="83"/>
        <v>4</v>
      </c>
      <c r="B124" s="33"/>
      <c r="C124" s="141" t="str">
        <f>IFERROR(__xludf.DUMMYFUNCTION("""COMPUTED_VALUE"""),"Allen Zhang")</f>
        <v>Allen Zhang</v>
      </c>
      <c r="D124" s="25"/>
      <c r="E124" s="26"/>
      <c r="F124" s="141"/>
      <c r="G124" s="25"/>
      <c r="H124" s="26"/>
      <c r="I124" s="141"/>
      <c r="J124" s="25"/>
      <c r="K124" s="25"/>
      <c r="L124" s="25"/>
      <c r="M124" s="26"/>
    </row>
    <row r="125">
      <c r="A125" s="140">
        <f t="shared" si="83"/>
        <v>5</v>
      </c>
      <c r="B125" s="33"/>
      <c r="C125" s="141" t="str">
        <f>IFERROR(__xludf.DUMMYFUNCTION("""COMPUTED_VALUE"""),"Andrew Wen")</f>
        <v>Andrew Wen</v>
      </c>
      <c r="D125" s="25"/>
      <c r="E125" s="26"/>
      <c r="F125" s="141"/>
      <c r="G125" s="25"/>
      <c r="H125" s="26"/>
      <c r="I125" s="141"/>
      <c r="J125" s="25"/>
      <c r="K125" s="25"/>
      <c r="L125" s="25"/>
      <c r="M125" s="26"/>
    </row>
    <row r="126">
      <c r="A126" s="140">
        <f t="shared" si="83"/>
        <v>6</v>
      </c>
      <c r="B126" s="33"/>
      <c r="C126" s="141" t="str">
        <f>IFERROR(__xludf.DUMMYFUNCTION("""COMPUTED_VALUE"""),"Balaji Alahari")</f>
        <v>Balaji Alahari</v>
      </c>
      <c r="D126" s="25"/>
      <c r="E126" s="26"/>
      <c r="F126" s="141"/>
      <c r="G126" s="25"/>
      <c r="H126" s="26"/>
      <c r="I126" s="141"/>
      <c r="J126" s="25"/>
      <c r="K126" s="25"/>
      <c r="L126" s="25"/>
      <c r="M126" s="26"/>
    </row>
    <row r="127">
      <c r="A127" s="140">
        <f t="shared" si="83"/>
        <v>7</v>
      </c>
      <c r="B127" s="33"/>
      <c r="C127" s="141" t="str">
        <f>IFERROR(__xludf.DUMMYFUNCTION("""COMPUTED_VALUE"""),"Barathi Sundaram")</f>
        <v>Barathi Sundaram</v>
      </c>
      <c r="D127" s="25"/>
      <c r="E127" s="26"/>
      <c r="F127" s="141"/>
      <c r="G127" s="25"/>
      <c r="H127" s="26"/>
      <c r="I127" s="141"/>
      <c r="J127" s="25"/>
      <c r="K127" s="25"/>
      <c r="L127" s="25"/>
      <c r="M127" s="26"/>
    </row>
    <row r="128">
      <c r="A128" s="140">
        <f t="shared" si="83"/>
        <v>8</v>
      </c>
      <c r="B128" s="33"/>
      <c r="C128" s="141" t="str">
        <f>IFERROR(__xludf.DUMMYFUNCTION("""COMPUTED_VALUE"""),"Basudev Thoppai Vidyasankar")</f>
        <v>Basudev Thoppai Vidyasankar</v>
      </c>
      <c r="D128" s="25"/>
      <c r="E128" s="26"/>
      <c r="F128" s="141"/>
      <c r="G128" s="25"/>
      <c r="H128" s="26"/>
      <c r="I128" s="141"/>
      <c r="J128" s="25"/>
      <c r="K128" s="25"/>
      <c r="L128" s="25"/>
      <c r="M128" s="26"/>
    </row>
    <row r="129">
      <c r="A129" s="140">
        <f t="shared" si="83"/>
        <v>9</v>
      </c>
      <c r="B129" s="33"/>
      <c r="C129" s="141" t="str">
        <f>IFERROR(__xludf.DUMMYFUNCTION("""COMPUTED_VALUE"""),"Chinna Ponnaganti")</f>
        <v>Chinna Ponnaganti</v>
      </c>
      <c r="D129" s="25"/>
      <c r="E129" s="26"/>
      <c r="F129" s="141"/>
      <c r="G129" s="25"/>
      <c r="H129" s="26"/>
      <c r="I129" s="141"/>
      <c r="J129" s="25"/>
      <c r="K129" s="25"/>
      <c r="L129" s="25"/>
      <c r="M129" s="26"/>
    </row>
    <row r="130">
      <c r="A130" s="140">
        <f t="shared" si="83"/>
        <v>10</v>
      </c>
      <c r="B130" s="33"/>
      <c r="C130" s="141" t="str">
        <f>IFERROR(__xludf.DUMMYFUNCTION("""COMPUTED_VALUE"""),"Cid Macaraeg")</f>
        <v>Cid Macaraeg</v>
      </c>
      <c r="D130" s="25"/>
      <c r="E130" s="26"/>
      <c r="F130" s="141"/>
      <c r="G130" s="25"/>
      <c r="H130" s="26"/>
      <c r="I130" s="141"/>
      <c r="J130" s="25"/>
      <c r="K130" s="25"/>
      <c r="L130" s="25"/>
      <c r="M130" s="26"/>
    </row>
    <row r="131">
      <c r="A131" s="140">
        <f t="shared" si="83"/>
        <v>11</v>
      </c>
      <c r="B131" s="33"/>
      <c r="C131" s="141" t="str">
        <f>IFERROR(__xludf.DUMMYFUNCTION("""COMPUTED_VALUE"""),"Coco Yan")</f>
        <v>Coco Yan</v>
      </c>
      <c r="D131" s="25"/>
      <c r="E131" s="26"/>
      <c r="F131" s="141"/>
      <c r="G131" s="25"/>
      <c r="H131" s="26"/>
      <c r="I131" s="141"/>
      <c r="J131" s="25"/>
      <c r="K131" s="25"/>
      <c r="L131" s="25"/>
      <c r="M131" s="26"/>
    </row>
    <row r="132">
      <c r="A132" s="140">
        <f t="shared" si="83"/>
        <v>12</v>
      </c>
      <c r="B132" s="33"/>
      <c r="C132" s="141" t="str">
        <f>IFERROR(__xludf.DUMMYFUNCTION("""COMPUTED_VALUE"""),"Darren Wong")</f>
        <v>Darren Wong</v>
      </c>
      <c r="D132" s="25"/>
      <c r="E132" s="26"/>
      <c r="F132" s="141"/>
      <c r="G132" s="25"/>
      <c r="H132" s="26"/>
      <c r="I132" s="141"/>
      <c r="J132" s="25"/>
      <c r="K132" s="25"/>
      <c r="L132" s="25"/>
      <c r="M132" s="26"/>
    </row>
    <row r="133">
      <c r="A133" s="140">
        <f t="shared" si="83"/>
        <v>13</v>
      </c>
      <c r="B133" s="33"/>
      <c r="C133" s="141" t="str">
        <f>IFERROR(__xludf.DUMMYFUNCTION("""COMPUTED_VALUE"""),"David Shin")</f>
        <v>David Shin</v>
      </c>
      <c r="D133" s="25"/>
      <c r="E133" s="26"/>
      <c r="F133" s="141"/>
      <c r="G133" s="25"/>
      <c r="H133" s="26"/>
      <c r="I133" s="141"/>
      <c r="J133" s="25"/>
      <c r="K133" s="25"/>
      <c r="L133" s="25"/>
      <c r="M133" s="26"/>
    </row>
    <row r="134">
      <c r="A134" s="140">
        <f t="shared" si="83"/>
        <v>14</v>
      </c>
      <c r="B134" s="33"/>
      <c r="C134" s="141" t="str">
        <f>IFERROR(__xludf.DUMMYFUNCTION("""COMPUTED_VALUE"""),"Elayaraja Thangaraj")</f>
        <v>Elayaraja Thangaraj</v>
      </c>
      <c r="D134" s="25"/>
      <c r="E134" s="26"/>
      <c r="F134" s="141"/>
      <c r="G134" s="25"/>
      <c r="H134" s="26"/>
      <c r="I134" s="141"/>
      <c r="J134" s="25"/>
      <c r="K134" s="25"/>
      <c r="L134" s="25"/>
      <c r="M134" s="26"/>
    </row>
    <row r="135">
      <c r="A135" s="140">
        <f t="shared" si="83"/>
        <v>15</v>
      </c>
      <c r="B135" s="33"/>
      <c r="C135" s="141" t="str">
        <f>IFERROR(__xludf.DUMMYFUNCTION("""COMPUTED_VALUE"""),"Eric Pan")</f>
        <v>Eric Pan</v>
      </c>
      <c r="D135" s="25"/>
      <c r="E135" s="26"/>
      <c r="F135" s="141"/>
      <c r="G135" s="25"/>
      <c r="H135" s="26"/>
      <c r="I135" s="141"/>
      <c r="J135" s="25"/>
      <c r="K135" s="25"/>
      <c r="L135" s="25"/>
      <c r="M135" s="26"/>
    </row>
    <row r="136">
      <c r="A136" s="140">
        <f t="shared" si="83"/>
        <v>16</v>
      </c>
      <c r="B136" s="33"/>
      <c r="C136" s="141" t="str">
        <f>IFERROR(__xludf.DUMMYFUNCTION("""COMPUTED_VALUE"""),"Eric Tan")</f>
        <v>Eric Tan</v>
      </c>
      <c r="D136" s="25"/>
      <c r="E136" s="26"/>
      <c r="F136" s="141"/>
      <c r="G136" s="25"/>
      <c r="H136" s="26"/>
    </row>
    <row r="137">
      <c r="A137" s="140">
        <f t="shared" si="83"/>
        <v>17</v>
      </c>
      <c r="B137" s="33"/>
      <c r="C137" s="141" t="str">
        <f>IFERROR(__xludf.DUMMYFUNCTION("""COMPUTED_VALUE"""),"Erik Hoeckmann")</f>
        <v>Erik Hoeckmann</v>
      </c>
      <c r="D137" s="25"/>
      <c r="E137" s="26"/>
      <c r="F137" s="141"/>
      <c r="G137" s="25"/>
      <c r="H137" s="26"/>
    </row>
    <row r="138">
      <c r="A138" s="140">
        <f t="shared" si="83"/>
        <v>18</v>
      </c>
      <c r="B138" s="33"/>
      <c r="C138" s="141" t="str">
        <f>IFERROR(__xludf.DUMMYFUNCTION("""COMPUTED_VALUE"""),"Ethan Gu")</f>
        <v>Ethan Gu</v>
      </c>
      <c r="D138" s="25"/>
      <c r="E138" s="26"/>
      <c r="F138" s="141"/>
      <c r="G138" s="25"/>
      <c r="H138" s="26"/>
    </row>
    <row r="139">
      <c r="A139" s="140">
        <f t="shared" si="83"/>
        <v>19</v>
      </c>
      <c r="B139" s="33"/>
      <c r="C139" s="141" t="str">
        <f>IFERROR(__xludf.DUMMYFUNCTION("""COMPUTED_VALUE"""),"Frank Moon")</f>
        <v>Frank Moon</v>
      </c>
      <c r="D139" s="25"/>
      <c r="E139" s="26"/>
      <c r="F139" s="141"/>
      <c r="G139" s="25"/>
      <c r="H139" s="26"/>
    </row>
    <row r="140">
      <c r="A140" s="140">
        <f t="shared" si="83"/>
        <v>20</v>
      </c>
      <c r="B140" s="33"/>
      <c r="C140" s="141" t="str">
        <f>IFERROR(__xludf.DUMMYFUNCTION("""COMPUTED_VALUE"""),"Herman Au")</f>
        <v>Herman Au</v>
      </c>
      <c r="D140" s="25"/>
      <c r="E140" s="26"/>
      <c r="F140" s="141"/>
      <c r="G140" s="25"/>
      <c r="H140" s="26"/>
    </row>
    <row r="141">
      <c r="A141" s="140">
        <f t="shared" si="83"/>
        <v>21</v>
      </c>
      <c r="B141" s="33"/>
      <c r="C141" s="141" t="str">
        <f>IFERROR(__xludf.DUMMYFUNCTION("""COMPUTED_VALUE"""),"Hongyuan Wen")</f>
        <v>Hongyuan Wen</v>
      </c>
      <c r="D141" s="25"/>
      <c r="E141" s="26"/>
      <c r="F141" s="141"/>
      <c r="G141" s="25"/>
      <c r="H141" s="26"/>
    </row>
    <row r="142">
      <c r="A142" s="140">
        <f t="shared" si="83"/>
        <v>22</v>
      </c>
      <c r="B142" s="33"/>
      <c r="C142" s="141" t="str">
        <f>IFERROR(__xludf.DUMMYFUNCTION("""COMPUTED_VALUE"""),"Hubert J Sung")</f>
        <v>Hubert J Sung</v>
      </c>
      <c r="D142" s="25"/>
      <c r="E142" s="26"/>
      <c r="F142" s="141"/>
      <c r="G142" s="25"/>
      <c r="H142" s="26"/>
    </row>
    <row r="143">
      <c r="A143" s="140">
        <f t="shared" si="83"/>
        <v>23</v>
      </c>
      <c r="B143" s="33"/>
      <c r="C143" s="141" t="str">
        <f>IFERROR(__xludf.DUMMYFUNCTION("""COMPUTED_VALUE"""),"James Phan")</f>
        <v>James Phan</v>
      </c>
      <c r="D143" s="25"/>
      <c r="E143" s="26"/>
      <c r="F143" s="141"/>
      <c r="G143" s="25"/>
      <c r="H143" s="26"/>
    </row>
    <row r="144">
      <c r="A144" s="140">
        <f t="shared" si="83"/>
        <v>24</v>
      </c>
      <c r="B144" s="33"/>
      <c r="C144" s="141" t="str">
        <f>IFERROR(__xludf.DUMMYFUNCTION("""COMPUTED_VALUE"""),"Jim Miao")</f>
        <v>Jim Miao</v>
      </c>
      <c r="D144" s="25"/>
      <c r="E144" s="26"/>
      <c r="F144" s="141"/>
      <c r="G144" s="25"/>
      <c r="H144" s="26"/>
    </row>
    <row r="145">
      <c r="A145" s="140">
        <f t="shared" si="83"/>
        <v>25</v>
      </c>
      <c r="B145" s="33"/>
      <c r="C145" s="141" t="str">
        <f>IFERROR(__xludf.DUMMYFUNCTION("""COMPUTED_VALUE"""),"Jimmy Awolesi")</f>
        <v>Jimmy Awolesi</v>
      </c>
      <c r="D145" s="25"/>
      <c r="E145" s="26"/>
      <c r="F145" s="141"/>
      <c r="G145" s="25"/>
      <c r="H145" s="26"/>
    </row>
    <row r="146">
      <c r="A146" s="140">
        <f t="shared" si="83"/>
        <v>26</v>
      </c>
      <c r="B146" s="33"/>
      <c r="C146" s="141" t="str">
        <f>IFERROR(__xludf.DUMMYFUNCTION("""COMPUTED_VALUE"""),"Joe Luzzi")</f>
        <v>Joe Luzzi</v>
      </c>
      <c r="D146" s="25"/>
      <c r="E146" s="26"/>
      <c r="F146" s="141"/>
      <c r="G146" s="25"/>
      <c r="H146" s="26"/>
    </row>
    <row r="147">
      <c r="A147" s="140">
        <f t="shared" si="83"/>
        <v>27</v>
      </c>
      <c r="B147" s="33"/>
      <c r="C147" s="141" t="str">
        <f>IFERROR(__xludf.DUMMYFUNCTION("""COMPUTED_VALUE"""),"Jonathan Phan")</f>
        <v>Jonathan Phan</v>
      </c>
      <c r="D147" s="25"/>
      <c r="E147" s="26"/>
      <c r="F147" s="141"/>
      <c r="G147" s="25"/>
      <c r="H147" s="26"/>
    </row>
    <row r="148">
      <c r="A148" s="140">
        <f t="shared" si="83"/>
        <v>28</v>
      </c>
      <c r="B148" s="33"/>
      <c r="C148" s="141" t="str">
        <f>IFERROR(__xludf.DUMMYFUNCTION("""COMPUTED_VALUE"""),"Joyce Zhu")</f>
        <v>Joyce Zhu</v>
      </c>
      <c r="D148" s="25"/>
      <c r="E148" s="26"/>
      <c r="F148" s="141"/>
      <c r="G148" s="25"/>
      <c r="H148" s="26"/>
    </row>
    <row r="149">
      <c r="A149" s="140">
        <f t="shared" si="83"/>
        <v>29</v>
      </c>
      <c r="B149" s="33"/>
      <c r="C149" s="141" t="str">
        <f>IFERROR(__xludf.DUMMYFUNCTION("""COMPUTED_VALUE"""),"Kumar Palakeel")</f>
        <v>Kumar Palakeel</v>
      </c>
      <c r="D149" s="25"/>
      <c r="E149" s="26"/>
      <c r="F149" s="141"/>
      <c r="G149" s="25"/>
      <c r="H149" s="26"/>
    </row>
    <row r="150">
      <c r="A150" s="140">
        <f t="shared" si="83"/>
        <v>30</v>
      </c>
      <c r="B150" s="33"/>
      <c r="C150" s="141" t="str">
        <f>IFERROR(__xludf.DUMMYFUNCTION("""COMPUTED_VALUE"""),"Lam Bui")</f>
        <v>Lam Bui</v>
      </c>
      <c r="D150" s="25"/>
      <c r="E150" s="26"/>
      <c r="F150" s="141"/>
      <c r="G150" s="25"/>
      <c r="H150" s="26"/>
    </row>
    <row r="151">
      <c r="A151" s="140">
        <f t="shared" si="83"/>
        <v>31</v>
      </c>
      <c r="B151" s="33"/>
      <c r="C151" s="141" t="str">
        <f>IFERROR(__xludf.DUMMYFUNCTION("""COMPUTED_VALUE"""),"Leigh-Anh Nguyen")</f>
        <v>Leigh-Anh Nguyen</v>
      </c>
      <c r="D151" s="25"/>
      <c r="E151" s="26"/>
      <c r="F151" s="141"/>
      <c r="G151" s="25"/>
      <c r="H151" s="26"/>
    </row>
    <row r="152">
      <c r="A152" s="140">
        <f t="shared" si="83"/>
        <v>32</v>
      </c>
      <c r="B152" s="33"/>
      <c r="C152" s="141" t="str">
        <f>IFERROR(__xludf.DUMMYFUNCTION("""COMPUTED_VALUE"""),"Lloyd Sagar")</f>
        <v>Lloyd Sagar</v>
      </c>
      <c r="D152" s="25"/>
      <c r="E152" s="26"/>
      <c r="F152" s="141"/>
      <c r="G152" s="25"/>
      <c r="H152" s="26"/>
    </row>
    <row r="153">
      <c r="A153" s="140">
        <f t="shared" si="83"/>
        <v>33</v>
      </c>
      <c r="B153" s="33"/>
      <c r="C153" s="141" t="str">
        <f>IFERROR(__xludf.DUMMYFUNCTION("""COMPUTED_VALUE"""),"Luis Hsu")</f>
        <v>Luis Hsu</v>
      </c>
      <c r="D153" s="25"/>
      <c r="E153" s="26"/>
      <c r="F153" s="141"/>
      <c r="G153" s="25"/>
      <c r="H153" s="26"/>
    </row>
    <row r="154">
      <c r="A154" s="140">
        <f t="shared" si="83"/>
        <v>34</v>
      </c>
      <c r="B154" s="33"/>
      <c r="C154" s="141" t="str">
        <f>IFERROR(__xludf.DUMMYFUNCTION("""COMPUTED_VALUE"""),"Manish Anand")</f>
        <v>Manish Anand</v>
      </c>
      <c r="D154" s="25"/>
      <c r="E154" s="26"/>
      <c r="F154" s="141"/>
      <c r="G154" s="25"/>
      <c r="H154" s="26"/>
    </row>
    <row r="155">
      <c r="A155" s="140">
        <f t="shared" si="83"/>
        <v>35</v>
      </c>
      <c r="B155" s="33"/>
      <c r="C155" s="141" t="str">
        <f>IFERROR(__xludf.DUMMYFUNCTION("""COMPUTED_VALUE"""),"Manuel Rivera")</f>
        <v>Manuel Rivera</v>
      </c>
      <c r="D155" s="25"/>
      <c r="E155" s="26"/>
      <c r="F155" s="141"/>
      <c r="G155" s="25"/>
      <c r="H155" s="26"/>
    </row>
    <row r="156">
      <c r="A156" s="140">
        <f t="shared" si="83"/>
        <v>36</v>
      </c>
      <c r="B156" s="33"/>
      <c r="C156" s="141" t="str">
        <f>IFERROR(__xludf.DUMMYFUNCTION("""COMPUTED_VALUE"""),"Matthew Huang")</f>
        <v>Matthew Huang</v>
      </c>
      <c r="D156" s="25"/>
      <c r="E156" s="26"/>
      <c r="F156" s="141"/>
      <c r="G156" s="25"/>
      <c r="H156" s="26"/>
    </row>
    <row r="157">
      <c r="A157" s="140">
        <f t="shared" si="83"/>
        <v>37</v>
      </c>
      <c r="B157" s="33"/>
      <c r="C157" s="141" t="str">
        <f>IFERROR(__xludf.DUMMYFUNCTION("""COMPUTED_VALUE"""),"Mauricio Palacios")</f>
        <v>Mauricio Palacios</v>
      </c>
      <c r="D157" s="25"/>
      <c r="E157" s="26"/>
      <c r="F157" s="141"/>
      <c r="G157" s="25"/>
      <c r="H157" s="26"/>
    </row>
    <row r="158">
      <c r="A158" s="140">
        <f t="shared" si="83"/>
        <v>38</v>
      </c>
      <c r="B158" s="33"/>
      <c r="C158" s="141" t="str">
        <f>IFERROR(__xludf.DUMMYFUNCTION("""COMPUTED_VALUE"""),"Naveen Raj")</f>
        <v>Naveen Raj</v>
      </c>
      <c r="D158" s="25"/>
      <c r="E158" s="26"/>
      <c r="F158" s="141"/>
      <c r="G158" s="25"/>
      <c r="H158" s="26"/>
    </row>
    <row r="159">
      <c r="A159" s="140">
        <f t="shared" si="83"/>
        <v>39</v>
      </c>
      <c r="B159" s="33"/>
      <c r="C159" s="141" t="str">
        <f>IFERROR(__xludf.DUMMYFUNCTION("""COMPUTED_VALUE"""),"Nicole Ni")</f>
        <v>Nicole Ni</v>
      </c>
      <c r="D159" s="25"/>
      <c r="E159" s="26"/>
      <c r="F159" s="141"/>
      <c r="G159" s="25"/>
      <c r="H159" s="26"/>
    </row>
    <row r="160">
      <c r="A160" s="140">
        <f t="shared" si="83"/>
        <v>40</v>
      </c>
      <c r="B160" s="33"/>
      <c r="C160" s="141" t="str">
        <f>IFERROR(__xludf.DUMMYFUNCTION("""COMPUTED_VALUE"""),"Oscar Bonilla")</f>
        <v>Oscar Bonilla</v>
      </c>
      <c r="D160" s="25"/>
      <c r="E160" s="26"/>
      <c r="F160" s="141"/>
      <c r="G160" s="25"/>
      <c r="H160" s="26"/>
    </row>
    <row r="161">
      <c r="A161" s="140">
        <f t="shared" si="83"/>
        <v>41</v>
      </c>
      <c r="B161" s="33"/>
      <c r="C161" s="141" t="str">
        <f>IFERROR(__xludf.DUMMYFUNCTION("""COMPUTED_VALUE"""),"Pavan Akkimsetty")</f>
        <v>Pavan Akkimsetty</v>
      </c>
      <c r="D161" s="25"/>
      <c r="E161" s="26"/>
      <c r="F161" s="141"/>
      <c r="G161" s="25"/>
      <c r="H161" s="26"/>
    </row>
    <row r="162">
      <c r="A162" s="140">
        <f t="shared" si="83"/>
        <v>42</v>
      </c>
      <c r="B162" s="33"/>
      <c r="C162" s="141" t="str">
        <f>IFERROR(__xludf.DUMMYFUNCTION("""COMPUTED_VALUE"""),"Pulkit Mathur")</f>
        <v>Pulkit Mathur</v>
      </c>
      <c r="D162" s="25"/>
      <c r="E162" s="26"/>
      <c r="F162" s="141"/>
      <c r="G162" s="25"/>
      <c r="H162" s="26"/>
    </row>
    <row r="163">
      <c r="A163" s="140">
        <f t="shared" si="83"/>
        <v>43</v>
      </c>
      <c r="B163" s="33"/>
      <c r="C163" s="141" t="str">
        <f>IFERROR(__xludf.DUMMYFUNCTION("""COMPUTED_VALUE"""),"Rajasekar Ramasamy")</f>
        <v>Rajasekar Ramasamy</v>
      </c>
      <c r="D163" s="25"/>
      <c r="E163" s="26"/>
      <c r="F163" s="141"/>
      <c r="G163" s="25"/>
      <c r="H163" s="26"/>
    </row>
    <row r="164">
      <c r="A164" s="140">
        <f t="shared" si="83"/>
        <v>44</v>
      </c>
      <c r="B164" s="33"/>
      <c r="C164" s="141" t="str">
        <f>IFERROR(__xludf.DUMMYFUNCTION("""COMPUTED_VALUE"""),"Rajesh Dorairaj")</f>
        <v>Rajesh Dorairaj</v>
      </c>
      <c r="D164" s="25"/>
      <c r="E164" s="26"/>
      <c r="F164" s="141"/>
      <c r="G164" s="25"/>
      <c r="H164" s="26"/>
    </row>
    <row r="165">
      <c r="A165" s="140">
        <f t="shared" si="83"/>
        <v>45</v>
      </c>
      <c r="B165" s="33"/>
      <c r="C165" s="141" t="str">
        <f>IFERROR(__xludf.DUMMYFUNCTION("""COMPUTED_VALUE"""),"Ramesh Bandaru")</f>
        <v>Ramesh Bandaru</v>
      </c>
      <c r="D165" s="25"/>
      <c r="E165" s="26"/>
      <c r="F165" s="141"/>
      <c r="G165" s="25"/>
      <c r="H165" s="26"/>
    </row>
    <row r="166">
      <c r="A166" s="140">
        <f t="shared" si="83"/>
        <v>46</v>
      </c>
      <c r="B166" s="33"/>
      <c r="C166" s="141" t="str">
        <f>IFERROR(__xludf.DUMMYFUNCTION("""COMPUTED_VALUE"""),"Robert Chang")</f>
        <v>Robert Chang</v>
      </c>
      <c r="D166" s="25"/>
      <c r="E166" s="26"/>
      <c r="F166" s="141"/>
      <c r="G166" s="25"/>
      <c r="H166" s="26"/>
    </row>
    <row r="167">
      <c r="A167" s="140">
        <f t="shared" si="83"/>
        <v>47</v>
      </c>
      <c r="B167" s="33"/>
      <c r="C167" s="141" t="str">
        <f>IFERROR(__xludf.DUMMYFUNCTION("""COMPUTED_VALUE"""),"Sandeep Kamalon")</f>
        <v>Sandeep Kamalon</v>
      </c>
      <c r="D167" s="25"/>
      <c r="E167" s="26"/>
      <c r="F167" s="141"/>
      <c r="G167" s="25"/>
      <c r="H167" s="26"/>
    </row>
    <row r="168">
      <c r="A168" s="140">
        <f t="shared" si="83"/>
        <v>48</v>
      </c>
      <c r="B168" s="33"/>
      <c r="C168" s="141" t="str">
        <f>IFERROR(__xludf.DUMMYFUNCTION("""COMPUTED_VALUE"""),"Sandy Weyant")</f>
        <v>Sandy Weyant</v>
      </c>
      <c r="D168" s="25"/>
      <c r="E168" s="26"/>
      <c r="F168" s="141"/>
      <c r="G168" s="25"/>
      <c r="H168" s="26"/>
    </row>
    <row r="169">
      <c r="A169" s="140">
        <f t="shared" si="83"/>
        <v>49</v>
      </c>
      <c r="B169" s="33"/>
      <c r="C169" s="141" t="str">
        <f>IFERROR(__xludf.DUMMYFUNCTION("""COMPUTED_VALUE"""),"Sanjaye Elayattu")</f>
        <v>Sanjaye Elayattu</v>
      </c>
      <c r="D169" s="25"/>
      <c r="E169" s="26"/>
      <c r="F169" s="141"/>
      <c r="G169" s="25"/>
      <c r="H169" s="26"/>
    </row>
    <row r="170">
      <c r="A170" s="140">
        <f t="shared" si="83"/>
        <v>50</v>
      </c>
      <c r="B170" s="33"/>
      <c r="C170" s="141" t="str">
        <f>IFERROR(__xludf.DUMMYFUNCTION("""COMPUTED_VALUE"""),"Santosh Sundaresan")</f>
        <v>Santosh Sundaresan</v>
      </c>
      <c r="D170" s="25"/>
      <c r="E170" s="26"/>
      <c r="F170" s="141"/>
      <c r="G170" s="25"/>
      <c r="H170" s="26"/>
    </row>
    <row r="171">
      <c r="A171" s="140">
        <f t="shared" si="83"/>
        <v>51</v>
      </c>
      <c r="B171" s="33"/>
      <c r="C171" s="141" t="str">
        <f>IFERROR(__xludf.DUMMYFUNCTION("""COMPUTED_VALUE"""),"Saravanan Veerapandian")</f>
        <v>Saravanan Veerapandian</v>
      </c>
      <c r="D171" s="25"/>
      <c r="E171" s="26"/>
      <c r="F171" s="141"/>
      <c r="G171" s="25"/>
      <c r="H171" s="26"/>
    </row>
    <row r="172">
      <c r="A172" s="140">
        <f t="shared" si="83"/>
        <v>52</v>
      </c>
      <c r="B172" s="33"/>
      <c r="C172" s="141" t="str">
        <f>IFERROR(__xludf.DUMMYFUNCTION("""COMPUTED_VALUE"""),"Scott Li")</f>
        <v>Scott Li</v>
      </c>
      <c r="D172" s="25"/>
      <c r="E172" s="26"/>
      <c r="F172" s="141"/>
      <c r="G172" s="25"/>
      <c r="H172" s="26"/>
    </row>
    <row r="173">
      <c r="A173" s="140">
        <f t="shared" si="83"/>
        <v>53</v>
      </c>
      <c r="B173" s="33"/>
      <c r="C173" s="141" t="str">
        <f>IFERROR(__xludf.DUMMYFUNCTION("""COMPUTED_VALUE"""),"Sean Chang")</f>
        <v>Sean Chang</v>
      </c>
      <c r="D173" s="25"/>
      <c r="E173" s="26"/>
      <c r="F173" s="141"/>
      <c r="G173" s="25"/>
      <c r="H173" s="26"/>
    </row>
    <row r="174">
      <c r="A174" s="140">
        <f t="shared" si="83"/>
        <v>54</v>
      </c>
      <c r="B174" s="33"/>
      <c r="C174" s="141" t="str">
        <f>IFERROR(__xludf.DUMMYFUNCTION("""COMPUTED_VALUE"""),"Suleman Alidina")</f>
        <v>Suleman Alidina</v>
      </c>
      <c r="D174" s="25"/>
      <c r="E174" s="26"/>
      <c r="F174" s="141"/>
      <c r="G174" s="25"/>
      <c r="H174" s="26"/>
    </row>
    <row r="175">
      <c r="A175" s="140">
        <f t="shared" si="83"/>
        <v>55</v>
      </c>
      <c r="B175" s="33"/>
      <c r="C175" s="141" t="str">
        <f>IFERROR(__xludf.DUMMYFUNCTION("""COMPUTED_VALUE"""),"Susanta Mishra")</f>
        <v>Susanta Mishra</v>
      </c>
      <c r="D175" s="25"/>
      <c r="E175" s="26"/>
      <c r="F175" s="141"/>
      <c r="G175" s="25"/>
      <c r="H175" s="26"/>
    </row>
    <row r="176">
      <c r="A176" s="140">
        <f t="shared" si="83"/>
        <v>56</v>
      </c>
      <c r="B176" s="33"/>
      <c r="C176" s="141" t="str">
        <f>IFERROR(__xludf.DUMMYFUNCTION("""COMPUTED_VALUE"""),"Ted Shen")</f>
        <v>Ted Shen</v>
      </c>
      <c r="D176" s="25"/>
      <c r="E176" s="26"/>
      <c r="F176" s="141"/>
      <c r="G176" s="25"/>
      <c r="H176" s="26"/>
    </row>
    <row r="177">
      <c r="A177" s="140">
        <f t="shared" si="83"/>
        <v>57</v>
      </c>
      <c r="B177" s="33"/>
      <c r="C177" s="141" t="str">
        <f>IFERROR(__xludf.DUMMYFUNCTION("""COMPUTED_VALUE"""),"Tina Hanson")</f>
        <v>Tina Hanson</v>
      </c>
      <c r="D177" s="25"/>
      <c r="E177" s="26"/>
      <c r="F177" s="141"/>
      <c r="G177" s="25"/>
      <c r="H177" s="26"/>
    </row>
    <row r="178">
      <c r="A178" s="140">
        <f t="shared" si="83"/>
        <v>58</v>
      </c>
      <c r="B178" s="33"/>
      <c r="C178" s="141" t="str">
        <f>IFERROR(__xludf.DUMMYFUNCTION("""COMPUTED_VALUE"""),"Tom Le")</f>
        <v>Tom Le</v>
      </c>
      <c r="D178" s="25"/>
      <c r="E178" s="26"/>
      <c r="F178" s="141"/>
      <c r="G178" s="25"/>
      <c r="H178" s="26"/>
    </row>
    <row r="179">
      <c r="A179" s="140">
        <f t="shared" si="83"/>
        <v>59</v>
      </c>
      <c r="B179" s="33"/>
      <c r="C179" s="141" t="str">
        <f>IFERROR(__xludf.DUMMYFUNCTION("""COMPUTED_VALUE"""),"Trish Newlin")</f>
        <v>Trish Newlin</v>
      </c>
      <c r="D179" s="25"/>
      <c r="E179" s="26"/>
      <c r="F179" s="141"/>
      <c r="G179" s="25"/>
      <c r="H179" s="26"/>
    </row>
    <row r="180">
      <c r="A180" s="140">
        <f t="shared" si="83"/>
        <v>60</v>
      </c>
      <c r="B180" s="33"/>
      <c r="C180" s="141" t="str">
        <f>IFERROR(__xludf.DUMMYFUNCTION("""COMPUTED_VALUE"""),"Troy Wong")</f>
        <v>Troy Wong</v>
      </c>
      <c r="D180" s="25"/>
      <c r="E180" s="26"/>
      <c r="F180" s="141"/>
      <c r="G180" s="25"/>
      <c r="H180" s="26"/>
    </row>
    <row r="181">
      <c r="A181" s="140">
        <f t="shared" si="83"/>
        <v>61</v>
      </c>
      <c r="B181" s="33"/>
      <c r="C181" s="141" t="str">
        <f>IFERROR(__xludf.DUMMYFUNCTION("""COMPUTED_VALUE"""),"Tyler Leong")</f>
        <v>Tyler Leong</v>
      </c>
      <c r="D181" s="25"/>
      <c r="E181" s="26"/>
      <c r="F181" s="141"/>
      <c r="G181" s="25"/>
      <c r="H181" s="26"/>
    </row>
    <row r="182">
      <c r="A182" s="140">
        <f t="shared" si="83"/>
        <v>62</v>
      </c>
      <c r="B182" s="33"/>
      <c r="C182" s="141" t="str">
        <f>IFERROR(__xludf.DUMMYFUNCTION("""COMPUTED_VALUE"""),"Vicki Martinet")</f>
        <v>Vicki Martinet</v>
      </c>
      <c r="D182" s="25"/>
      <c r="E182" s="26"/>
      <c r="F182" s="141"/>
      <c r="G182" s="25"/>
      <c r="H182" s="26"/>
    </row>
    <row r="183">
      <c r="A183" s="140">
        <f t="shared" si="83"/>
        <v>63</v>
      </c>
      <c r="B183" s="33"/>
      <c r="C183" s="141" t="str">
        <f>IFERROR(__xludf.DUMMYFUNCTION("""COMPUTED_VALUE"""),"Vinaya Kajla")</f>
        <v>Vinaya Kajla</v>
      </c>
      <c r="D183" s="25"/>
      <c r="E183" s="26"/>
      <c r="F183" s="141"/>
      <c r="G183" s="25"/>
      <c r="H183" s="26"/>
    </row>
    <row r="184">
      <c r="A184" s="140">
        <f t="shared" si="83"/>
        <v>64</v>
      </c>
      <c r="B184" s="33"/>
      <c r="C184" s="141" t="str">
        <f>IFERROR(__xludf.DUMMYFUNCTION("""COMPUTED_VALUE"""),"Vishnu Amarnath")</f>
        <v>Vishnu Amarnath</v>
      </c>
      <c r="D184" s="25"/>
      <c r="E184" s="26"/>
      <c r="F184" s="141"/>
      <c r="G184" s="25"/>
      <c r="H184" s="26"/>
    </row>
    <row r="185">
      <c r="A185" s="140">
        <f t="shared" si="83"/>
        <v>65</v>
      </c>
      <c r="B185" s="33"/>
      <c r="C185" s="141" t="str">
        <f>IFERROR(__xludf.DUMMYFUNCTION("""COMPUTED_VALUE"""),"Wayne Liu")</f>
        <v>Wayne Liu</v>
      </c>
      <c r="D185" s="25"/>
      <c r="E185" s="26"/>
      <c r="F185" s="141"/>
      <c r="G185" s="25"/>
      <c r="H185" s="26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3" t="s">
        <v>1</v>
      </c>
      <c r="B194" s="5" t="s">
        <v>0</v>
      </c>
      <c r="C194" s="7" t="s">
        <v>12</v>
      </c>
      <c r="D194" s="7" t="s">
        <v>14</v>
      </c>
      <c r="E194" s="7" t="s">
        <v>16</v>
      </c>
      <c r="F194" s="7" t="s">
        <v>18</v>
      </c>
      <c r="G194" s="7" t="s">
        <v>7</v>
      </c>
    </row>
    <row r="195">
      <c r="A195" s="142">
        <f>IFERROR(__xludf.DUMMYFUNCTION("query(B5:M69,""Select G,B,I,J,K,L,M where G &gt; 0 order  by G"")"),1.0)</f>
        <v>1</v>
      </c>
      <c r="B195" s="16" t="str">
        <f>IFERROR(__xludf.DUMMYFUNCTION("""COMPUTED_VALUE"""),"Lam Bui")</f>
        <v>Lam Bui</v>
      </c>
      <c r="C195" s="142">
        <f>IFERROR(__xludf.DUMMYFUNCTION("""COMPUTED_VALUE"""),2.0)</f>
        <v>2</v>
      </c>
      <c r="D195" s="142">
        <f>IFERROR(__xludf.DUMMYFUNCTION("""COMPUTED_VALUE"""),6.0)</f>
        <v>6</v>
      </c>
      <c r="E195" s="142">
        <f>IFERROR(__xludf.DUMMYFUNCTION("""COMPUTED_VALUE"""),2.0)</f>
        <v>2</v>
      </c>
      <c r="F195" s="142">
        <f>IFERROR(__xludf.DUMMYFUNCTION("""COMPUTED_VALUE"""),10.0)</f>
        <v>10</v>
      </c>
      <c r="G195" s="27">
        <f>IFERROR(__xludf.DUMMYFUNCTION("""COMPUTED_VALUE"""),1.0)</f>
        <v>1</v>
      </c>
    </row>
    <row r="196">
      <c r="A196" s="142">
        <f>IFERROR(__xludf.DUMMYFUNCTION("""COMPUTED_VALUE"""),1.0)</f>
        <v>1</v>
      </c>
      <c r="B196" s="16" t="str">
        <f>IFERROR(__xludf.DUMMYFUNCTION("""COMPUTED_VALUE"""),"Darren Wong")</f>
        <v>Darren Wong</v>
      </c>
      <c r="C196" s="142">
        <f>IFERROR(__xludf.DUMMYFUNCTION("""COMPUTED_VALUE"""),6.0)</f>
        <v>6</v>
      </c>
      <c r="D196" s="142">
        <f>IFERROR(__xludf.DUMMYFUNCTION("""COMPUTED_VALUE"""),6.0)</f>
        <v>6</v>
      </c>
      <c r="E196" s="142">
        <f>IFERROR(__xludf.DUMMYFUNCTION("""COMPUTED_VALUE"""),6.0)</f>
        <v>6</v>
      </c>
      <c r="F196" s="142">
        <f>IFERROR(__xludf.DUMMYFUNCTION("""COMPUTED_VALUE"""),18.0)</f>
        <v>18</v>
      </c>
      <c r="G196" s="27">
        <f>IFERROR(__xludf.DUMMYFUNCTION("""COMPUTED_VALUE"""),3.0)</f>
        <v>3</v>
      </c>
    </row>
    <row r="197">
      <c r="A197" s="142">
        <f>IFERROR(__xludf.DUMMYFUNCTION("""COMPUTED_VALUE"""),1.0)</f>
        <v>1</v>
      </c>
      <c r="B197" s="16" t="str">
        <f>IFERROR(__xludf.DUMMYFUNCTION("""COMPUTED_VALUE"""),"Sandeep Kamalon")</f>
        <v>Sandeep Kamalon</v>
      </c>
      <c r="C197" s="142">
        <f>IFERROR(__xludf.DUMMYFUNCTION("""COMPUTED_VALUE"""),2.0)</f>
        <v>2</v>
      </c>
      <c r="D197" s="142">
        <f>IFERROR(__xludf.DUMMYFUNCTION("""COMPUTED_VALUE"""),2.0)</f>
        <v>2</v>
      </c>
      <c r="E197" s="142">
        <f>IFERROR(__xludf.DUMMYFUNCTION("""COMPUTED_VALUE"""),6.0)</f>
        <v>6</v>
      </c>
      <c r="F197" s="142">
        <f>IFERROR(__xludf.DUMMYFUNCTION("""COMPUTED_VALUE"""),10.0)</f>
        <v>10</v>
      </c>
      <c r="G197" s="27">
        <f>IFERROR(__xludf.DUMMYFUNCTION("""COMPUTED_VALUE"""),1.0)</f>
        <v>1</v>
      </c>
    </row>
    <row r="198">
      <c r="A198" s="142">
        <f>IFERROR(__xludf.DUMMYFUNCTION("""COMPUTED_VALUE"""),1.0)</f>
        <v>1</v>
      </c>
      <c r="B198" s="16" t="str">
        <f>IFERROR(__xludf.DUMMYFUNCTION("""COMPUTED_VALUE"""),"Ethan Gu")</f>
        <v>Ethan Gu</v>
      </c>
      <c r="C198" s="142">
        <f>IFERROR(__xludf.DUMMYFUNCTION("""COMPUTED_VALUE"""),6.0)</f>
        <v>6</v>
      </c>
      <c r="D198" s="142">
        <f>IFERROR(__xludf.DUMMYFUNCTION("""COMPUTED_VALUE"""),2.0)</f>
        <v>2</v>
      </c>
      <c r="E198" s="142">
        <f>IFERROR(__xludf.DUMMYFUNCTION("""COMPUTED_VALUE"""),2.0)</f>
        <v>2</v>
      </c>
      <c r="F198" s="142">
        <f>IFERROR(__xludf.DUMMYFUNCTION("""COMPUTED_VALUE"""),10.0)</f>
        <v>10</v>
      </c>
      <c r="G198" s="27">
        <f>IFERROR(__xludf.DUMMYFUNCTION("""COMPUTED_VALUE"""),1.0)</f>
        <v>1</v>
      </c>
    </row>
    <row r="199">
      <c r="A199" s="143">
        <f>IFERROR(__xludf.DUMMYFUNCTION("""COMPUTED_VALUE"""),2.0)</f>
        <v>2</v>
      </c>
      <c r="B199" s="44" t="str">
        <f>IFERROR(__xludf.DUMMYFUNCTION("""COMPUTED_VALUE"""),"David Shin")</f>
        <v>David Shin</v>
      </c>
      <c r="C199" s="143">
        <f>IFERROR(__xludf.DUMMYFUNCTION("""COMPUTED_VALUE"""),2.0)</f>
        <v>2</v>
      </c>
      <c r="D199" s="143">
        <f>IFERROR(__xludf.DUMMYFUNCTION("""COMPUTED_VALUE"""),3.0)</f>
        <v>3</v>
      </c>
      <c r="E199" s="143">
        <f>IFERROR(__xludf.DUMMYFUNCTION("""COMPUTED_VALUE"""),6.0)</f>
        <v>6</v>
      </c>
      <c r="F199" s="143">
        <f>IFERROR(__xludf.DUMMYFUNCTION("""COMPUTED_VALUE"""),11.0)</f>
        <v>11</v>
      </c>
      <c r="G199" s="46">
        <f>IFERROR(__xludf.DUMMYFUNCTION("""COMPUTED_VALUE"""),1.0)</f>
        <v>1</v>
      </c>
    </row>
    <row r="200">
      <c r="A200" s="143">
        <f>IFERROR(__xludf.DUMMYFUNCTION("""COMPUTED_VALUE"""),2.0)</f>
        <v>2</v>
      </c>
      <c r="B200" s="44" t="str">
        <f>IFERROR(__xludf.DUMMYFUNCTION("""COMPUTED_VALUE"""),"Frank Moon")</f>
        <v>Frank Moon</v>
      </c>
      <c r="C200" s="143">
        <f>IFERROR(__xludf.DUMMYFUNCTION("""COMPUTED_VALUE"""),2.0)</f>
        <v>2</v>
      </c>
      <c r="D200" s="143">
        <f>IFERROR(__xludf.DUMMYFUNCTION("""COMPUTED_VALUE"""),6.0)</f>
        <v>6</v>
      </c>
      <c r="E200" s="143">
        <f>IFERROR(__xludf.DUMMYFUNCTION("""COMPUTED_VALUE"""),1.0)</f>
        <v>1</v>
      </c>
      <c r="F200" s="143">
        <f>IFERROR(__xludf.DUMMYFUNCTION("""COMPUTED_VALUE"""),9.0)</f>
        <v>9</v>
      </c>
      <c r="G200" s="46">
        <f>IFERROR(__xludf.DUMMYFUNCTION("""COMPUTED_VALUE"""),1.0)</f>
        <v>1</v>
      </c>
    </row>
    <row r="201">
      <c r="A201" s="143">
        <f>IFERROR(__xludf.DUMMYFUNCTION("""COMPUTED_VALUE"""),2.0)</f>
        <v>2</v>
      </c>
      <c r="B201" s="44" t="str">
        <f>IFERROR(__xludf.DUMMYFUNCTION("""COMPUTED_VALUE"""),"Eric Pan")</f>
        <v>Eric Pan</v>
      </c>
      <c r="C201" s="143">
        <f>IFERROR(__xludf.DUMMYFUNCTION("""COMPUTED_VALUE"""),6.0)</f>
        <v>6</v>
      </c>
      <c r="D201" s="143">
        <f>IFERROR(__xludf.DUMMYFUNCTION("""COMPUTED_VALUE"""),6.0)</f>
        <v>6</v>
      </c>
      <c r="E201" s="143">
        <f>IFERROR(__xludf.DUMMYFUNCTION("""COMPUTED_VALUE"""),6.0)</f>
        <v>6</v>
      </c>
      <c r="F201" s="143">
        <f>IFERROR(__xludf.DUMMYFUNCTION("""COMPUTED_VALUE"""),18.0)</f>
        <v>18</v>
      </c>
      <c r="G201" s="46">
        <f>IFERROR(__xludf.DUMMYFUNCTION("""COMPUTED_VALUE"""),3.0)</f>
        <v>3</v>
      </c>
    </row>
    <row r="202">
      <c r="A202" s="143">
        <f>IFERROR(__xludf.DUMMYFUNCTION("""COMPUTED_VALUE"""),2.0)</f>
        <v>2</v>
      </c>
      <c r="B202" s="44" t="str">
        <f>IFERROR(__xludf.DUMMYFUNCTION("""COMPUTED_VALUE"""),"Basudev Thoppai Vidyasankar")</f>
        <v>Basudev Thoppai Vidyasankar</v>
      </c>
      <c r="C202" s="143">
        <f>IFERROR(__xludf.DUMMYFUNCTION("""COMPUTED_VALUE"""),6.0)</f>
        <v>6</v>
      </c>
      <c r="D202" s="143">
        <f>IFERROR(__xludf.DUMMYFUNCTION("""COMPUTED_VALUE"""),3.0)</f>
        <v>3</v>
      </c>
      <c r="E202" s="143">
        <f>IFERROR(__xludf.DUMMYFUNCTION("""COMPUTED_VALUE"""),1.0)</f>
        <v>1</v>
      </c>
      <c r="F202" s="143">
        <f>IFERROR(__xludf.DUMMYFUNCTION("""COMPUTED_VALUE"""),10.0)</f>
        <v>10</v>
      </c>
      <c r="G202" s="46">
        <f>IFERROR(__xludf.DUMMYFUNCTION("""COMPUTED_VALUE"""),1.0)</f>
        <v>1</v>
      </c>
    </row>
    <row r="203">
      <c r="A203" s="142">
        <f>IFERROR(__xludf.DUMMYFUNCTION("""COMPUTED_VALUE"""),3.0)</f>
        <v>3</v>
      </c>
      <c r="B203" s="16" t="str">
        <f>IFERROR(__xludf.DUMMYFUNCTION("""COMPUTED_VALUE"""),"Pulkit Mathur")</f>
        <v>Pulkit Mathur</v>
      </c>
      <c r="C203" s="142">
        <f>IFERROR(__xludf.DUMMYFUNCTION("""COMPUTED_VALUE"""),7.0)</f>
        <v>7</v>
      </c>
      <c r="D203" s="142">
        <f>IFERROR(__xludf.DUMMYFUNCTION("""COMPUTED_VALUE"""),6.0)</f>
        <v>6</v>
      </c>
      <c r="E203" s="142">
        <f>IFERROR(__xludf.DUMMYFUNCTION("""COMPUTED_VALUE"""),6.0)</f>
        <v>6</v>
      </c>
      <c r="F203" s="142">
        <f>IFERROR(__xludf.DUMMYFUNCTION("""COMPUTED_VALUE"""),19.0)</f>
        <v>19</v>
      </c>
      <c r="G203" s="27">
        <f>IFERROR(__xludf.DUMMYFUNCTION("""COMPUTED_VALUE"""),3.0)</f>
        <v>3</v>
      </c>
    </row>
    <row r="204">
      <c r="A204" s="142">
        <f>IFERROR(__xludf.DUMMYFUNCTION("""COMPUTED_VALUE"""),3.0)</f>
        <v>3</v>
      </c>
      <c r="B204" s="16" t="str">
        <f>IFERROR(__xludf.DUMMYFUNCTION("""COMPUTED_VALUE"""),"Rajasekar Ramasamy")</f>
        <v>Rajasekar Ramasamy</v>
      </c>
      <c r="C204" s="142">
        <f>IFERROR(__xludf.DUMMYFUNCTION("""COMPUTED_VALUE"""),6.0)</f>
        <v>6</v>
      </c>
      <c r="D204" s="142">
        <f>IFERROR(__xludf.DUMMYFUNCTION("""COMPUTED_VALUE"""),4.0)</f>
        <v>4</v>
      </c>
      <c r="E204" s="142">
        <f>IFERROR(__xludf.DUMMYFUNCTION("""COMPUTED_VALUE"""),6.0)</f>
        <v>6</v>
      </c>
      <c r="F204" s="142">
        <f>IFERROR(__xludf.DUMMYFUNCTION("""COMPUTED_VALUE"""),16.0)</f>
        <v>16</v>
      </c>
      <c r="G204" s="27">
        <f>IFERROR(__xludf.DUMMYFUNCTION("""COMPUTED_VALUE"""),1.0)</f>
        <v>1</v>
      </c>
    </row>
    <row r="205">
      <c r="A205" s="142">
        <f>IFERROR(__xludf.DUMMYFUNCTION("""COMPUTED_VALUE"""),3.0)</f>
        <v>3</v>
      </c>
      <c r="B205" s="16" t="str">
        <f>IFERROR(__xludf.DUMMYFUNCTION("""COMPUTED_VALUE"""),"Chinna Ponnaganti")</f>
        <v>Chinna Ponnaganti</v>
      </c>
      <c r="C205" s="142">
        <f>IFERROR(__xludf.DUMMYFUNCTION("""COMPUTED_VALUE"""),7.0)</f>
        <v>7</v>
      </c>
      <c r="D205" s="142">
        <f>IFERROR(__xludf.DUMMYFUNCTION("""COMPUTED_VALUE"""),4.0)</f>
        <v>4</v>
      </c>
      <c r="E205" s="142">
        <f>IFERROR(__xludf.DUMMYFUNCTION("""COMPUTED_VALUE"""),0.0)</f>
        <v>0</v>
      </c>
      <c r="F205" s="142">
        <f>IFERROR(__xludf.DUMMYFUNCTION("""COMPUTED_VALUE"""),11.0)</f>
        <v>11</v>
      </c>
      <c r="G205" s="27">
        <f>IFERROR(__xludf.DUMMYFUNCTION("""COMPUTED_VALUE"""),1.0)</f>
        <v>1</v>
      </c>
    </row>
    <row r="206">
      <c r="A206" s="142">
        <f>IFERROR(__xludf.DUMMYFUNCTION("""COMPUTED_VALUE"""),3.0)</f>
        <v>3</v>
      </c>
      <c r="B206" s="16" t="str">
        <f>IFERROR(__xludf.DUMMYFUNCTION("""COMPUTED_VALUE"""),"Herman Au")</f>
        <v>Herman Au</v>
      </c>
      <c r="C206" s="142">
        <f>IFERROR(__xludf.DUMMYFUNCTION("""COMPUTED_VALUE"""),6.0)</f>
        <v>6</v>
      </c>
      <c r="D206" s="142">
        <f>IFERROR(__xludf.DUMMYFUNCTION("""COMPUTED_VALUE"""),6.0)</f>
        <v>6</v>
      </c>
      <c r="E206" s="142">
        <f>IFERROR(__xludf.DUMMYFUNCTION("""COMPUTED_VALUE"""),0.0)</f>
        <v>0</v>
      </c>
      <c r="F206" s="142">
        <f>IFERROR(__xludf.DUMMYFUNCTION("""COMPUTED_VALUE"""),12.0)</f>
        <v>12</v>
      </c>
      <c r="G206" s="27">
        <f>IFERROR(__xludf.DUMMYFUNCTION("""COMPUTED_VALUE"""),1.0)</f>
        <v>1</v>
      </c>
    </row>
    <row r="207">
      <c r="A207" s="143">
        <f>IFERROR(__xludf.DUMMYFUNCTION("""COMPUTED_VALUE"""),4.0)</f>
        <v>4</v>
      </c>
      <c r="B207" s="44" t="str">
        <f>IFERROR(__xludf.DUMMYFUNCTION("""COMPUTED_VALUE"""),"Eric Tan")</f>
        <v>Eric Tan</v>
      </c>
      <c r="C207" s="143">
        <f>IFERROR(__xludf.DUMMYFUNCTION("""COMPUTED_VALUE"""),5.0)</f>
        <v>5</v>
      </c>
      <c r="D207" s="143">
        <f>IFERROR(__xludf.DUMMYFUNCTION("""COMPUTED_VALUE"""),4.0)</f>
        <v>4</v>
      </c>
      <c r="E207" s="143">
        <f>IFERROR(__xludf.DUMMYFUNCTION("""COMPUTED_VALUE"""),3.0)</f>
        <v>3</v>
      </c>
      <c r="F207" s="143">
        <f>IFERROR(__xludf.DUMMYFUNCTION("""COMPUTED_VALUE"""),12.0)</f>
        <v>12</v>
      </c>
      <c r="G207" s="46">
        <f>IFERROR(__xludf.DUMMYFUNCTION("""COMPUTED_VALUE"""),0.0)</f>
        <v>0</v>
      </c>
    </row>
    <row r="208">
      <c r="A208" s="143">
        <f>IFERROR(__xludf.DUMMYFUNCTION("""COMPUTED_VALUE"""),4.0)</f>
        <v>4</v>
      </c>
      <c r="B208" s="44" t="str">
        <f>IFERROR(__xludf.DUMMYFUNCTION("""COMPUTED_VALUE"""),"Jimmy Awolesi")</f>
        <v>Jimmy Awolesi</v>
      </c>
      <c r="C208" s="143">
        <f>IFERROR(__xludf.DUMMYFUNCTION("""COMPUTED_VALUE"""),5.0)</f>
        <v>5</v>
      </c>
      <c r="D208" s="143">
        <f>IFERROR(__xludf.DUMMYFUNCTION("""COMPUTED_VALUE"""),6.0)</f>
        <v>6</v>
      </c>
      <c r="E208" s="143">
        <f>IFERROR(__xludf.DUMMYFUNCTION("""COMPUTED_VALUE"""),6.0)</f>
        <v>6</v>
      </c>
      <c r="F208" s="143">
        <f>IFERROR(__xludf.DUMMYFUNCTION("""COMPUTED_VALUE"""),17.0)</f>
        <v>17</v>
      </c>
      <c r="G208" s="46">
        <f>IFERROR(__xludf.DUMMYFUNCTION("""COMPUTED_VALUE"""),2.0)</f>
        <v>2</v>
      </c>
    </row>
    <row r="209">
      <c r="A209" s="143">
        <f>IFERROR(__xludf.DUMMYFUNCTION("""COMPUTED_VALUE"""),4.0)</f>
        <v>4</v>
      </c>
      <c r="B209" s="44" t="str">
        <f>IFERROR(__xludf.DUMMYFUNCTION("""COMPUTED_VALUE"""),"Rajesh Dorairaj")</f>
        <v>Rajesh Dorairaj</v>
      </c>
      <c r="C209" s="143">
        <f>IFERROR(__xludf.DUMMYFUNCTION("""COMPUTED_VALUE"""),7.0)</f>
        <v>7</v>
      </c>
      <c r="D209" s="143">
        <f>IFERROR(__xludf.DUMMYFUNCTION("""COMPUTED_VALUE"""),4.0)</f>
        <v>4</v>
      </c>
      <c r="E209" s="143">
        <f>IFERROR(__xludf.DUMMYFUNCTION("""COMPUTED_VALUE"""),6.0)</f>
        <v>6</v>
      </c>
      <c r="F209" s="143">
        <f>IFERROR(__xludf.DUMMYFUNCTION("""COMPUTED_VALUE"""),17.0)</f>
        <v>17</v>
      </c>
      <c r="G209" s="46">
        <f>IFERROR(__xludf.DUMMYFUNCTION("""COMPUTED_VALUE"""),2.0)</f>
        <v>2</v>
      </c>
    </row>
    <row r="210">
      <c r="A210" s="143">
        <f>IFERROR(__xludf.DUMMYFUNCTION("""COMPUTED_VALUE"""),4.0)</f>
        <v>4</v>
      </c>
      <c r="B210" s="44" t="str">
        <f>IFERROR(__xludf.DUMMYFUNCTION("""COMPUTED_VALUE"""),"Hongyuan Wen")</f>
        <v>Hongyuan Wen</v>
      </c>
      <c r="C210" s="143">
        <f>IFERROR(__xludf.DUMMYFUNCTION("""COMPUTED_VALUE"""),7.0)</f>
        <v>7</v>
      </c>
      <c r="D210" s="143">
        <f>IFERROR(__xludf.DUMMYFUNCTION("""COMPUTED_VALUE"""),6.0)</f>
        <v>6</v>
      </c>
      <c r="E210" s="143">
        <f>IFERROR(__xludf.DUMMYFUNCTION("""COMPUTED_VALUE"""),3.0)</f>
        <v>3</v>
      </c>
      <c r="F210" s="143">
        <f>IFERROR(__xludf.DUMMYFUNCTION("""COMPUTED_VALUE"""),16.0)</f>
        <v>16</v>
      </c>
      <c r="G210" s="46">
        <f>IFERROR(__xludf.DUMMYFUNCTION("""COMPUTED_VALUE"""),2.0)</f>
        <v>2</v>
      </c>
    </row>
    <row r="211">
      <c r="A211" s="142">
        <f>IFERROR(__xludf.DUMMYFUNCTION("""COMPUTED_VALUE"""),5.0)</f>
        <v>5</v>
      </c>
      <c r="B211" s="16" t="str">
        <f>IFERROR(__xludf.DUMMYFUNCTION("""COMPUTED_VALUE"""),"Nicole Ni")</f>
        <v>Nicole Ni</v>
      </c>
      <c r="C211" s="142">
        <f>IFERROR(__xludf.DUMMYFUNCTION("""COMPUTED_VALUE"""),2.0)</f>
        <v>2</v>
      </c>
      <c r="D211" s="142">
        <f>IFERROR(__xludf.DUMMYFUNCTION("""COMPUTED_VALUE"""),6.0)</f>
        <v>6</v>
      </c>
      <c r="E211" s="142">
        <f>IFERROR(__xludf.DUMMYFUNCTION("""COMPUTED_VALUE"""),3.0)</f>
        <v>3</v>
      </c>
      <c r="F211" s="142">
        <f>IFERROR(__xludf.DUMMYFUNCTION("""COMPUTED_VALUE"""),11.0)</f>
        <v>11</v>
      </c>
      <c r="G211" s="27">
        <f>IFERROR(__xludf.DUMMYFUNCTION("""COMPUTED_VALUE"""),1.0)</f>
        <v>1</v>
      </c>
    </row>
    <row r="212">
      <c r="A212" s="142">
        <f>IFERROR(__xludf.DUMMYFUNCTION("""COMPUTED_VALUE"""),5.0)</f>
        <v>5</v>
      </c>
      <c r="B212" s="16" t="str">
        <f>IFERROR(__xludf.DUMMYFUNCTION("""COMPUTED_VALUE"""),"Sandy Weyant")</f>
        <v>Sandy Weyant</v>
      </c>
      <c r="C212" s="142">
        <f>IFERROR(__xludf.DUMMYFUNCTION("""COMPUTED_VALUE"""),6.0)</f>
        <v>6</v>
      </c>
      <c r="D212" s="142">
        <f>IFERROR(__xludf.DUMMYFUNCTION("""COMPUTED_VALUE"""),0.0)</f>
        <v>0</v>
      </c>
      <c r="E212" s="142">
        <f>IFERROR(__xludf.DUMMYFUNCTION("""COMPUTED_VALUE"""),3.0)</f>
        <v>3</v>
      </c>
      <c r="F212" s="142">
        <f>IFERROR(__xludf.DUMMYFUNCTION("""COMPUTED_VALUE"""),9.0)</f>
        <v>9</v>
      </c>
      <c r="G212" s="27">
        <f>IFERROR(__xludf.DUMMYFUNCTION("""COMPUTED_VALUE"""),1.0)</f>
        <v>1</v>
      </c>
    </row>
    <row r="213">
      <c r="A213" s="142">
        <f>IFERROR(__xludf.DUMMYFUNCTION("""COMPUTED_VALUE"""),5.0)</f>
        <v>5</v>
      </c>
      <c r="B213" s="16" t="str">
        <f>IFERROR(__xludf.DUMMYFUNCTION("""COMPUTED_VALUE"""),"Adrian Tay")</f>
        <v>Adrian Tay</v>
      </c>
      <c r="C213" s="142">
        <f>IFERROR(__xludf.DUMMYFUNCTION("""COMPUTED_VALUE"""),6.0)</f>
        <v>6</v>
      </c>
      <c r="D213" s="142">
        <f>IFERROR(__xludf.DUMMYFUNCTION("""COMPUTED_VALUE"""),6.0)</f>
        <v>6</v>
      </c>
      <c r="E213" s="142">
        <f>IFERROR(__xludf.DUMMYFUNCTION("""COMPUTED_VALUE"""),6.0)</f>
        <v>6</v>
      </c>
      <c r="F213" s="142">
        <f>IFERROR(__xludf.DUMMYFUNCTION("""COMPUTED_VALUE"""),18.0)</f>
        <v>18</v>
      </c>
      <c r="G213" s="27">
        <f>IFERROR(__xludf.DUMMYFUNCTION("""COMPUTED_VALUE"""),3.0)</f>
        <v>3</v>
      </c>
    </row>
    <row r="214">
      <c r="A214" s="142">
        <f>IFERROR(__xludf.DUMMYFUNCTION("""COMPUTED_VALUE"""),5.0)</f>
        <v>5</v>
      </c>
      <c r="B214" s="16" t="str">
        <f>IFERROR(__xludf.DUMMYFUNCTION("""COMPUTED_VALUE"""),"Vinaya Kajla")</f>
        <v>Vinaya Kajla</v>
      </c>
      <c r="C214" s="142">
        <f>IFERROR(__xludf.DUMMYFUNCTION("""COMPUTED_VALUE"""),2.0)</f>
        <v>2</v>
      </c>
      <c r="D214" s="142">
        <f>IFERROR(__xludf.DUMMYFUNCTION("""COMPUTED_VALUE"""),0.0)</f>
        <v>0</v>
      </c>
      <c r="E214" s="142">
        <f>IFERROR(__xludf.DUMMYFUNCTION("""COMPUTED_VALUE"""),6.0)</f>
        <v>6</v>
      </c>
      <c r="F214" s="142">
        <f>IFERROR(__xludf.DUMMYFUNCTION("""COMPUTED_VALUE"""),8.0)</f>
        <v>8</v>
      </c>
      <c r="G214" s="27">
        <f>IFERROR(__xludf.DUMMYFUNCTION("""COMPUTED_VALUE"""),1.0)</f>
        <v>1</v>
      </c>
    </row>
    <row r="215">
      <c r="A215" s="143">
        <f>IFERROR(__xludf.DUMMYFUNCTION("""COMPUTED_VALUE"""),6.0)</f>
        <v>6</v>
      </c>
      <c r="B215" s="44" t="str">
        <f>IFERROR(__xludf.DUMMYFUNCTION("""COMPUTED_VALUE"""),"Andrew Wen")</f>
        <v>Andrew Wen</v>
      </c>
      <c r="C215" s="143">
        <f>IFERROR(__xludf.DUMMYFUNCTION("""COMPUTED_VALUE"""),6.0)</f>
        <v>6</v>
      </c>
      <c r="D215" s="143">
        <f>IFERROR(__xludf.DUMMYFUNCTION("""COMPUTED_VALUE"""),4.0)</f>
        <v>4</v>
      </c>
      <c r="E215" s="143">
        <f>IFERROR(__xludf.DUMMYFUNCTION("""COMPUTED_VALUE"""),6.0)</f>
        <v>6</v>
      </c>
      <c r="F215" s="143">
        <f>IFERROR(__xludf.DUMMYFUNCTION("""COMPUTED_VALUE"""),16.0)</f>
        <v>16</v>
      </c>
      <c r="G215" s="46">
        <f>IFERROR(__xludf.DUMMYFUNCTION("""COMPUTED_VALUE"""),2.0)</f>
        <v>2</v>
      </c>
    </row>
    <row r="216">
      <c r="A216" s="143">
        <f>IFERROR(__xludf.DUMMYFUNCTION("""COMPUTED_VALUE"""),6.0)</f>
        <v>6</v>
      </c>
      <c r="B216" s="44" t="str">
        <f>IFERROR(__xludf.DUMMYFUNCTION("""COMPUTED_VALUE"""),"Allen Zhang")</f>
        <v>Allen Zhang</v>
      </c>
      <c r="C216" s="143">
        <f>IFERROR(__xludf.DUMMYFUNCTION("""COMPUTED_VALUE"""),2.0)</f>
        <v>2</v>
      </c>
      <c r="D216" s="143">
        <f>IFERROR(__xludf.DUMMYFUNCTION("""COMPUTED_VALUE"""),6.0)</f>
        <v>6</v>
      </c>
      <c r="E216" s="143">
        <f>IFERROR(__xludf.DUMMYFUNCTION("""COMPUTED_VALUE"""),6.0)</f>
        <v>6</v>
      </c>
      <c r="F216" s="143">
        <f>IFERROR(__xludf.DUMMYFUNCTION("""COMPUTED_VALUE"""),14.0)</f>
        <v>14</v>
      </c>
      <c r="G216" s="46">
        <f>IFERROR(__xludf.DUMMYFUNCTION("""COMPUTED_VALUE"""),2.0)</f>
        <v>2</v>
      </c>
    </row>
    <row r="217">
      <c r="A217" s="143">
        <f>IFERROR(__xludf.DUMMYFUNCTION("""COMPUTED_VALUE"""),6.0)</f>
        <v>6</v>
      </c>
      <c r="B217" s="44" t="str">
        <f>IFERROR(__xludf.DUMMYFUNCTION("""COMPUTED_VALUE"""),"Vicki Martinet")</f>
        <v>Vicki Martinet</v>
      </c>
      <c r="C217" s="143">
        <f>IFERROR(__xludf.DUMMYFUNCTION("""COMPUTED_VALUE"""),2.0)</f>
        <v>2</v>
      </c>
      <c r="D217" s="143">
        <f>IFERROR(__xludf.DUMMYFUNCTION("""COMPUTED_VALUE"""),4.0)</f>
        <v>4</v>
      </c>
      <c r="E217" s="143">
        <f>IFERROR(__xludf.DUMMYFUNCTION("""COMPUTED_VALUE"""),4.0)</f>
        <v>4</v>
      </c>
      <c r="F217" s="143">
        <f>IFERROR(__xludf.DUMMYFUNCTION("""COMPUTED_VALUE"""),10.0)</f>
        <v>10</v>
      </c>
      <c r="G217" s="46">
        <f>IFERROR(__xludf.DUMMYFUNCTION("""COMPUTED_VALUE"""),0.0)</f>
        <v>0</v>
      </c>
    </row>
    <row r="218">
      <c r="A218" s="143">
        <f>IFERROR(__xludf.DUMMYFUNCTION("""COMPUTED_VALUE"""),6.0)</f>
        <v>6</v>
      </c>
      <c r="B218" s="44" t="str">
        <f>IFERROR(__xludf.DUMMYFUNCTION("""COMPUTED_VALUE"""),"Kumar Palakeel")</f>
        <v>Kumar Palakeel</v>
      </c>
      <c r="C218" s="143">
        <f>IFERROR(__xludf.DUMMYFUNCTION("""COMPUTED_VALUE"""),6.0)</f>
        <v>6</v>
      </c>
      <c r="D218" s="143">
        <f>IFERROR(__xludf.DUMMYFUNCTION("""COMPUTED_VALUE"""),6.0)</f>
        <v>6</v>
      </c>
      <c r="E218" s="143">
        <f>IFERROR(__xludf.DUMMYFUNCTION("""COMPUTED_VALUE"""),4.0)</f>
        <v>4</v>
      </c>
      <c r="F218" s="143">
        <f>IFERROR(__xludf.DUMMYFUNCTION("""COMPUTED_VALUE"""),16.0)</f>
        <v>16</v>
      </c>
      <c r="G218" s="46">
        <f>IFERROR(__xludf.DUMMYFUNCTION("""COMPUTED_VALUE"""),2.0)</f>
        <v>2</v>
      </c>
    </row>
    <row r="219">
      <c r="A219" s="142">
        <f>IFERROR(__xludf.DUMMYFUNCTION("""COMPUTED_VALUE"""),7.0)</f>
        <v>7</v>
      </c>
      <c r="B219" s="16" t="str">
        <f>IFERROR(__xludf.DUMMYFUNCTION("""COMPUTED_VALUE"""),"Naveen Raj")</f>
        <v>Naveen Raj</v>
      </c>
      <c r="C219" s="142">
        <f>IFERROR(__xludf.DUMMYFUNCTION("""COMPUTED_VALUE"""),2.0)</f>
        <v>2</v>
      </c>
      <c r="D219" s="142">
        <f>IFERROR(__xludf.DUMMYFUNCTION("""COMPUTED_VALUE"""),6.0)</f>
        <v>6</v>
      </c>
      <c r="E219" s="142">
        <f>IFERROR(__xludf.DUMMYFUNCTION("""COMPUTED_VALUE"""),2.0)</f>
        <v>2</v>
      </c>
      <c r="F219" s="142">
        <f>IFERROR(__xludf.DUMMYFUNCTION("""COMPUTED_VALUE"""),10.0)</f>
        <v>10</v>
      </c>
      <c r="G219" s="27">
        <f>IFERROR(__xludf.DUMMYFUNCTION("""COMPUTED_VALUE"""),1.0)</f>
        <v>1</v>
      </c>
    </row>
    <row r="220">
      <c r="A220" s="142">
        <f>IFERROR(__xludf.DUMMYFUNCTION("""COMPUTED_VALUE"""),7.0)</f>
        <v>7</v>
      </c>
      <c r="B220" s="16" t="str">
        <f>IFERROR(__xludf.DUMMYFUNCTION("""COMPUTED_VALUE"""),"Suleman Alidina")</f>
        <v>Suleman Alidina</v>
      </c>
      <c r="C220" s="142">
        <f>IFERROR(__xludf.DUMMYFUNCTION("""COMPUTED_VALUE"""),6.0)</f>
        <v>6</v>
      </c>
      <c r="D220" s="142">
        <f>IFERROR(__xludf.DUMMYFUNCTION("""COMPUTED_VALUE"""),6.0)</f>
        <v>6</v>
      </c>
      <c r="E220" s="142">
        <f>IFERROR(__xludf.DUMMYFUNCTION("""COMPUTED_VALUE"""),6.0)</f>
        <v>6</v>
      </c>
      <c r="F220" s="142">
        <f>IFERROR(__xludf.DUMMYFUNCTION("""COMPUTED_VALUE"""),18.0)</f>
        <v>18</v>
      </c>
      <c r="G220" s="27">
        <f>IFERROR(__xludf.DUMMYFUNCTION("""COMPUTED_VALUE"""),3.0)</f>
        <v>3</v>
      </c>
    </row>
    <row r="221">
      <c r="A221" s="142">
        <f>IFERROR(__xludf.DUMMYFUNCTION("""COMPUTED_VALUE"""),7.0)</f>
        <v>7</v>
      </c>
      <c r="B221" s="16" t="str">
        <f>IFERROR(__xludf.DUMMYFUNCTION("""COMPUTED_VALUE"""),"Manuel Rivera")</f>
        <v>Manuel Rivera</v>
      </c>
      <c r="C221" s="142">
        <f>IFERROR(__xludf.DUMMYFUNCTION("""COMPUTED_VALUE"""),6.0)</f>
        <v>6</v>
      </c>
      <c r="D221" s="142">
        <f>IFERROR(__xludf.DUMMYFUNCTION("""COMPUTED_VALUE"""),1.0)</f>
        <v>1</v>
      </c>
      <c r="E221" s="142">
        <f>IFERROR(__xludf.DUMMYFUNCTION("""COMPUTED_VALUE"""),2.0)</f>
        <v>2</v>
      </c>
      <c r="F221" s="142">
        <f>IFERROR(__xludf.DUMMYFUNCTION("""COMPUTED_VALUE"""),9.0)</f>
        <v>9</v>
      </c>
      <c r="G221" s="27">
        <f>IFERROR(__xludf.DUMMYFUNCTION("""COMPUTED_VALUE"""),1.0)</f>
        <v>1</v>
      </c>
    </row>
    <row r="222">
      <c r="A222" s="142">
        <f>IFERROR(__xludf.DUMMYFUNCTION("""COMPUTED_VALUE"""),7.0)</f>
        <v>7</v>
      </c>
      <c r="B222" s="16" t="str">
        <f>IFERROR(__xludf.DUMMYFUNCTION("""COMPUTED_VALUE"""),"Saravanan Veerapandian")</f>
        <v>Saravanan Veerapandian</v>
      </c>
      <c r="C222" s="142">
        <f>IFERROR(__xludf.DUMMYFUNCTION("""COMPUTED_VALUE"""),2.0)</f>
        <v>2</v>
      </c>
      <c r="D222" s="142">
        <f>IFERROR(__xludf.DUMMYFUNCTION("""COMPUTED_VALUE"""),1.0)</f>
        <v>1</v>
      </c>
      <c r="E222" s="142">
        <f>IFERROR(__xludf.DUMMYFUNCTION("""COMPUTED_VALUE"""),6.0)</f>
        <v>6</v>
      </c>
      <c r="F222" s="142">
        <f>IFERROR(__xludf.DUMMYFUNCTION("""COMPUTED_VALUE"""),9.0)</f>
        <v>9</v>
      </c>
      <c r="G222" s="27">
        <f>IFERROR(__xludf.DUMMYFUNCTION("""COMPUTED_VALUE"""),1.0)</f>
        <v>1</v>
      </c>
    </row>
    <row r="223">
      <c r="A223" s="143">
        <f>IFERROR(__xludf.DUMMYFUNCTION("""COMPUTED_VALUE"""),8.0)</f>
        <v>8</v>
      </c>
      <c r="B223" s="44" t="str">
        <f>IFERROR(__xludf.DUMMYFUNCTION("""COMPUTED_VALUE"""),"Wayne Liu")</f>
        <v>Wayne Liu</v>
      </c>
      <c r="C223" s="143">
        <f>IFERROR(__xludf.DUMMYFUNCTION("""COMPUTED_VALUE"""),7.0)</f>
        <v>7</v>
      </c>
      <c r="D223" s="143">
        <f>IFERROR(__xludf.DUMMYFUNCTION("""COMPUTED_VALUE"""),6.0)</f>
        <v>6</v>
      </c>
      <c r="E223" s="143">
        <f>IFERROR(__xludf.DUMMYFUNCTION("""COMPUTED_VALUE"""),1.0)</f>
        <v>1</v>
      </c>
      <c r="F223" s="143">
        <f>IFERROR(__xludf.DUMMYFUNCTION("""COMPUTED_VALUE"""),14.0)</f>
        <v>14</v>
      </c>
      <c r="G223" s="46">
        <f>IFERROR(__xludf.DUMMYFUNCTION("""COMPUTED_VALUE"""),2.0)</f>
        <v>2</v>
      </c>
    </row>
    <row r="224">
      <c r="A224" s="143">
        <f>IFERROR(__xludf.DUMMYFUNCTION("""COMPUTED_VALUE"""),8.0)</f>
        <v>8</v>
      </c>
      <c r="B224" s="44" t="str">
        <f>IFERROR(__xludf.DUMMYFUNCTION("""COMPUTED_VALUE"""),"Joyce Zhu")</f>
        <v>Joyce Zhu</v>
      </c>
      <c r="C224" s="143">
        <f>IFERROR(__xludf.DUMMYFUNCTION("""COMPUTED_VALUE"""),5.0)</f>
        <v>5</v>
      </c>
      <c r="D224" s="143">
        <f>IFERROR(__xludf.DUMMYFUNCTION("""COMPUTED_VALUE"""),3.0)</f>
        <v>3</v>
      </c>
      <c r="E224" s="143">
        <f>IFERROR(__xludf.DUMMYFUNCTION("""COMPUTED_VALUE"""),1.0)</f>
        <v>1</v>
      </c>
      <c r="F224" s="143">
        <f>IFERROR(__xludf.DUMMYFUNCTION("""COMPUTED_VALUE"""),9.0)</f>
        <v>9</v>
      </c>
      <c r="G224" s="46">
        <f>IFERROR(__xludf.DUMMYFUNCTION("""COMPUTED_VALUE"""),0.0)</f>
        <v>0</v>
      </c>
    </row>
    <row r="225">
      <c r="A225" s="143">
        <f>IFERROR(__xludf.DUMMYFUNCTION("""COMPUTED_VALUE"""),8.0)</f>
        <v>8</v>
      </c>
      <c r="B225" s="44" t="str">
        <f>IFERROR(__xludf.DUMMYFUNCTION("""COMPUTED_VALUE"""),"Jim Miao")</f>
        <v>Jim Miao</v>
      </c>
      <c r="C225" s="143">
        <f>IFERROR(__xludf.DUMMYFUNCTION("""COMPUTED_VALUE"""),5.0)</f>
        <v>5</v>
      </c>
      <c r="D225" s="143">
        <f>IFERROR(__xludf.DUMMYFUNCTION("""COMPUTED_VALUE"""),6.0)</f>
        <v>6</v>
      </c>
      <c r="E225" s="143">
        <f>IFERROR(__xludf.DUMMYFUNCTION("""COMPUTED_VALUE"""),6.0)</f>
        <v>6</v>
      </c>
      <c r="F225" s="143">
        <f>IFERROR(__xludf.DUMMYFUNCTION("""COMPUTED_VALUE"""),17.0)</f>
        <v>17</v>
      </c>
      <c r="G225" s="46">
        <f>IFERROR(__xludf.DUMMYFUNCTION("""COMPUTED_VALUE"""),2.0)</f>
        <v>2</v>
      </c>
    </row>
    <row r="226">
      <c r="A226" s="143">
        <f>IFERROR(__xludf.DUMMYFUNCTION("""COMPUTED_VALUE"""),8.0)</f>
        <v>8</v>
      </c>
      <c r="B226" s="44" t="str">
        <f>IFERROR(__xludf.DUMMYFUNCTION("""COMPUTED_VALUE"""),"Alejandro Mejia")</f>
        <v>Alejandro Mejia</v>
      </c>
      <c r="C226" s="143">
        <f>IFERROR(__xludf.DUMMYFUNCTION("""COMPUTED_VALUE"""),7.0)</f>
        <v>7</v>
      </c>
      <c r="D226" s="143">
        <f>IFERROR(__xludf.DUMMYFUNCTION("""COMPUTED_VALUE"""),3.0)</f>
        <v>3</v>
      </c>
      <c r="E226" s="143">
        <f>IFERROR(__xludf.DUMMYFUNCTION("""COMPUTED_VALUE"""),6.0)</f>
        <v>6</v>
      </c>
      <c r="F226" s="143">
        <f>IFERROR(__xludf.DUMMYFUNCTION("""COMPUTED_VALUE"""),16.0)</f>
        <v>16</v>
      </c>
      <c r="G226" s="46">
        <f>IFERROR(__xludf.DUMMYFUNCTION("""COMPUTED_VALUE"""),2.0)</f>
        <v>2</v>
      </c>
    </row>
    <row r="227">
      <c r="A227" s="142">
        <f>IFERROR(__xludf.DUMMYFUNCTION("""COMPUTED_VALUE"""),9.0)</f>
        <v>9</v>
      </c>
      <c r="B227" s="16" t="str">
        <f>IFERROR(__xludf.DUMMYFUNCTION("""COMPUTED_VALUE"""),"Scott Li")</f>
        <v>Scott Li</v>
      </c>
      <c r="C227" s="142">
        <f>IFERROR(__xludf.DUMMYFUNCTION("""COMPUTED_VALUE"""),6.0)</f>
        <v>6</v>
      </c>
      <c r="D227" s="142">
        <f>IFERROR(__xludf.DUMMYFUNCTION("""COMPUTED_VALUE"""),3.0)</f>
        <v>3</v>
      </c>
      <c r="E227" s="142">
        <f>IFERROR(__xludf.DUMMYFUNCTION("""COMPUTED_VALUE"""),2.0)</f>
        <v>2</v>
      </c>
      <c r="F227" s="142">
        <f>IFERROR(__xludf.DUMMYFUNCTION("""COMPUTED_VALUE"""),11.0)</f>
        <v>11</v>
      </c>
      <c r="G227" s="27">
        <f>IFERROR(__xludf.DUMMYFUNCTION("""COMPUTED_VALUE"""),1.0)</f>
        <v>1</v>
      </c>
    </row>
    <row r="228">
      <c r="A228" s="142">
        <f>IFERROR(__xludf.DUMMYFUNCTION("""COMPUTED_VALUE"""),9.0)</f>
        <v>9</v>
      </c>
      <c r="B228" s="16" t="str">
        <f>IFERROR(__xludf.DUMMYFUNCTION("""COMPUTED_VALUE"""),"Alex Hou")</f>
        <v>Alex Hou</v>
      </c>
      <c r="C228" s="142">
        <f>IFERROR(__xludf.DUMMYFUNCTION("""COMPUTED_VALUE"""),3.0)</f>
        <v>3</v>
      </c>
      <c r="D228" s="142">
        <f>IFERROR(__xludf.DUMMYFUNCTION("""COMPUTED_VALUE"""),6.0)</f>
        <v>6</v>
      </c>
      <c r="E228" s="142">
        <f>IFERROR(__xludf.DUMMYFUNCTION("""COMPUTED_VALUE"""),2.0)</f>
        <v>2</v>
      </c>
      <c r="F228" s="142">
        <f>IFERROR(__xludf.DUMMYFUNCTION("""COMPUTED_VALUE"""),11.0)</f>
        <v>11</v>
      </c>
      <c r="G228" s="27">
        <f>IFERROR(__xludf.DUMMYFUNCTION("""COMPUTED_VALUE"""),1.0)</f>
        <v>1</v>
      </c>
    </row>
    <row r="229">
      <c r="A229" s="142">
        <f>IFERROR(__xludf.DUMMYFUNCTION("""COMPUTED_VALUE"""),9.0)</f>
        <v>9</v>
      </c>
      <c r="B229" s="16" t="str">
        <f>IFERROR(__xludf.DUMMYFUNCTION("""COMPUTED_VALUE"""),"Tom Le")</f>
        <v>Tom Le</v>
      </c>
      <c r="C229" s="142">
        <f>IFERROR(__xludf.DUMMYFUNCTION("""COMPUTED_VALUE"""),6.0)</f>
        <v>6</v>
      </c>
      <c r="D229" s="142">
        <f>IFERROR(__xludf.DUMMYFUNCTION("""COMPUTED_VALUE"""),6.0)</f>
        <v>6</v>
      </c>
      <c r="E229" s="142">
        <f>IFERROR(__xludf.DUMMYFUNCTION("""COMPUTED_VALUE"""),6.0)</f>
        <v>6</v>
      </c>
      <c r="F229" s="142">
        <f>IFERROR(__xludf.DUMMYFUNCTION("""COMPUTED_VALUE"""),18.0)</f>
        <v>18</v>
      </c>
      <c r="G229" s="27">
        <f>IFERROR(__xludf.DUMMYFUNCTION("""COMPUTED_VALUE"""),3.0)</f>
        <v>3</v>
      </c>
    </row>
    <row r="230">
      <c r="A230" s="142">
        <f>IFERROR(__xludf.DUMMYFUNCTION("""COMPUTED_VALUE"""),9.0)</f>
        <v>9</v>
      </c>
      <c r="B230" s="16" t="str">
        <f>IFERROR(__xludf.DUMMYFUNCTION("""COMPUTED_VALUE"""),"Erik Hoeckmann")</f>
        <v>Erik Hoeckmann</v>
      </c>
      <c r="C230" s="142">
        <f>IFERROR(__xludf.DUMMYFUNCTION("""COMPUTED_VALUE"""),3.0)</f>
        <v>3</v>
      </c>
      <c r="D230" s="142">
        <f>IFERROR(__xludf.DUMMYFUNCTION("""COMPUTED_VALUE"""),3.0)</f>
        <v>3</v>
      </c>
      <c r="E230" s="142">
        <f>IFERROR(__xludf.DUMMYFUNCTION("""COMPUTED_VALUE"""),6.0)</f>
        <v>6</v>
      </c>
      <c r="F230" s="142">
        <f>IFERROR(__xludf.DUMMYFUNCTION("""COMPUTED_VALUE"""),12.0)</f>
        <v>12</v>
      </c>
      <c r="G230" s="27">
        <f>IFERROR(__xludf.DUMMYFUNCTION("""COMPUTED_VALUE"""),1.0)</f>
        <v>1</v>
      </c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45864.0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4.0</v>
      </c>
      <c r="E2" s="1"/>
      <c r="F2" s="1"/>
      <c r="R2" s="17"/>
      <c r="AC2" s="21" t="str">
        <f>text(C1-7,"mm/dd/yy")</f>
        <v>07/19/25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178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</row>
    <row r="5">
      <c r="A5" s="32">
        <v>1.0</v>
      </c>
      <c r="B5" s="33" t="s">
        <v>110</v>
      </c>
      <c r="C5" s="34">
        <v>47.0</v>
      </c>
      <c r="D5" s="34">
        <v>6.0</v>
      </c>
      <c r="E5" s="35">
        <f t="shared" ref="E5:E69" si="2">if(S5&gt;0,(C5-(V5*9)-(T5*13))/S5,0)</f>
        <v>11.75</v>
      </c>
      <c r="F5" s="95">
        <v>1.0</v>
      </c>
      <c r="G5" s="96">
        <v>9.0</v>
      </c>
      <c r="H5" s="97">
        <v>0.0</v>
      </c>
      <c r="I5" s="96">
        <v>4.0</v>
      </c>
      <c r="J5" s="96">
        <v>6.0</v>
      </c>
      <c r="K5" s="96">
        <v>1.0</v>
      </c>
      <c r="L5" s="98">
        <v>11.0</v>
      </c>
      <c r="M5" s="96">
        <v>0.0</v>
      </c>
      <c r="N5" s="34">
        <f t="shared" ref="N5:O5" si="1">C5+L5</f>
        <v>58</v>
      </c>
      <c r="O5" s="34">
        <f t="shared" si="1"/>
        <v>6</v>
      </c>
      <c r="P5" s="49" t="s">
        <v>58</v>
      </c>
      <c r="Q5" s="49" t="s">
        <v>58</v>
      </c>
      <c r="R5" s="49"/>
      <c r="S5" s="52">
        <f t="shared" ref="S5:S69" si="4">if(sum(I5:K5)&gt;0,1,0)+vlookup(B5,indirect("'" &amp; AC$2 &amp; "'!B5:W69"),18,false)</f>
        <v>4</v>
      </c>
      <c r="T5" s="52">
        <f t="shared" ref="T5:T69" si="5">if(H5=13,1,0)+vlookup(B5,indirect("'" &amp; AC$2 &amp; "'!B5:W69"),19,false)</f>
        <v>0</v>
      </c>
      <c r="U5" s="52"/>
      <c r="V5" s="52">
        <f t="shared" ref="V5:V69" si="6">if(H5=9,1,0)+vlookup(B5,indirect("'" &amp; AC$2 &amp; "'!B5:W69"),21,false)</f>
        <v>0</v>
      </c>
      <c r="W5" s="52">
        <f t="shared" ref="W5:W69" si="7">vlookup(B5,indirect("'" &amp; AC$2 &amp; "'!B5:x69"),23,false)-X5</f>
        <v>2</v>
      </c>
      <c r="X5" s="32">
        <v>1.0</v>
      </c>
    </row>
    <row r="6">
      <c r="A6" s="32">
        <f t="shared" ref="A6:A69" si="8">A5+1</f>
        <v>2</v>
      </c>
      <c r="B6" s="33" t="s">
        <v>67</v>
      </c>
      <c r="C6" s="34">
        <v>46.0</v>
      </c>
      <c r="D6" s="34">
        <v>6.0</v>
      </c>
      <c r="E6" s="35">
        <f t="shared" si="2"/>
        <v>12.33333333</v>
      </c>
      <c r="F6" s="95">
        <v>1.0</v>
      </c>
      <c r="G6" s="96">
        <v>9.0</v>
      </c>
      <c r="H6" s="97">
        <v>0.0</v>
      </c>
      <c r="I6" s="96">
        <v>4.0</v>
      </c>
      <c r="J6" s="96">
        <v>7.0</v>
      </c>
      <c r="K6" s="96">
        <v>6.0</v>
      </c>
      <c r="L6" s="98">
        <v>17.0</v>
      </c>
      <c r="M6" s="96">
        <v>2.0</v>
      </c>
      <c r="N6" s="34">
        <f t="shared" ref="N6:O6" si="3">C6+L6</f>
        <v>63</v>
      </c>
      <c r="O6" s="34">
        <f t="shared" si="3"/>
        <v>8</v>
      </c>
      <c r="P6" s="49" t="s">
        <v>58</v>
      </c>
      <c r="Q6" s="49" t="s">
        <v>58</v>
      </c>
      <c r="R6" s="49"/>
      <c r="S6" s="52">
        <f t="shared" si="4"/>
        <v>3</v>
      </c>
      <c r="T6" s="52">
        <f t="shared" si="5"/>
        <v>0</v>
      </c>
      <c r="U6" s="52"/>
      <c r="V6" s="52">
        <f t="shared" si="6"/>
        <v>1</v>
      </c>
      <c r="W6" s="52">
        <f t="shared" si="7"/>
        <v>11</v>
      </c>
      <c r="X6" s="32">
        <f t="shared" ref="X6:X69" si="10">X5+1</f>
        <v>2</v>
      </c>
    </row>
    <row r="7">
      <c r="A7" s="32">
        <f t="shared" si="8"/>
        <v>3</v>
      </c>
      <c r="B7" s="33" t="s">
        <v>98</v>
      </c>
      <c r="C7" s="34">
        <v>46.0</v>
      </c>
      <c r="D7" s="34">
        <v>6.0</v>
      </c>
      <c r="E7" s="35">
        <f t="shared" si="2"/>
        <v>11.5</v>
      </c>
      <c r="F7" s="95">
        <v>1.0</v>
      </c>
      <c r="G7" s="96">
        <v>9.0</v>
      </c>
      <c r="H7" s="97">
        <v>0.0</v>
      </c>
      <c r="I7" s="96">
        <v>6.0</v>
      </c>
      <c r="J7" s="96">
        <v>7.0</v>
      </c>
      <c r="K7" s="96">
        <v>1.0</v>
      </c>
      <c r="L7" s="98">
        <v>14.0</v>
      </c>
      <c r="M7" s="96">
        <v>2.0</v>
      </c>
      <c r="N7" s="34">
        <f t="shared" ref="N7:O7" si="9">C7+L7</f>
        <v>60</v>
      </c>
      <c r="O7" s="34">
        <f t="shared" si="9"/>
        <v>8</v>
      </c>
      <c r="P7" s="49" t="s">
        <v>58</v>
      </c>
      <c r="Q7" s="49" t="s">
        <v>58</v>
      </c>
      <c r="R7" s="49"/>
      <c r="S7" s="52">
        <f t="shared" si="4"/>
        <v>4</v>
      </c>
      <c r="T7" s="52">
        <f t="shared" si="5"/>
        <v>0</v>
      </c>
      <c r="U7" s="52"/>
      <c r="V7" s="52">
        <f t="shared" si="6"/>
        <v>0</v>
      </c>
      <c r="W7" s="52">
        <f t="shared" si="7"/>
        <v>2</v>
      </c>
      <c r="X7" s="32">
        <f t="shared" si="10"/>
        <v>3</v>
      </c>
    </row>
    <row r="8">
      <c r="A8" s="32">
        <f t="shared" si="8"/>
        <v>4</v>
      </c>
      <c r="B8" s="33" t="s">
        <v>73</v>
      </c>
      <c r="C8" s="34">
        <v>46.0</v>
      </c>
      <c r="D8" s="34">
        <v>5.0</v>
      </c>
      <c r="E8" s="35">
        <f t="shared" si="2"/>
        <v>12.33333333</v>
      </c>
      <c r="F8" s="95">
        <v>1.0</v>
      </c>
      <c r="G8" s="96">
        <v>9.0</v>
      </c>
      <c r="H8" s="97">
        <v>0.0</v>
      </c>
      <c r="I8" s="96">
        <v>6.0</v>
      </c>
      <c r="J8" s="96">
        <v>6.0</v>
      </c>
      <c r="K8" s="96">
        <v>6.0</v>
      </c>
      <c r="L8" s="98">
        <v>18.0</v>
      </c>
      <c r="M8" s="96">
        <v>2.0</v>
      </c>
      <c r="N8" s="34">
        <f t="shared" ref="N8:O8" si="11">C8+L8</f>
        <v>64</v>
      </c>
      <c r="O8" s="34">
        <f t="shared" si="11"/>
        <v>7</v>
      </c>
      <c r="P8" s="49" t="s">
        <v>58</v>
      </c>
      <c r="Q8" s="49" t="s">
        <v>58</v>
      </c>
      <c r="R8" s="49"/>
      <c r="S8" s="52">
        <f t="shared" si="4"/>
        <v>3</v>
      </c>
      <c r="T8" s="52">
        <f t="shared" si="5"/>
        <v>0</v>
      </c>
      <c r="U8" s="52"/>
      <c r="V8" s="52">
        <f t="shared" si="6"/>
        <v>1</v>
      </c>
      <c r="W8" s="52">
        <f t="shared" si="7"/>
        <v>14</v>
      </c>
      <c r="X8" s="32">
        <f t="shared" si="10"/>
        <v>4</v>
      </c>
    </row>
    <row r="9">
      <c r="A9" s="32">
        <f t="shared" si="8"/>
        <v>5</v>
      </c>
      <c r="B9" s="33" t="s">
        <v>105</v>
      </c>
      <c r="C9" s="34">
        <v>45.0</v>
      </c>
      <c r="D9" s="34">
        <v>6.0</v>
      </c>
      <c r="E9" s="35">
        <f t="shared" si="2"/>
        <v>13.5</v>
      </c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2">C9+L9</f>
        <v>54</v>
      </c>
      <c r="O9" s="34">
        <f t="shared" si="12"/>
        <v>6</v>
      </c>
      <c r="P9" s="49" t="s">
        <v>58</v>
      </c>
      <c r="Q9" s="49" t="s">
        <v>58</v>
      </c>
      <c r="R9" s="49"/>
      <c r="S9" s="52">
        <f t="shared" si="4"/>
        <v>2</v>
      </c>
      <c r="T9" s="52">
        <f t="shared" si="5"/>
        <v>0</v>
      </c>
      <c r="U9" s="52"/>
      <c r="V9" s="52">
        <f t="shared" si="6"/>
        <v>2</v>
      </c>
      <c r="W9" s="52">
        <f t="shared" si="7"/>
        <v>-4</v>
      </c>
      <c r="X9" s="32">
        <f t="shared" si="10"/>
        <v>5</v>
      </c>
    </row>
    <row r="10">
      <c r="A10" s="32">
        <f t="shared" si="8"/>
        <v>6</v>
      </c>
      <c r="B10" s="33" t="s">
        <v>90</v>
      </c>
      <c r="C10" s="34">
        <v>44.0</v>
      </c>
      <c r="D10" s="34">
        <v>5.0</v>
      </c>
      <c r="E10" s="35">
        <f t="shared" si="2"/>
        <v>10.33333333</v>
      </c>
      <c r="F10" s="95">
        <v>1.0</v>
      </c>
      <c r="G10" s="96">
        <v>1.0</v>
      </c>
      <c r="H10" s="97">
        <v>0.0</v>
      </c>
      <c r="I10" s="96">
        <v>6.0</v>
      </c>
      <c r="J10" s="96">
        <v>6.0</v>
      </c>
      <c r="K10" s="96">
        <v>6.0</v>
      </c>
      <c r="L10" s="98">
        <v>18.0</v>
      </c>
      <c r="M10" s="96">
        <v>3.0</v>
      </c>
      <c r="N10" s="34">
        <f t="shared" ref="N10:O10" si="13">C10+L10</f>
        <v>62</v>
      </c>
      <c r="O10" s="34">
        <f t="shared" si="13"/>
        <v>8</v>
      </c>
      <c r="P10" s="49" t="s">
        <v>58</v>
      </c>
      <c r="Q10" s="49" t="s">
        <v>58</v>
      </c>
      <c r="R10" s="49"/>
      <c r="S10" s="52">
        <f t="shared" si="4"/>
        <v>3</v>
      </c>
      <c r="T10" s="52">
        <f t="shared" si="5"/>
        <v>1</v>
      </c>
      <c r="U10" s="52"/>
      <c r="V10" s="52">
        <f t="shared" si="6"/>
        <v>0</v>
      </c>
      <c r="W10" s="52">
        <f t="shared" si="7"/>
        <v>-2</v>
      </c>
      <c r="X10" s="32">
        <f t="shared" si="10"/>
        <v>6</v>
      </c>
    </row>
    <row r="11">
      <c r="A11" s="32">
        <f t="shared" si="8"/>
        <v>7</v>
      </c>
      <c r="B11" s="33" t="s">
        <v>91</v>
      </c>
      <c r="C11" s="34">
        <v>43.0</v>
      </c>
      <c r="D11" s="34">
        <v>6.0</v>
      </c>
      <c r="E11" s="35">
        <f t="shared" si="2"/>
        <v>10.75</v>
      </c>
      <c r="F11" s="95">
        <v>1.0</v>
      </c>
      <c r="G11" s="96">
        <v>1.0</v>
      </c>
      <c r="H11" s="97">
        <v>0.0</v>
      </c>
      <c r="I11" s="96">
        <v>6.0</v>
      </c>
      <c r="J11" s="96">
        <v>0.0</v>
      </c>
      <c r="K11" s="96">
        <v>4.0</v>
      </c>
      <c r="L11" s="98">
        <v>10.0</v>
      </c>
      <c r="M11" s="96">
        <v>1.0</v>
      </c>
      <c r="N11" s="34">
        <f t="shared" ref="N11:O11" si="14">C11+L11</f>
        <v>53</v>
      </c>
      <c r="O11" s="34">
        <f t="shared" si="14"/>
        <v>7</v>
      </c>
      <c r="P11" s="49" t="s">
        <v>58</v>
      </c>
      <c r="Q11" s="49" t="s">
        <v>58</v>
      </c>
      <c r="R11" s="49"/>
      <c r="S11" s="52">
        <f t="shared" si="4"/>
        <v>4</v>
      </c>
      <c r="T11" s="52">
        <f t="shared" si="5"/>
        <v>0</v>
      </c>
      <c r="U11" s="52"/>
      <c r="V11" s="52">
        <f t="shared" si="6"/>
        <v>0</v>
      </c>
      <c r="W11" s="52">
        <f t="shared" si="7"/>
        <v>0</v>
      </c>
      <c r="X11" s="32">
        <f t="shared" si="10"/>
        <v>7</v>
      </c>
    </row>
    <row r="12">
      <c r="A12" s="32">
        <f t="shared" si="8"/>
        <v>8</v>
      </c>
      <c r="B12" s="33" t="s">
        <v>106</v>
      </c>
      <c r="C12" s="34">
        <v>43.0</v>
      </c>
      <c r="D12" s="34">
        <v>4.0</v>
      </c>
      <c r="E12" s="35">
        <f t="shared" si="2"/>
        <v>10.5</v>
      </c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5">C12+L12</f>
        <v>52</v>
      </c>
      <c r="O12" s="34">
        <f t="shared" si="15"/>
        <v>4</v>
      </c>
      <c r="P12" s="49" t="s">
        <v>58</v>
      </c>
      <c r="Q12" s="49" t="s">
        <v>58</v>
      </c>
      <c r="R12" s="49"/>
      <c r="S12" s="52">
        <f t="shared" si="4"/>
        <v>2</v>
      </c>
      <c r="T12" s="52">
        <f t="shared" si="5"/>
        <v>1</v>
      </c>
      <c r="U12" s="52"/>
      <c r="V12" s="52">
        <f t="shared" si="6"/>
        <v>1</v>
      </c>
      <c r="W12" s="52">
        <f t="shared" si="7"/>
        <v>-2</v>
      </c>
      <c r="X12" s="32">
        <f t="shared" si="10"/>
        <v>8</v>
      </c>
    </row>
    <row r="13">
      <c r="A13" s="32">
        <f t="shared" si="8"/>
        <v>9</v>
      </c>
      <c r="B13" s="33" t="s">
        <v>87</v>
      </c>
      <c r="C13" s="34">
        <v>42.0</v>
      </c>
      <c r="D13" s="34">
        <v>5.0</v>
      </c>
      <c r="E13" s="35">
        <f t="shared" si="2"/>
        <v>11</v>
      </c>
      <c r="F13" s="95">
        <v>1.0</v>
      </c>
      <c r="G13" s="96">
        <v>1.0</v>
      </c>
      <c r="H13" s="97">
        <v>0.0</v>
      </c>
      <c r="I13" s="96">
        <v>4.0</v>
      </c>
      <c r="J13" s="96">
        <v>0.0</v>
      </c>
      <c r="K13" s="96">
        <v>6.0</v>
      </c>
      <c r="L13" s="98">
        <v>10.0</v>
      </c>
      <c r="M13" s="96">
        <v>1.0</v>
      </c>
      <c r="N13" s="34">
        <f t="shared" ref="N13:O13" si="16">C13+L13</f>
        <v>52</v>
      </c>
      <c r="O13" s="34">
        <f t="shared" si="16"/>
        <v>6</v>
      </c>
      <c r="P13" s="49" t="s">
        <v>58</v>
      </c>
      <c r="Q13" s="49" t="s">
        <v>58</v>
      </c>
      <c r="R13" s="49"/>
      <c r="S13" s="52">
        <f t="shared" si="4"/>
        <v>3</v>
      </c>
      <c r="T13" s="52">
        <f t="shared" si="5"/>
        <v>0</v>
      </c>
      <c r="U13" s="52"/>
      <c r="V13" s="52">
        <f t="shared" si="6"/>
        <v>1</v>
      </c>
      <c r="W13" s="52">
        <f t="shared" si="7"/>
        <v>20</v>
      </c>
      <c r="X13" s="32">
        <f t="shared" si="10"/>
        <v>9</v>
      </c>
    </row>
    <row r="14">
      <c r="A14" s="32">
        <f t="shared" si="8"/>
        <v>10</v>
      </c>
      <c r="B14" s="33" t="s">
        <v>83</v>
      </c>
      <c r="C14" s="34">
        <v>41.0</v>
      </c>
      <c r="D14" s="34">
        <v>4.0</v>
      </c>
      <c r="E14" s="35">
        <f t="shared" si="2"/>
        <v>10.66666667</v>
      </c>
      <c r="F14" s="95">
        <v>1.0</v>
      </c>
      <c r="G14" s="96">
        <v>1.0</v>
      </c>
      <c r="H14" s="97">
        <v>0.0</v>
      </c>
      <c r="I14" s="96">
        <v>4.0</v>
      </c>
      <c r="J14" s="96">
        <v>6.0</v>
      </c>
      <c r="K14" s="96">
        <v>4.0</v>
      </c>
      <c r="L14" s="98">
        <v>14.0</v>
      </c>
      <c r="M14" s="96">
        <v>1.0</v>
      </c>
      <c r="N14" s="34">
        <f t="shared" ref="N14:O14" si="17">C14+L14</f>
        <v>55</v>
      </c>
      <c r="O14" s="34">
        <f t="shared" si="17"/>
        <v>5</v>
      </c>
      <c r="P14" s="49" t="s">
        <v>58</v>
      </c>
      <c r="Q14" s="49" t="s">
        <v>58</v>
      </c>
      <c r="R14" s="49"/>
      <c r="S14" s="52">
        <f t="shared" si="4"/>
        <v>3</v>
      </c>
      <c r="T14" s="52">
        <f t="shared" si="5"/>
        <v>0</v>
      </c>
      <c r="U14" s="52"/>
      <c r="V14" s="52">
        <f t="shared" si="6"/>
        <v>1</v>
      </c>
      <c r="W14" s="52">
        <f t="shared" si="7"/>
        <v>23</v>
      </c>
      <c r="X14" s="32">
        <f t="shared" si="10"/>
        <v>10</v>
      </c>
    </row>
    <row r="15">
      <c r="A15" s="32">
        <f t="shared" si="8"/>
        <v>11</v>
      </c>
      <c r="B15" s="33" t="s">
        <v>94</v>
      </c>
      <c r="C15" s="34">
        <v>41.0</v>
      </c>
      <c r="D15" s="34">
        <v>3.0</v>
      </c>
      <c r="E15" s="35">
        <f t="shared" si="2"/>
        <v>10.25</v>
      </c>
      <c r="F15" s="95">
        <v>1.0</v>
      </c>
      <c r="G15" s="96">
        <v>2.0</v>
      </c>
      <c r="H15" s="97">
        <v>0.0</v>
      </c>
      <c r="I15" s="96">
        <v>6.0</v>
      </c>
      <c r="J15" s="96">
        <v>6.0</v>
      </c>
      <c r="K15" s="96">
        <v>6.0</v>
      </c>
      <c r="L15" s="98">
        <v>18.0</v>
      </c>
      <c r="M15" s="96">
        <v>2.0</v>
      </c>
      <c r="N15" s="34">
        <f t="shared" ref="N15:O15" si="18">C15+L15</f>
        <v>59</v>
      </c>
      <c r="O15" s="34">
        <f t="shared" si="18"/>
        <v>5</v>
      </c>
      <c r="P15" s="49" t="s">
        <v>58</v>
      </c>
      <c r="Q15" s="49" t="s">
        <v>58</v>
      </c>
      <c r="R15" s="49"/>
      <c r="S15" s="52">
        <f t="shared" si="4"/>
        <v>4</v>
      </c>
      <c r="T15" s="52">
        <f t="shared" si="5"/>
        <v>0</v>
      </c>
      <c r="U15" s="52"/>
      <c r="V15" s="52">
        <f t="shared" si="6"/>
        <v>0</v>
      </c>
      <c r="W15" s="52">
        <f t="shared" si="7"/>
        <v>-9</v>
      </c>
      <c r="X15" s="32">
        <f t="shared" si="10"/>
        <v>11</v>
      </c>
    </row>
    <row r="16">
      <c r="A16" s="32">
        <f t="shared" si="8"/>
        <v>12</v>
      </c>
      <c r="B16" s="33" t="s">
        <v>107</v>
      </c>
      <c r="C16" s="34">
        <v>40.0</v>
      </c>
      <c r="D16" s="34">
        <v>4.0</v>
      </c>
      <c r="E16" s="35">
        <f t="shared" si="2"/>
        <v>11</v>
      </c>
      <c r="F16" s="95">
        <v>3.0</v>
      </c>
      <c r="G16" s="96">
        <v>0.0</v>
      </c>
      <c r="H16" s="97">
        <v>9.0</v>
      </c>
      <c r="I16" s="96">
        <v>0.0</v>
      </c>
      <c r="J16" s="96">
        <v>0.0</v>
      </c>
      <c r="K16" s="96">
        <v>0.0</v>
      </c>
      <c r="L16" s="98">
        <v>9.0</v>
      </c>
      <c r="M16" s="96">
        <v>0.0</v>
      </c>
      <c r="N16" s="34">
        <f t="shared" ref="N16:O16" si="19">C16+L16</f>
        <v>49</v>
      </c>
      <c r="O16" s="34">
        <f t="shared" si="19"/>
        <v>4</v>
      </c>
      <c r="P16" s="49" t="s">
        <v>58</v>
      </c>
      <c r="Q16" s="49" t="s">
        <v>58</v>
      </c>
      <c r="R16" s="49"/>
      <c r="S16" s="52">
        <f t="shared" si="4"/>
        <v>2</v>
      </c>
      <c r="T16" s="52">
        <f t="shared" si="5"/>
        <v>0</v>
      </c>
      <c r="U16" s="52"/>
      <c r="V16" s="52">
        <f t="shared" si="6"/>
        <v>2</v>
      </c>
      <c r="W16" s="52">
        <f t="shared" si="7"/>
        <v>25</v>
      </c>
      <c r="X16" s="32">
        <f t="shared" si="10"/>
        <v>12</v>
      </c>
    </row>
    <row r="17">
      <c r="A17" s="32">
        <f t="shared" si="8"/>
        <v>13</v>
      </c>
      <c r="B17" s="33" t="s">
        <v>111</v>
      </c>
      <c r="C17" s="34">
        <v>40.0</v>
      </c>
      <c r="D17" s="34">
        <v>3.0</v>
      </c>
      <c r="E17" s="35">
        <f t="shared" si="2"/>
        <v>9</v>
      </c>
      <c r="F17" s="95">
        <v>5.0</v>
      </c>
      <c r="G17" s="96">
        <v>0.0</v>
      </c>
      <c r="H17" s="97">
        <v>13.0</v>
      </c>
      <c r="I17" s="96">
        <v>0.0</v>
      </c>
      <c r="J17" s="96">
        <v>0.0</v>
      </c>
      <c r="K17" s="96">
        <v>0.0</v>
      </c>
      <c r="L17" s="98">
        <v>13.0</v>
      </c>
      <c r="M17" s="96">
        <v>0.0</v>
      </c>
      <c r="N17" s="34">
        <f t="shared" ref="N17:O17" si="20">C17+L17</f>
        <v>53</v>
      </c>
      <c r="O17" s="34">
        <f t="shared" si="20"/>
        <v>3</v>
      </c>
      <c r="P17" s="49" t="s">
        <v>58</v>
      </c>
      <c r="Q17" s="49" t="s">
        <v>58</v>
      </c>
      <c r="R17" s="49"/>
      <c r="S17" s="52">
        <f t="shared" si="4"/>
        <v>2</v>
      </c>
      <c r="T17" s="52">
        <f t="shared" si="5"/>
        <v>1</v>
      </c>
      <c r="U17" s="52"/>
      <c r="V17" s="52">
        <f t="shared" si="6"/>
        <v>1</v>
      </c>
      <c r="W17" s="52">
        <f t="shared" si="7"/>
        <v>23</v>
      </c>
      <c r="X17" s="32">
        <f t="shared" si="10"/>
        <v>13</v>
      </c>
    </row>
    <row r="18">
      <c r="A18" s="32">
        <f t="shared" si="8"/>
        <v>14</v>
      </c>
      <c r="B18" s="33" t="s">
        <v>103</v>
      </c>
      <c r="C18" s="34">
        <v>39.0</v>
      </c>
      <c r="D18" s="34">
        <v>5.0</v>
      </c>
      <c r="E18" s="35">
        <f t="shared" si="2"/>
        <v>9.75</v>
      </c>
      <c r="F18" s="95">
        <v>2.0</v>
      </c>
      <c r="G18" s="96">
        <v>2.0</v>
      </c>
      <c r="H18" s="97">
        <v>0.0</v>
      </c>
      <c r="I18" s="96">
        <v>4.0</v>
      </c>
      <c r="J18" s="96">
        <v>6.0</v>
      </c>
      <c r="K18" s="96">
        <v>2.0</v>
      </c>
      <c r="L18" s="98">
        <v>12.0</v>
      </c>
      <c r="M18" s="96">
        <v>0.0</v>
      </c>
      <c r="N18" s="34">
        <f t="shared" ref="N18:O18" si="21">C18+L18</f>
        <v>51</v>
      </c>
      <c r="O18" s="34">
        <f t="shared" si="21"/>
        <v>5</v>
      </c>
      <c r="P18" s="49" t="s">
        <v>58</v>
      </c>
      <c r="Q18" s="49" t="s">
        <v>58</v>
      </c>
      <c r="R18" s="49"/>
      <c r="S18" s="52">
        <f t="shared" si="4"/>
        <v>4</v>
      </c>
      <c r="T18" s="52">
        <f t="shared" si="5"/>
        <v>0</v>
      </c>
      <c r="U18" s="52"/>
      <c r="V18" s="52">
        <f t="shared" si="6"/>
        <v>0</v>
      </c>
      <c r="W18" s="52">
        <f t="shared" si="7"/>
        <v>-2</v>
      </c>
      <c r="X18" s="32">
        <f t="shared" si="10"/>
        <v>14</v>
      </c>
    </row>
    <row r="19">
      <c r="A19" s="32">
        <f t="shared" si="8"/>
        <v>15</v>
      </c>
      <c r="B19" s="33" t="s">
        <v>125</v>
      </c>
      <c r="C19" s="34">
        <v>39.0</v>
      </c>
      <c r="D19" s="34">
        <v>4.0</v>
      </c>
      <c r="E19" s="35">
        <f t="shared" si="2"/>
        <v>9.75</v>
      </c>
      <c r="F19" s="95">
        <v>1.0</v>
      </c>
      <c r="G19" s="96">
        <v>2.0</v>
      </c>
      <c r="H19" s="97">
        <v>0.0</v>
      </c>
      <c r="I19" s="96">
        <v>4.0</v>
      </c>
      <c r="J19" s="96">
        <v>7.0</v>
      </c>
      <c r="K19" s="96">
        <v>6.0</v>
      </c>
      <c r="L19" s="98">
        <v>17.0</v>
      </c>
      <c r="M19" s="96">
        <v>2.0</v>
      </c>
      <c r="N19" s="34">
        <f t="shared" ref="N19:O19" si="22">C19+L19</f>
        <v>56</v>
      </c>
      <c r="O19" s="34">
        <f t="shared" si="22"/>
        <v>6</v>
      </c>
      <c r="P19" s="49" t="s">
        <v>58</v>
      </c>
      <c r="Q19" s="49" t="s">
        <v>58</v>
      </c>
      <c r="R19" s="49"/>
      <c r="S19" s="52">
        <f t="shared" si="4"/>
        <v>4</v>
      </c>
      <c r="T19" s="52">
        <f t="shared" si="5"/>
        <v>0</v>
      </c>
      <c r="U19" s="52"/>
      <c r="V19" s="52">
        <f t="shared" si="6"/>
        <v>0</v>
      </c>
      <c r="W19" s="52">
        <f t="shared" si="7"/>
        <v>-4</v>
      </c>
      <c r="X19" s="32">
        <f t="shared" si="10"/>
        <v>15</v>
      </c>
    </row>
    <row r="20">
      <c r="A20" s="32">
        <f t="shared" si="8"/>
        <v>16</v>
      </c>
      <c r="B20" s="33" t="s">
        <v>89</v>
      </c>
      <c r="C20" s="34">
        <v>39.0</v>
      </c>
      <c r="D20" s="34">
        <v>4.0</v>
      </c>
      <c r="E20" s="35">
        <f t="shared" si="2"/>
        <v>10</v>
      </c>
      <c r="F20" s="95">
        <v>1.0</v>
      </c>
      <c r="G20" s="96">
        <v>2.0</v>
      </c>
      <c r="H20" s="97">
        <v>0.0</v>
      </c>
      <c r="I20" s="96">
        <v>6.0</v>
      </c>
      <c r="J20" s="96">
        <v>7.0</v>
      </c>
      <c r="K20" s="96">
        <v>2.0</v>
      </c>
      <c r="L20" s="98">
        <v>15.0</v>
      </c>
      <c r="M20" s="96">
        <v>2.0</v>
      </c>
      <c r="N20" s="34">
        <f t="shared" ref="N20:O20" si="23">C20+L20</f>
        <v>54</v>
      </c>
      <c r="O20" s="34">
        <f t="shared" si="23"/>
        <v>6</v>
      </c>
      <c r="P20" s="49" t="s">
        <v>58</v>
      </c>
      <c r="Q20" s="49" t="s">
        <v>58</v>
      </c>
      <c r="R20" s="49"/>
      <c r="S20" s="52">
        <f t="shared" si="4"/>
        <v>3</v>
      </c>
      <c r="T20" s="52">
        <f t="shared" si="5"/>
        <v>0</v>
      </c>
      <c r="U20" s="52"/>
      <c r="V20" s="52">
        <f t="shared" si="6"/>
        <v>1</v>
      </c>
      <c r="W20" s="52">
        <f t="shared" si="7"/>
        <v>-8</v>
      </c>
      <c r="X20" s="32">
        <f t="shared" si="10"/>
        <v>16</v>
      </c>
    </row>
    <row r="21">
      <c r="A21" s="32">
        <f t="shared" si="8"/>
        <v>17</v>
      </c>
      <c r="B21" s="33" t="s">
        <v>132</v>
      </c>
      <c r="C21" s="34">
        <v>39.0</v>
      </c>
      <c r="D21" s="34">
        <v>3.0</v>
      </c>
      <c r="E21" s="35">
        <f t="shared" si="2"/>
        <v>10</v>
      </c>
      <c r="F21" s="95">
        <v>1.0</v>
      </c>
      <c r="G21" s="96">
        <v>3.0</v>
      </c>
      <c r="H21" s="97">
        <v>0.0</v>
      </c>
      <c r="I21" s="96">
        <v>6.0</v>
      </c>
      <c r="J21" s="96">
        <v>6.0</v>
      </c>
      <c r="K21" s="96">
        <v>0.0</v>
      </c>
      <c r="L21" s="98">
        <v>12.0</v>
      </c>
      <c r="M21" s="96">
        <v>2.0</v>
      </c>
      <c r="N21" s="34">
        <f t="shared" ref="N21:O21" si="24">C21+L21</f>
        <v>51</v>
      </c>
      <c r="O21" s="34">
        <f t="shared" si="24"/>
        <v>5</v>
      </c>
      <c r="P21" s="49" t="s">
        <v>58</v>
      </c>
      <c r="Q21" s="49" t="s">
        <v>58</v>
      </c>
      <c r="R21" s="49"/>
      <c r="S21" s="52">
        <f t="shared" si="4"/>
        <v>3</v>
      </c>
      <c r="T21" s="52">
        <f t="shared" si="5"/>
        <v>0</v>
      </c>
      <c r="U21" s="52"/>
      <c r="V21" s="52">
        <f t="shared" si="6"/>
        <v>1</v>
      </c>
      <c r="W21" s="52">
        <f t="shared" si="7"/>
        <v>4</v>
      </c>
      <c r="X21" s="32">
        <f t="shared" si="10"/>
        <v>17</v>
      </c>
    </row>
    <row r="22">
      <c r="A22" s="32">
        <f t="shared" si="8"/>
        <v>18</v>
      </c>
      <c r="B22" s="33" t="s">
        <v>128</v>
      </c>
      <c r="C22" s="34">
        <v>39.0</v>
      </c>
      <c r="D22" s="34">
        <v>3.0</v>
      </c>
      <c r="E22" s="35">
        <f t="shared" si="2"/>
        <v>10</v>
      </c>
      <c r="F22" s="95">
        <v>1.0</v>
      </c>
      <c r="G22" s="96">
        <v>3.0</v>
      </c>
      <c r="H22" s="97">
        <v>0.0</v>
      </c>
      <c r="I22" s="96">
        <v>0.0</v>
      </c>
      <c r="J22" s="96">
        <v>6.0</v>
      </c>
      <c r="K22" s="96">
        <v>6.0</v>
      </c>
      <c r="L22" s="98">
        <v>12.0</v>
      </c>
      <c r="M22" s="96">
        <v>2.0</v>
      </c>
      <c r="N22" s="34">
        <f t="shared" ref="N22:O22" si="25">C22+L22</f>
        <v>51</v>
      </c>
      <c r="O22" s="34">
        <f t="shared" si="25"/>
        <v>5</v>
      </c>
      <c r="P22" s="49" t="s">
        <v>58</v>
      </c>
      <c r="Q22" s="49" t="s">
        <v>58</v>
      </c>
      <c r="R22" s="49"/>
      <c r="S22" s="52">
        <f t="shared" si="4"/>
        <v>3</v>
      </c>
      <c r="T22" s="52">
        <f t="shared" si="5"/>
        <v>0</v>
      </c>
      <c r="U22" s="52"/>
      <c r="V22" s="52">
        <f t="shared" si="6"/>
        <v>1</v>
      </c>
      <c r="W22" s="52">
        <f t="shared" si="7"/>
        <v>4</v>
      </c>
      <c r="X22" s="32">
        <f t="shared" si="10"/>
        <v>18</v>
      </c>
    </row>
    <row r="23">
      <c r="A23" s="32">
        <f t="shared" si="8"/>
        <v>19</v>
      </c>
      <c r="B23" s="33" t="s">
        <v>66</v>
      </c>
      <c r="C23" s="34">
        <v>39.0</v>
      </c>
      <c r="D23" s="34">
        <v>2.0</v>
      </c>
      <c r="E23" s="35">
        <f t="shared" si="2"/>
        <v>9.75</v>
      </c>
      <c r="F23" s="95">
        <v>1.0</v>
      </c>
      <c r="G23" s="96">
        <v>3.0</v>
      </c>
      <c r="H23" s="97">
        <v>0.0</v>
      </c>
      <c r="I23" s="96">
        <v>0.0</v>
      </c>
      <c r="J23" s="96">
        <v>4.0</v>
      </c>
      <c r="K23" s="96">
        <v>0.0</v>
      </c>
      <c r="L23" s="98">
        <v>4.0</v>
      </c>
      <c r="M23" s="96">
        <v>0.0</v>
      </c>
      <c r="N23" s="34">
        <f t="shared" ref="N23:O23" si="26">C23+L23</f>
        <v>43</v>
      </c>
      <c r="O23" s="34">
        <f t="shared" si="26"/>
        <v>2</v>
      </c>
      <c r="P23" s="49" t="s">
        <v>58</v>
      </c>
      <c r="Q23" s="49" t="s">
        <v>58</v>
      </c>
      <c r="R23" s="49"/>
      <c r="S23" s="52">
        <f t="shared" si="4"/>
        <v>4</v>
      </c>
      <c r="T23" s="52">
        <f t="shared" si="5"/>
        <v>0</v>
      </c>
      <c r="U23" s="52"/>
      <c r="V23" s="52">
        <f t="shared" si="6"/>
        <v>0</v>
      </c>
      <c r="W23" s="52">
        <f t="shared" si="7"/>
        <v>4</v>
      </c>
      <c r="X23" s="32">
        <f t="shared" si="10"/>
        <v>19</v>
      </c>
    </row>
    <row r="24">
      <c r="A24" s="32">
        <f t="shared" si="8"/>
        <v>20</v>
      </c>
      <c r="B24" s="33" t="s">
        <v>84</v>
      </c>
      <c r="C24" s="34">
        <v>38.0</v>
      </c>
      <c r="D24" s="34">
        <v>4.0</v>
      </c>
      <c r="E24" s="35">
        <f t="shared" si="2"/>
        <v>9.666666667</v>
      </c>
      <c r="F24" s="95">
        <v>1.0</v>
      </c>
      <c r="G24" s="96">
        <v>3.0</v>
      </c>
      <c r="H24" s="97">
        <v>0.0</v>
      </c>
      <c r="I24" s="96">
        <v>6.0</v>
      </c>
      <c r="J24" s="96">
        <v>4.0</v>
      </c>
      <c r="K24" s="96">
        <v>6.0</v>
      </c>
      <c r="L24" s="98">
        <v>16.0</v>
      </c>
      <c r="M24" s="96">
        <v>2.0</v>
      </c>
      <c r="N24" s="34">
        <f t="shared" ref="N24:O24" si="27">C24+L24</f>
        <v>54</v>
      </c>
      <c r="O24" s="34">
        <f t="shared" si="27"/>
        <v>6</v>
      </c>
      <c r="P24" s="49" t="s">
        <v>58</v>
      </c>
      <c r="Q24" s="49" t="s">
        <v>58</v>
      </c>
      <c r="R24" s="49"/>
      <c r="S24" s="52">
        <f t="shared" si="4"/>
        <v>3</v>
      </c>
      <c r="T24" s="52">
        <f t="shared" si="5"/>
        <v>0</v>
      </c>
      <c r="U24" s="52"/>
      <c r="V24" s="52">
        <f t="shared" si="6"/>
        <v>1</v>
      </c>
      <c r="W24" s="52">
        <f t="shared" si="7"/>
        <v>-4</v>
      </c>
      <c r="X24" s="32">
        <f t="shared" si="10"/>
        <v>20</v>
      </c>
    </row>
    <row r="25">
      <c r="A25" s="32">
        <f t="shared" si="8"/>
        <v>21</v>
      </c>
      <c r="B25" s="33" t="s">
        <v>60</v>
      </c>
      <c r="C25" s="34">
        <v>38.0</v>
      </c>
      <c r="D25" s="34">
        <v>4.0</v>
      </c>
      <c r="E25" s="35">
        <f t="shared" si="2"/>
        <v>9.5</v>
      </c>
      <c r="F25" s="95">
        <v>1.0</v>
      </c>
      <c r="G25" s="96">
        <v>4.0</v>
      </c>
      <c r="H25" s="97">
        <v>0.0</v>
      </c>
      <c r="I25" s="96">
        <v>6.0</v>
      </c>
      <c r="J25" s="96">
        <v>6.0</v>
      </c>
      <c r="K25" s="96">
        <v>2.0</v>
      </c>
      <c r="L25" s="98">
        <v>14.0</v>
      </c>
      <c r="M25" s="96">
        <v>2.0</v>
      </c>
      <c r="N25" s="34">
        <f t="shared" ref="N25:O25" si="28">C25+L25</f>
        <v>52</v>
      </c>
      <c r="O25" s="34">
        <f t="shared" si="28"/>
        <v>6</v>
      </c>
      <c r="P25" s="49" t="s">
        <v>58</v>
      </c>
      <c r="Q25" s="49" t="s">
        <v>58</v>
      </c>
      <c r="R25" s="49"/>
      <c r="S25" s="52">
        <f t="shared" si="4"/>
        <v>4</v>
      </c>
      <c r="T25" s="52">
        <f t="shared" si="5"/>
        <v>0</v>
      </c>
      <c r="U25" s="52"/>
      <c r="V25" s="52">
        <f t="shared" si="6"/>
        <v>0</v>
      </c>
      <c r="W25" s="52">
        <f t="shared" si="7"/>
        <v>14</v>
      </c>
      <c r="X25" s="32">
        <f t="shared" si="10"/>
        <v>21</v>
      </c>
    </row>
    <row r="26">
      <c r="A26" s="32">
        <f t="shared" si="8"/>
        <v>22</v>
      </c>
      <c r="B26" s="33" t="s">
        <v>99</v>
      </c>
      <c r="C26" s="34">
        <v>38.0</v>
      </c>
      <c r="D26" s="34">
        <v>4.0</v>
      </c>
      <c r="E26" s="35">
        <f t="shared" si="2"/>
        <v>9.666666667</v>
      </c>
      <c r="F26" s="95">
        <v>1.0</v>
      </c>
      <c r="G26" s="96">
        <v>4.0</v>
      </c>
      <c r="H26" s="97">
        <v>0.0</v>
      </c>
      <c r="I26" s="96">
        <v>4.0</v>
      </c>
      <c r="J26" s="96">
        <v>4.0</v>
      </c>
      <c r="K26" s="96">
        <v>2.0</v>
      </c>
      <c r="L26" s="98">
        <v>10.0</v>
      </c>
      <c r="M26" s="96">
        <v>0.0</v>
      </c>
      <c r="N26" s="34">
        <f t="shared" ref="N26:O26" si="29">C26+L26</f>
        <v>48</v>
      </c>
      <c r="O26" s="34">
        <f t="shared" si="29"/>
        <v>4</v>
      </c>
      <c r="P26" s="49" t="s">
        <v>58</v>
      </c>
      <c r="Q26" s="49" t="s">
        <v>58</v>
      </c>
      <c r="R26" s="49"/>
      <c r="S26" s="52">
        <f t="shared" si="4"/>
        <v>3</v>
      </c>
      <c r="T26" s="52">
        <f t="shared" si="5"/>
        <v>0</v>
      </c>
      <c r="U26" s="52"/>
      <c r="V26" s="52">
        <f t="shared" si="6"/>
        <v>1</v>
      </c>
      <c r="W26" s="52">
        <f t="shared" si="7"/>
        <v>23</v>
      </c>
      <c r="X26" s="32">
        <f t="shared" si="10"/>
        <v>22</v>
      </c>
    </row>
    <row r="27">
      <c r="A27" s="32">
        <f t="shared" si="8"/>
        <v>23</v>
      </c>
      <c r="B27" s="33" t="s">
        <v>100</v>
      </c>
      <c r="C27" s="34">
        <v>38.0</v>
      </c>
      <c r="D27" s="34">
        <v>4.0</v>
      </c>
      <c r="E27" s="35">
        <f t="shared" si="2"/>
        <v>9.666666667</v>
      </c>
      <c r="F27" s="95">
        <v>2.0</v>
      </c>
      <c r="G27" s="96">
        <v>4.0</v>
      </c>
      <c r="H27" s="97">
        <v>0.0</v>
      </c>
      <c r="I27" s="96">
        <v>4.0</v>
      </c>
      <c r="J27" s="96">
        <v>6.0</v>
      </c>
      <c r="K27" s="96">
        <v>6.0</v>
      </c>
      <c r="L27" s="98">
        <v>16.0</v>
      </c>
      <c r="M27" s="96">
        <v>2.0</v>
      </c>
      <c r="N27" s="34">
        <f t="shared" ref="N27:O27" si="30">C27+L27</f>
        <v>54</v>
      </c>
      <c r="O27" s="34">
        <f t="shared" si="30"/>
        <v>6</v>
      </c>
      <c r="P27" s="49" t="s">
        <v>58</v>
      </c>
      <c r="Q27" s="49" t="s">
        <v>58</v>
      </c>
      <c r="R27" s="49"/>
      <c r="S27" s="52">
        <f t="shared" si="4"/>
        <v>3</v>
      </c>
      <c r="T27" s="52">
        <f t="shared" si="5"/>
        <v>0</v>
      </c>
      <c r="U27" s="52"/>
      <c r="V27" s="52">
        <f t="shared" si="6"/>
        <v>1</v>
      </c>
      <c r="W27" s="52">
        <f t="shared" si="7"/>
        <v>-14</v>
      </c>
      <c r="X27" s="32">
        <f t="shared" si="10"/>
        <v>23</v>
      </c>
    </row>
    <row r="28">
      <c r="A28" s="32">
        <f t="shared" si="8"/>
        <v>24</v>
      </c>
      <c r="B28" s="33" t="s">
        <v>144</v>
      </c>
      <c r="C28" s="34">
        <v>38.0</v>
      </c>
      <c r="D28" s="34">
        <v>4.0</v>
      </c>
      <c r="E28" s="35">
        <f t="shared" si="2"/>
        <v>10</v>
      </c>
      <c r="F28" s="95">
        <v>3.0</v>
      </c>
      <c r="G28" s="96">
        <v>0.0</v>
      </c>
      <c r="H28" s="97">
        <v>9.0</v>
      </c>
      <c r="I28" s="96">
        <v>0.0</v>
      </c>
      <c r="J28" s="96">
        <v>0.0</v>
      </c>
      <c r="K28" s="96">
        <v>0.0</v>
      </c>
      <c r="L28" s="98">
        <v>9.0</v>
      </c>
      <c r="M28" s="96">
        <v>0.0</v>
      </c>
      <c r="N28" s="34">
        <f t="shared" ref="N28:O28" si="31">C28+L28</f>
        <v>47</v>
      </c>
      <c r="O28" s="34">
        <f t="shared" si="31"/>
        <v>4</v>
      </c>
      <c r="P28" s="49" t="s">
        <v>58</v>
      </c>
      <c r="Q28" s="49" t="s">
        <v>58</v>
      </c>
      <c r="R28" s="49"/>
      <c r="S28" s="52">
        <f t="shared" si="4"/>
        <v>2</v>
      </c>
      <c r="T28" s="52">
        <f t="shared" si="5"/>
        <v>0</v>
      </c>
      <c r="U28" s="52"/>
      <c r="V28" s="52">
        <f t="shared" si="6"/>
        <v>2</v>
      </c>
      <c r="W28" s="52">
        <f t="shared" si="7"/>
        <v>-14</v>
      </c>
      <c r="X28" s="32">
        <f t="shared" si="10"/>
        <v>24</v>
      </c>
    </row>
    <row r="29">
      <c r="A29" s="32">
        <f t="shared" si="8"/>
        <v>25</v>
      </c>
      <c r="B29" s="33" t="s">
        <v>138</v>
      </c>
      <c r="C29" s="34">
        <v>38.0</v>
      </c>
      <c r="D29" s="34">
        <v>3.0</v>
      </c>
      <c r="E29" s="35">
        <f t="shared" si="2"/>
        <v>9.666666667</v>
      </c>
      <c r="F29" s="95">
        <v>1.0</v>
      </c>
      <c r="G29" s="96">
        <v>4.0</v>
      </c>
      <c r="H29" s="97">
        <v>0.0</v>
      </c>
      <c r="I29" s="96">
        <v>6.0</v>
      </c>
      <c r="J29" s="96">
        <v>4.0</v>
      </c>
      <c r="K29" s="96">
        <v>6.0</v>
      </c>
      <c r="L29" s="98">
        <v>16.0</v>
      </c>
      <c r="M29" s="96">
        <v>2.0</v>
      </c>
      <c r="N29" s="34">
        <f t="shared" ref="N29:O29" si="32">C29+L29</f>
        <v>54</v>
      </c>
      <c r="O29" s="34">
        <f t="shared" si="32"/>
        <v>5</v>
      </c>
      <c r="P29" s="49" t="s">
        <v>58</v>
      </c>
      <c r="Q29" s="49" t="s">
        <v>58</v>
      </c>
      <c r="R29" s="49"/>
      <c r="S29" s="52">
        <f t="shared" si="4"/>
        <v>3</v>
      </c>
      <c r="T29" s="52">
        <f t="shared" si="5"/>
        <v>0</v>
      </c>
      <c r="U29" s="52"/>
      <c r="V29" s="52">
        <f t="shared" si="6"/>
        <v>1</v>
      </c>
      <c r="W29" s="52">
        <f t="shared" si="7"/>
        <v>-1</v>
      </c>
      <c r="X29" s="32">
        <f t="shared" si="10"/>
        <v>25</v>
      </c>
    </row>
    <row r="30">
      <c r="A30" s="32">
        <f t="shared" si="8"/>
        <v>26</v>
      </c>
      <c r="B30" s="33" t="s">
        <v>113</v>
      </c>
      <c r="C30" s="34">
        <v>37.0</v>
      </c>
      <c r="D30" s="34">
        <v>3.0</v>
      </c>
      <c r="E30" s="35">
        <f t="shared" si="2"/>
        <v>9.5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3">C30+L30</f>
        <v>46</v>
      </c>
      <c r="O30" s="34">
        <f t="shared" si="33"/>
        <v>3</v>
      </c>
      <c r="P30" s="49" t="s">
        <v>58</v>
      </c>
      <c r="Q30" s="49" t="s">
        <v>58</v>
      </c>
      <c r="R30" s="49"/>
      <c r="S30" s="52">
        <f t="shared" si="4"/>
        <v>2</v>
      </c>
      <c r="T30" s="52">
        <f t="shared" si="5"/>
        <v>0</v>
      </c>
      <c r="U30" s="52"/>
      <c r="V30" s="52">
        <f t="shared" si="6"/>
        <v>2</v>
      </c>
      <c r="W30" s="52">
        <f t="shared" si="7"/>
        <v>-12</v>
      </c>
      <c r="X30" s="32">
        <f t="shared" si="10"/>
        <v>26</v>
      </c>
    </row>
    <row r="31">
      <c r="A31" s="32">
        <f t="shared" si="8"/>
        <v>27</v>
      </c>
      <c r="B31" s="33" t="s">
        <v>137</v>
      </c>
      <c r="C31" s="34">
        <v>36.0</v>
      </c>
      <c r="D31" s="34">
        <v>3.0</v>
      </c>
      <c r="E31" s="35">
        <f t="shared" si="2"/>
        <v>9</v>
      </c>
      <c r="F31" s="95">
        <v>1.0</v>
      </c>
      <c r="G31" s="96">
        <v>5.0</v>
      </c>
      <c r="H31" s="97">
        <v>0.0</v>
      </c>
      <c r="I31" s="96">
        <v>1.0</v>
      </c>
      <c r="J31" s="96">
        <v>6.0</v>
      </c>
      <c r="K31" s="96">
        <v>3.0</v>
      </c>
      <c r="L31" s="98">
        <v>10.0</v>
      </c>
      <c r="M31" s="96">
        <v>1.0</v>
      </c>
      <c r="N31" s="34">
        <f t="shared" ref="N31:O31" si="34">C31+L31</f>
        <v>46</v>
      </c>
      <c r="O31" s="34">
        <f t="shared" si="34"/>
        <v>4</v>
      </c>
      <c r="P31" s="49" t="s">
        <v>58</v>
      </c>
      <c r="Q31" s="49" t="s">
        <v>58</v>
      </c>
      <c r="R31" s="49"/>
      <c r="S31" s="52">
        <f t="shared" si="4"/>
        <v>4</v>
      </c>
      <c r="T31" s="52">
        <f t="shared" si="5"/>
        <v>0</v>
      </c>
      <c r="U31" s="52"/>
      <c r="V31" s="52">
        <f t="shared" si="6"/>
        <v>0</v>
      </c>
      <c r="W31" s="52">
        <f t="shared" si="7"/>
        <v>-10</v>
      </c>
      <c r="X31" s="32">
        <f t="shared" si="10"/>
        <v>27</v>
      </c>
    </row>
    <row r="32">
      <c r="A32" s="32">
        <f t="shared" si="8"/>
        <v>28</v>
      </c>
      <c r="B32" s="33" t="s">
        <v>134</v>
      </c>
      <c r="C32" s="34">
        <v>36.0</v>
      </c>
      <c r="D32" s="34">
        <v>3.0</v>
      </c>
      <c r="E32" s="35">
        <f t="shared" si="2"/>
        <v>9</v>
      </c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5">C32+L32</f>
        <v>45</v>
      </c>
      <c r="O32" s="34">
        <f t="shared" si="35"/>
        <v>3</v>
      </c>
      <c r="P32" s="49" t="s">
        <v>58</v>
      </c>
      <c r="Q32" s="49" t="s">
        <v>58</v>
      </c>
      <c r="R32" s="49"/>
      <c r="S32" s="52">
        <f t="shared" si="4"/>
        <v>1</v>
      </c>
      <c r="T32" s="52">
        <f t="shared" si="5"/>
        <v>0</v>
      </c>
      <c r="U32" s="52"/>
      <c r="V32" s="52">
        <f t="shared" si="6"/>
        <v>3</v>
      </c>
      <c r="W32" s="52">
        <f t="shared" si="7"/>
        <v>-13</v>
      </c>
      <c r="X32" s="32">
        <f t="shared" si="10"/>
        <v>28</v>
      </c>
    </row>
    <row r="33">
      <c r="A33" s="32">
        <f t="shared" si="8"/>
        <v>29</v>
      </c>
      <c r="B33" s="33" t="s">
        <v>108</v>
      </c>
      <c r="C33" s="34">
        <v>36.0</v>
      </c>
      <c r="D33" s="34">
        <v>2.0</v>
      </c>
      <c r="E33" s="35">
        <f t="shared" si="2"/>
        <v>9</v>
      </c>
      <c r="F33" s="95">
        <v>1.0</v>
      </c>
      <c r="G33" s="96">
        <v>5.0</v>
      </c>
      <c r="H33" s="97">
        <v>0.0</v>
      </c>
      <c r="I33" s="96">
        <v>1.0</v>
      </c>
      <c r="J33" s="96">
        <v>4.0</v>
      </c>
      <c r="K33" s="96">
        <v>6.0</v>
      </c>
      <c r="L33" s="98">
        <v>11.0</v>
      </c>
      <c r="M33" s="96">
        <v>1.0</v>
      </c>
      <c r="N33" s="34">
        <f t="shared" ref="N33:O33" si="36">C33+L33</f>
        <v>47</v>
      </c>
      <c r="O33" s="34">
        <f t="shared" si="36"/>
        <v>3</v>
      </c>
      <c r="P33" s="49" t="s">
        <v>58</v>
      </c>
      <c r="Q33" s="49" t="s">
        <v>58</v>
      </c>
      <c r="R33" s="49"/>
      <c r="S33" s="52">
        <f t="shared" si="4"/>
        <v>3</v>
      </c>
      <c r="T33" s="52">
        <f t="shared" si="5"/>
        <v>0</v>
      </c>
      <c r="U33" s="52"/>
      <c r="V33" s="52">
        <f t="shared" si="6"/>
        <v>1</v>
      </c>
      <c r="W33" s="52">
        <f t="shared" si="7"/>
        <v>1</v>
      </c>
      <c r="X33" s="32">
        <f t="shared" si="10"/>
        <v>29</v>
      </c>
    </row>
    <row r="34">
      <c r="A34" s="32">
        <f t="shared" si="8"/>
        <v>30</v>
      </c>
      <c r="B34" s="33" t="s">
        <v>50</v>
      </c>
      <c r="C34" s="34">
        <v>35.0</v>
      </c>
      <c r="D34" s="34">
        <v>3.0</v>
      </c>
      <c r="E34" s="35">
        <f t="shared" si="2"/>
        <v>8.75</v>
      </c>
      <c r="F34" s="95">
        <v>1.0</v>
      </c>
      <c r="G34" s="96">
        <v>5.0</v>
      </c>
      <c r="H34" s="97">
        <v>0.0</v>
      </c>
      <c r="I34" s="96">
        <v>6.0</v>
      </c>
      <c r="J34" s="96">
        <v>6.0</v>
      </c>
      <c r="K34" s="96">
        <v>6.0</v>
      </c>
      <c r="L34" s="98">
        <v>18.0</v>
      </c>
      <c r="M34" s="96">
        <v>3.0</v>
      </c>
      <c r="N34" s="34">
        <f t="shared" ref="N34:O34" si="37">C34+L34</f>
        <v>53</v>
      </c>
      <c r="O34" s="34">
        <f t="shared" si="37"/>
        <v>6</v>
      </c>
      <c r="P34" s="49" t="s">
        <v>58</v>
      </c>
      <c r="Q34" s="49" t="s">
        <v>58</v>
      </c>
      <c r="R34" s="49"/>
      <c r="S34" s="52">
        <f t="shared" si="4"/>
        <v>4</v>
      </c>
      <c r="T34" s="52">
        <f t="shared" si="5"/>
        <v>0</v>
      </c>
      <c r="U34" s="52"/>
      <c r="V34" s="52">
        <f t="shared" si="6"/>
        <v>0</v>
      </c>
      <c r="W34" s="52">
        <f t="shared" si="7"/>
        <v>13</v>
      </c>
      <c r="X34" s="32">
        <f t="shared" si="10"/>
        <v>30</v>
      </c>
    </row>
    <row r="35">
      <c r="A35" s="32">
        <f t="shared" si="8"/>
        <v>31</v>
      </c>
      <c r="B35" s="33" t="s">
        <v>45</v>
      </c>
      <c r="C35" s="34">
        <v>35.0</v>
      </c>
      <c r="D35" s="34">
        <v>2.0</v>
      </c>
      <c r="E35" s="35">
        <f t="shared" si="2"/>
        <v>8</v>
      </c>
      <c r="F35" s="95">
        <v>3.0</v>
      </c>
      <c r="G35" s="96">
        <v>0.0</v>
      </c>
      <c r="H35" s="97">
        <v>9.0</v>
      </c>
      <c r="I35" s="96">
        <v>0.0</v>
      </c>
      <c r="J35" s="96">
        <v>0.0</v>
      </c>
      <c r="K35" s="96">
        <v>0.0</v>
      </c>
      <c r="L35" s="98">
        <v>9.0</v>
      </c>
      <c r="M35" s="96">
        <v>0.0</v>
      </c>
      <c r="N35" s="34">
        <f t="shared" ref="N35:O35" si="38">C35+L35</f>
        <v>44</v>
      </c>
      <c r="O35" s="34">
        <f t="shared" si="38"/>
        <v>2</v>
      </c>
      <c r="P35" s="49" t="s">
        <v>58</v>
      </c>
      <c r="Q35" s="49" t="s">
        <v>58</v>
      </c>
      <c r="R35" s="49"/>
      <c r="S35" s="52">
        <f t="shared" si="4"/>
        <v>1</v>
      </c>
      <c r="T35" s="52">
        <f t="shared" si="5"/>
        <v>0</v>
      </c>
      <c r="U35" s="52"/>
      <c r="V35" s="52">
        <f t="shared" si="6"/>
        <v>3</v>
      </c>
      <c r="W35" s="52">
        <f t="shared" si="7"/>
        <v>-12</v>
      </c>
      <c r="X35" s="32">
        <f t="shared" si="10"/>
        <v>31</v>
      </c>
    </row>
    <row r="36">
      <c r="A36" s="32">
        <f t="shared" si="8"/>
        <v>32</v>
      </c>
      <c r="B36" s="33" t="s">
        <v>109</v>
      </c>
      <c r="C36" s="34">
        <v>35.0</v>
      </c>
      <c r="D36" s="34">
        <v>2.0</v>
      </c>
      <c r="E36" s="35">
        <f t="shared" si="2"/>
        <v>8.5</v>
      </c>
      <c r="F36" s="95">
        <v>1.0</v>
      </c>
      <c r="G36" s="96">
        <v>5.0</v>
      </c>
      <c r="H36" s="97">
        <v>0.0</v>
      </c>
      <c r="I36" s="96">
        <v>6.0</v>
      </c>
      <c r="J36" s="96">
        <v>4.0</v>
      </c>
      <c r="K36" s="96">
        <v>3.0</v>
      </c>
      <c r="L36" s="98">
        <v>13.0</v>
      </c>
      <c r="M36" s="96">
        <v>1.0</v>
      </c>
      <c r="N36" s="34">
        <f t="shared" ref="N36:O36" si="39">C36+L36</f>
        <v>48</v>
      </c>
      <c r="O36" s="34">
        <f t="shared" si="39"/>
        <v>3</v>
      </c>
      <c r="P36" s="49" t="s">
        <v>58</v>
      </c>
      <c r="Q36" s="49" t="s">
        <v>58</v>
      </c>
      <c r="R36" s="49"/>
      <c r="S36" s="52">
        <f t="shared" si="4"/>
        <v>2</v>
      </c>
      <c r="T36" s="52">
        <f t="shared" si="5"/>
        <v>0</v>
      </c>
      <c r="U36" s="52"/>
      <c r="V36" s="52">
        <f t="shared" si="6"/>
        <v>2</v>
      </c>
      <c r="W36" s="52">
        <f t="shared" si="7"/>
        <v>-12</v>
      </c>
      <c r="X36" s="32">
        <f t="shared" si="10"/>
        <v>32</v>
      </c>
    </row>
    <row r="37">
      <c r="A37" s="32">
        <f t="shared" si="8"/>
        <v>33</v>
      </c>
      <c r="B37" s="33" t="s">
        <v>114</v>
      </c>
      <c r="C37" s="34">
        <v>35.0</v>
      </c>
      <c r="D37" s="34">
        <v>1.0</v>
      </c>
      <c r="E37" s="35">
        <f t="shared" si="2"/>
        <v>8.666666667</v>
      </c>
      <c r="F37" s="95">
        <v>1.0</v>
      </c>
      <c r="G37" s="96">
        <v>6.0</v>
      </c>
      <c r="H37" s="97">
        <v>0.0</v>
      </c>
      <c r="I37" s="96">
        <v>6.0</v>
      </c>
      <c r="J37" s="96">
        <v>2.0</v>
      </c>
      <c r="K37" s="96">
        <v>3.0</v>
      </c>
      <c r="L37" s="98">
        <v>11.0</v>
      </c>
      <c r="M37" s="96">
        <v>1.0</v>
      </c>
      <c r="N37" s="34">
        <f t="shared" ref="N37:O37" si="40">C37+L37</f>
        <v>46</v>
      </c>
      <c r="O37" s="34">
        <f t="shared" si="40"/>
        <v>2</v>
      </c>
      <c r="P37" s="49" t="s">
        <v>58</v>
      </c>
      <c r="Q37" s="49" t="s">
        <v>58</v>
      </c>
      <c r="R37" s="49"/>
      <c r="S37" s="52">
        <f t="shared" si="4"/>
        <v>3</v>
      </c>
      <c r="T37" s="52">
        <f t="shared" si="5"/>
        <v>0</v>
      </c>
      <c r="U37" s="52"/>
      <c r="V37" s="52">
        <f t="shared" si="6"/>
        <v>1</v>
      </c>
      <c r="W37" s="52">
        <f t="shared" si="7"/>
        <v>11</v>
      </c>
      <c r="X37" s="32">
        <f t="shared" si="10"/>
        <v>33</v>
      </c>
    </row>
    <row r="38">
      <c r="A38" s="32">
        <f t="shared" si="8"/>
        <v>34</v>
      </c>
      <c r="B38" s="33" t="s">
        <v>96</v>
      </c>
      <c r="C38" s="34">
        <v>34.0</v>
      </c>
      <c r="D38" s="34">
        <v>3.0</v>
      </c>
      <c r="E38" s="35">
        <f t="shared" si="2"/>
        <v>8.333333333</v>
      </c>
      <c r="F38" s="95">
        <v>1.0</v>
      </c>
      <c r="G38" s="96">
        <v>6.0</v>
      </c>
      <c r="H38" s="97">
        <v>0.0</v>
      </c>
      <c r="I38" s="96">
        <v>3.0</v>
      </c>
      <c r="J38" s="96">
        <v>2.0</v>
      </c>
      <c r="K38" s="96">
        <v>6.0</v>
      </c>
      <c r="L38" s="98">
        <v>11.0</v>
      </c>
      <c r="M38" s="96">
        <v>1.0</v>
      </c>
      <c r="N38" s="34">
        <f t="shared" ref="N38:O38" si="41">C38+L38</f>
        <v>45</v>
      </c>
      <c r="O38" s="34">
        <f t="shared" si="41"/>
        <v>4</v>
      </c>
      <c r="P38" s="49" t="s">
        <v>58</v>
      </c>
      <c r="Q38" s="49" t="s">
        <v>58</v>
      </c>
      <c r="R38" s="49"/>
      <c r="S38" s="52">
        <f t="shared" si="4"/>
        <v>3</v>
      </c>
      <c r="T38" s="52">
        <f t="shared" si="5"/>
        <v>0</v>
      </c>
      <c r="U38" s="52"/>
      <c r="V38" s="52">
        <f t="shared" si="6"/>
        <v>1</v>
      </c>
      <c r="W38" s="52">
        <f t="shared" si="7"/>
        <v>-6</v>
      </c>
      <c r="X38" s="32">
        <f t="shared" si="10"/>
        <v>34</v>
      </c>
    </row>
    <row r="39">
      <c r="A39" s="32">
        <f t="shared" si="8"/>
        <v>35</v>
      </c>
      <c r="B39" s="33" t="s">
        <v>148</v>
      </c>
      <c r="C39" s="34">
        <v>34.0</v>
      </c>
      <c r="D39" s="34">
        <v>1.0</v>
      </c>
      <c r="E39" s="35">
        <f t="shared" si="2"/>
        <v>8</v>
      </c>
      <c r="F39" s="95">
        <v>3.0</v>
      </c>
      <c r="G39" s="96">
        <v>0.0</v>
      </c>
      <c r="H39" s="97">
        <v>9.0</v>
      </c>
      <c r="I39" s="96">
        <v>0.0</v>
      </c>
      <c r="J39" s="96">
        <v>0.0</v>
      </c>
      <c r="K39" s="96">
        <v>0.0</v>
      </c>
      <c r="L39" s="98">
        <v>9.0</v>
      </c>
      <c r="M39" s="96">
        <v>0.0</v>
      </c>
      <c r="N39" s="34">
        <f t="shared" ref="N39:O39" si="42">C39+L39</f>
        <v>43</v>
      </c>
      <c r="O39" s="34">
        <f t="shared" si="42"/>
        <v>1</v>
      </c>
      <c r="P39" s="49" t="s">
        <v>58</v>
      </c>
      <c r="Q39" s="49" t="s">
        <v>58</v>
      </c>
      <c r="R39" s="49"/>
      <c r="S39" s="52">
        <f t="shared" si="4"/>
        <v>2</v>
      </c>
      <c r="T39" s="52">
        <f t="shared" si="5"/>
        <v>0</v>
      </c>
      <c r="U39" s="52"/>
      <c r="V39" s="52">
        <f t="shared" si="6"/>
        <v>2</v>
      </c>
      <c r="W39" s="52">
        <f t="shared" si="7"/>
        <v>-10</v>
      </c>
      <c r="X39" s="32">
        <f t="shared" si="10"/>
        <v>35</v>
      </c>
    </row>
    <row r="40">
      <c r="A40" s="32">
        <f t="shared" si="8"/>
        <v>36</v>
      </c>
      <c r="B40" s="33" t="s">
        <v>136</v>
      </c>
      <c r="C40" s="34">
        <v>33.0</v>
      </c>
      <c r="D40" s="34">
        <v>2.0</v>
      </c>
      <c r="E40" s="35">
        <f t="shared" si="2"/>
        <v>8.25</v>
      </c>
      <c r="F40" s="95">
        <v>1.0</v>
      </c>
      <c r="G40" s="96">
        <v>6.0</v>
      </c>
      <c r="H40" s="97">
        <v>0.0</v>
      </c>
      <c r="I40" s="96">
        <v>3.0</v>
      </c>
      <c r="J40" s="96">
        <v>6.0</v>
      </c>
      <c r="K40" s="96">
        <v>3.0</v>
      </c>
      <c r="L40" s="98">
        <v>12.0</v>
      </c>
      <c r="M40" s="96">
        <v>1.0</v>
      </c>
      <c r="N40" s="34">
        <f t="shared" ref="N40:O40" si="43">C40+L40</f>
        <v>45</v>
      </c>
      <c r="O40" s="34">
        <f t="shared" si="43"/>
        <v>3</v>
      </c>
      <c r="P40" s="49" t="s">
        <v>58</v>
      </c>
      <c r="Q40" s="49" t="s">
        <v>58</v>
      </c>
      <c r="R40" s="49"/>
      <c r="S40" s="52">
        <f t="shared" si="4"/>
        <v>4</v>
      </c>
      <c r="T40" s="52">
        <f t="shared" si="5"/>
        <v>0</v>
      </c>
      <c r="U40" s="52"/>
      <c r="V40" s="52">
        <f t="shared" si="6"/>
        <v>0</v>
      </c>
      <c r="W40" s="52">
        <f t="shared" si="7"/>
        <v>11</v>
      </c>
      <c r="X40" s="32">
        <f t="shared" si="10"/>
        <v>36</v>
      </c>
    </row>
    <row r="41">
      <c r="A41" s="32">
        <f t="shared" si="8"/>
        <v>37</v>
      </c>
      <c r="B41" s="33" t="s">
        <v>135</v>
      </c>
      <c r="C41" s="34">
        <v>33.0</v>
      </c>
      <c r="D41" s="34">
        <v>2.0</v>
      </c>
      <c r="E41" s="35">
        <f t="shared" si="2"/>
        <v>6</v>
      </c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4">C41+L41</f>
        <v>42</v>
      </c>
      <c r="O41" s="34">
        <f t="shared" si="44"/>
        <v>2</v>
      </c>
      <c r="P41" s="49" t="s">
        <v>58</v>
      </c>
      <c r="Q41" s="49" t="s">
        <v>58</v>
      </c>
      <c r="R41" s="49"/>
      <c r="S41" s="52">
        <f t="shared" si="4"/>
        <v>1</v>
      </c>
      <c r="T41" s="52">
        <f t="shared" si="5"/>
        <v>0</v>
      </c>
      <c r="U41" s="52"/>
      <c r="V41" s="52">
        <f t="shared" si="6"/>
        <v>3</v>
      </c>
      <c r="W41" s="52">
        <f t="shared" si="7"/>
        <v>21</v>
      </c>
      <c r="X41" s="32">
        <f t="shared" si="10"/>
        <v>37</v>
      </c>
    </row>
    <row r="42">
      <c r="A42" s="32">
        <f t="shared" si="8"/>
        <v>38</v>
      </c>
      <c r="B42" s="33" t="s">
        <v>93</v>
      </c>
      <c r="C42" s="34">
        <v>33.0</v>
      </c>
      <c r="D42" s="34">
        <v>2.0</v>
      </c>
      <c r="E42" s="35">
        <f t="shared" si="2"/>
        <v>6</v>
      </c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5">C42+L42</f>
        <v>42</v>
      </c>
      <c r="O42" s="34">
        <f t="shared" si="45"/>
        <v>2</v>
      </c>
      <c r="P42" s="49" t="s">
        <v>58</v>
      </c>
      <c r="Q42" s="49" t="s">
        <v>58</v>
      </c>
      <c r="R42" s="49"/>
      <c r="S42" s="52">
        <f t="shared" si="4"/>
        <v>1</v>
      </c>
      <c r="T42" s="52">
        <f t="shared" si="5"/>
        <v>0</v>
      </c>
      <c r="U42" s="52"/>
      <c r="V42" s="52">
        <f t="shared" si="6"/>
        <v>3</v>
      </c>
      <c r="W42" s="52">
        <f t="shared" si="7"/>
        <v>-12</v>
      </c>
      <c r="X42" s="32">
        <f t="shared" si="10"/>
        <v>38</v>
      </c>
    </row>
    <row r="43">
      <c r="A43" s="32">
        <f t="shared" si="8"/>
        <v>39</v>
      </c>
      <c r="B43" s="33" t="s">
        <v>97</v>
      </c>
      <c r="C43" s="34">
        <v>32.0</v>
      </c>
      <c r="D43" s="34">
        <v>2.0</v>
      </c>
      <c r="E43" s="35">
        <f t="shared" si="2"/>
        <v>7.666666667</v>
      </c>
      <c r="F43" s="95">
        <v>1.0</v>
      </c>
      <c r="G43" s="96">
        <v>6.0</v>
      </c>
      <c r="H43" s="97">
        <v>0.0</v>
      </c>
      <c r="I43" s="96">
        <v>6.0</v>
      </c>
      <c r="J43" s="96">
        <v>6.0</v>
      </c>
      <c r="K43" s="96">
        <v>6.0</v>
      </c>
      <c r="L43" s="98">
        <v>18.0</v>
      </c>
      <c r="M43" s="96">
        <v>3.0</v>
      </c>
      <c r="N43" s="34">
        <f t="shared" ref="N43:O43" si="46">C43+L43</f>
        <v>50</v>
      </c>
      <c r="O43" s="34">
        <f t="shared" si="46"/>
        <v>5</v>
      </c>
      <c r="P43" s="49" t="s">
        <v>58</v>
      </c>
      <c r="Q43" s="49" t="s">
        <v>58</v>
      </c>
      <c r="R43" s="49"/>
      <c r="S43" s="52">
        <f t="shared" si="4"/>
        <v>3</v>
      </c>
      <c r="T43" s="52">
        <f t="shared" si="5"/>
        <v>0</v>
      </c>
      <c r="U43" s="52"/>
      <c r="V43" s="52">
        <f t="shared" si="6"/>
        <v>1</v>
      </c>
      <c r="W43" s="52">
        <f t="shared" si="7"/>
        <v>-12</v>
      </c>
      <c r="X43" s="32">
        <f t="shared" si="10"/>
        <v>39</v>
      </c>
    </row>
    <row r="44">
      <c r="A44" s="32">
        <f t="shared" si="8"/>
        <v>40</v>
      </c>
      <c r="B44" s="33" t="s">
        <v>65</v>
      </c>
      <c r="C44" s="34">
        <v>32.0</v>
      </c>
      <c r="D44" s="34">
        <v>2.0</v>
      </c>
      <c r="E44" s="35">
        <f t="shared" si="2"/>
        <v>5</v>
      </c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7">C44+L44</f>
        <v>41</v>
      </c>
      <c r="O44" s="34">
        <f t="shared" si="47"/>
        <v>2</v>
      </c>
      <c r="P44" s="49" t="s">
        <v>58</v>
      </c>
      <c r="Q44" s="49" t="s">
        <v>58</v>
      </c>
      <c r="R44" s="49"/>
      <c r="S44" s="52">
        <f t="shared" si="4"/>
        <v>1</v>
      </c>
      <c r="T44" s="52">
        <f t="shared" si="5"/>
        <v>0</v>
      </c>
      <c r="U44" s="52"/>
      <c r="V44" s="52">
        <f t="shared" si="6"/>
        <v>3</v>
      </c>
      <c r="W44" s="52">
        <f t="shared" si="7"/>
        <v>-9</v>
      </c>
      <c r="X44" s="32">
        <f t="shared" si="10"/>
        <v>40</v>
      </c>
    </row>
    <row r="45">
      <c r="A45" s="32">
        <f t="shared" si="8"/>
        <v>41</v>
      </c>
      <c r="B45" s="33" t="s">
        <v>143</v>
      </c>
      <c r="C45" s="34">
        <v>32.0</v>
      </c>
      <c r="D45" s="34">
        <v>1.0</v>
      </c>
      <c r="E45" s="35">
        <f t="shared" si="2"/>
        <v>5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48">C45+L45</f>
        <v>41</v>
      </c>
      <c r="O45" s="34">
        <f t="shared" si="48"/>
        <v>1</v>
      </c>
      <c r="P45" s="49" t="s">
        <v>58</v>
      </c>
      <c r="Q45" s="49" t="s">
        <v>58</v>
      </c>
      <c r="R45" s="49"/>
      <c r="S45" s="52">
        <f t="shared" si="4"/>
        <v>1</v>
      </c>
      <c r="T45" s="52">
        <f t="shared" si="5"/>
        <v>0</v>
      </c>
      <c r="U45" s="52"/>
      <c r="V45" s="52">
        <f t="shared" si="6"/>
        <v>3</v>
      </c>
      <c r="W45" s="52">
        <f t="shared" si="7"/>
        <v>-9</v>
      </c>
      <c r="X45" s="32">
        <f t="shared" si="10"/>
        <v>41</v>
      </c>
    </row>
    <row r="46">
      <c r="A46" s="32">
        <f t="shared" si="8"/>
        <v>42</v>
      </c>
      <c r="B46" s="33" t="s">
        <v>129</v>
      </c>
      <c r="C46" s="34">
        <v>31.0</v>
      </c>
      <c r="D46" s="34">
        <v>3.0</v>
      </c>
      <c r="E46" s="35">
        <f t="shared" si="2"/>
        <v>7.75</v>
      </c>
      <c r="F46" s="95">
        <v>1.0</v>
      </c>
      <c r="G46" s="96">
        <v>7.0</v>
      </c>
      <c r="H46" s="97">
        <v>0.0</v>
      </c>
      <c r="I46" s="96">
        <v>2.0</v>
      </c>
      <c r="J46" s="96">
        <v>3.0</v>
      </c>
      <c r="K46" s="96">
        <v>6.0</v>
      </c>
      <c r="L46" s="98">
        <v>11.0</v>
      </c>
      <c r="M46" s="96">
        <v>1.0</v>
      </c>
      <c r="N46" s="34">
        <f t="shared" ref="N46:O46" si="49">C46+L46</f>
        <v>42</v>
      </c>
      <c r="O46" s="34">
        <f t="shared" si="49"/>
        <v>4</v>
      </c>
      <c r="P46" s="49" t="s">
        <v>58</v>
      </c>
      <c r="Q46" s="49" t="s">
        <v>58</v>
      </c>
      <c r="R46" s="49"/>
      <c r="S46" s="52">
        <f t="shared" si="4"/>
        <v>4</v>
      </c>
      <c r="T46" s="52">
        <f t="shared" si="5"/>
        <v>0</v>
      </c>
      <c r="U46" s="52"/>
      <c r="V46" s="52">
        <f t="shared" si="6"/>
        <v>0</v>
      </c>
      <c r="W46" s="52">
        <f t="shared" si="7"/>
        <v>21</v>
      </c>
      <c r="X46" s="32">
        <f t="shared" si="10"/>
        <v>42</v>
      </c>
    </row>
    <row r="47">
      <c r="A47" s="32">
        <f t="shared" si="8"/>
        <v>43</v>
      </c>
      <c r="B47" s="33" t="s">
        <v>133</v>
      </c>
      <c r="C47" s="34">
        <v>31.0</v>
      </c>
      <c r="D47" s="34">
        <v>2.0</v>
      </c>
      <c r="E47" s="35">
        <f t="shared" si="2"/>
        <v>6.5</v>
      </c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50">C47+L47</f>
        <v>40</v>
      </c>
      <c r="O47" s="34">
        <f t="shared" si="50"/>
        <v>2</v>
      </c>
      <c r="P47" s="49" t="s">
        <v>58</v>
      </c>
      <c r="Q47" s="49" t="s">
        <v>58</v>
      </c>
      <c r="R47" s="49"/>
      <c r="S47" s="52">
        <f t="shared" si="4"/>
        <v>2</v>
      </c>
      <c r="T47" s="52">
        <f t="shared" si="5"/>
        <v>0</v>
      </c>
      <c r="U47" s="52"/>
      <c r="V47" s="52">
        <f t="shared" si="6"/>
        <v>2</v>
      </c>
      <c r="W47" s="52">
        <f t="shared" si="7"/>
        <v>-9</v>
      </c>
      <c r="X47" s="32">
        <f t="shared" si="10"/>
        <v>43</v>
      </c>
    </row>
    <row r="48">
      <c r="A48" s="32">
        <f t="shared" si="8"/>
        <v>44</v>
      </c>
      <c r="B48" s="33" t="s">
        <v>147</v>
      </c>
      <c r="C48" s="34">
        <v>30.0</v>
      </c>
      <c r="D48" s="34">
        <v>1.0</v>
      </c>
      <c r="E48" s="35">
        <f t="shared" si="2"/>
        <v>6</v>
      </c>
      <c r="F48" s="95">
        <v>1.0</v>
      </c>
      <c r="G48" s="96">
        <v>7.0</v>
      </c>
      <c r="H48" s="97">
        <v>0.0</v>
      </c>
      <c r="I48" s="96">
        <v>2.0</v>
      </c>
      <c r="J48" s="96">
        <v>6.0</v>
      </c>
      <c r="K48" s="96">
        <v>0.0</v>
      </c>
      <c r="L48" s="98">
        <v>8.0</v>
      </c>
      <c r="M48" s="96">
        <v>1.0</v>
      </c>
      <c r="N48" s="34">
        <f t="shared" ref="N48:O48" si="51">C48+L48</f>
        <v>38</v>
      </c>
      <c r="O48" s="34">
        <f t="shared" si="51"/>
        <v>2</v>
      </c>
      <c r="P48" s="49" t="s">
        <v>58</v>
      </c>
      <c r="Q48" s="49" t="s">
        <v>58</v>
      </c>
      <c r="R48" s="49"/>
      <c r="S48" s="52">
        <f t="shared" si="4"/>
        <v>2</v>
      </c>
      <c r="T48" s="52">
        <f t="shared" si="5"/>
        <v>0</v>
      </c>
      <c r="U48" s="52"/>
      <c r="V48" s="52">
        <f t="shared" si="6"/>
        <v>2</v>
      </c>
      <c r="W48" s="52">
        <f t="shared" si="7"/>
        <v>-3</v>
      </c>
      <c r="X48" s="32">
        <f t="shared" si="10"/>
        <v>44</v>
      </c>
    </row>
    <row r="49">
      <c r="A49" s="32">
        <f t="shared" si="8"/>
        <v>45</v>
      </c>
      <c r="B49" s="33" t="s">
        <v>145</v>
      </c>
      <c r="C49" s="34">
        <v>29.0</v>
      </c>
      <c r="D49" s="34">
        <v>3.0</v>
      </c>
      <c r="E49" s="35">
        <f t="shared" si="2"/>
        <v>6.666666667</v>
      </c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2">C49+L49</f>
        <v>38</v>
      </c>
      <c r="O49" s="34">
        <f t="shared" si="52"/>
        <v>3</v>
      </c>
      <c r="P49" s="49" t="s">
        <v>58</v>
      </c>
      <c r="Q49" s="49" t="s">
        <v>58</v>
      </c>
      <c r="R49" s="49"/>
      <c r="S49" s="52">
        <f t="shared" si="4"/>
        <v>3</v>
      </c>
      <c r="T49" s="52">
        <f t="shared" si="5"/>
        <v>0</v>
      </c>
      <c r="U49" s="52"/>
      <c r="V49" s="52">
        <f t="shared" si="6"/>
        <v>1</v>
      </c>
      <c r="W49" s="52">
        <f t="shared" si="7"/>
        <v>-7</v>
      </c>
      <c r="X49" s="32">
        <f t="shared" si="10"/>
        <v>45</v>
      </c>
    </row>
    <row r="50">
      <c r="A50" s="32">
        <f t="shared" si="8"/>
        <v>46</v>
      </c>
      <c r="B50" s="33" t="s">
        <v>142</v>
      </c>
      <c r="C50" s="34">
        <v>29.0</v>
      </c>
      <c r="D50" s="34">
        <v>3.0</v>
      </c>
      <c r="E50" s="35">
        <f t="shared" si="2"/>
        <v>6.666666667</v>
      </c>
      <c r="F50" s="95">
        <v>1.0</v>
      </c>
      <c r="G50" s="96">
        <v>7.0</v>
      </c>
      <c r="H50" s="97">
        <v>0.0</v>
      </c>
      <c r="I50" s="96">
        <v>6.0</v>
      </c>
      <c r="J50" s="96">
        <v>3.0</v>
      </c>
      <c r="K50" s="96">
        <v>0.0</v>
      </c>
      <c r="L50" s="98">
        <v>9.0</v>
      </c>
      <c r="M50" s="96">
        <v>1.0</v>
      </c>
      <c r="N50" s="34">
        <f t="shared" ref="N50:O50" si="53">C50+L50</f>
        <v>38</v>
      </c>
      <c r="O50" s="34">
        <f t="shared" si="53"/>
        <v>4</v>
      </c>
      <c r="P50" s="49" t="s">
        <v>58</v>
      </c>
      <c r="Q50" s="49" t="s">
        <v>58</v>
      </c>
      <c r="R50" s="49"/>
      <c r="S50" s="52">
        <f t="shared" si="4"/>
        <v>3</v>
      </c>
      <c r="T50" s="52">
        <f t="shared" si="5"/>
        <v>0</v>
      </c>
      <c r="U50" s="52"/>
      <c r="V50" s="52">
        <f t="shared" si="6"/>
        <v>1</v>
      </c>
      <c r="W50" s="52">
        <f t="shared" si="7"/>
        <v>-4</v>
      </c>
      <c r="X50" s="32">
        <f t="shared" si="10"/>
        <v>46</v>
      </c>
    </row>
    <row r="51">
      <c r="A51" s="32">
        <f t="shared" si="8"/>
        <v>47</v>
      </c>
      <c r="B51" s="33" t="s">
        <v>49</v>
      </c>
      <c r="C51" s="34">
        <v>28.0</v>
      </c>
      <c r="D51" s="34">
        <v>3.0</v>
      </c>
      <c r="E51" s="35">
        <f t="shared" si="2"/>
        <v>6.333333333</v>
      </c>
      <c r="F51" s="95">
        <v>1.0</v>
      </c>
      <c r="G51" s="96">
        <v>7.0</v>
      </c>
      <c r="H51" s="97">
        <v>0.0</v>
      </c>
      <c r="I51" s="96">
        <v>6.0</v>
      </c>
      <c r="J51" s="96">
        <v>6.0</v>
      </c>
      <c r="K51" s="96">
        <v>6.0</v>
      </c>
      <c r="L51" s="98">
        <v>18.0</v>
      </c>
      <c r="M51" s="96">
        <v>3.0</v>
      </c>
      <c r="N51" s="34">
        <f t="shared" ref="N51:O51" si="54">C51+L51</f>
        <v>46</v>
      </c>
      <c r="O51" s="34">
        <f t="shared" si="54"/>
        <v>6</v>
      </c>
      <c r="P51" s="49" t="s">
        <v>58</v>
      </c>
      <c r="Q51" s="49" t="s">
        <v>58</v>
      </c>
      <c r="R51" s="49"/>
      <c r="S51" s="52">
        <f t="shared" si="4"/>
        <v>3</v>
      </c>
      <c r="T51" s="52">
        <f t="shared" si="5"/>
        <v>0</v>
      </c>
      <c r="U51" s="52"/>
      <c r="V51" s="52">
        <f t="shared" si="6"/>
        <v>1</v>
      </c>
      <c r="W51" s="52">
        <f t="shared" si="7"/>
        <v>-7</v>
      </c>
      <c r="X51" s="32">
        <f t="shared" si="10"/>
        <v>47</v>
      </c>
    </row>
    <row r="52">
      <c r="A52" s="32">
        <f t="shared" si="8"/>
        <v>48</v>
      </c>
      <c r="B52" s="33" t="s">
        <v>54</v>
      </c>
      <c r="C52" s="34">
        <v>28.0</v>
      </c>
      <c r="D52" s="34">
        <v>3.0</v>
      </c>
      <c r="E52" s="35">
        <f t="shared" si="2"/>
        <v>7</v>
      </c>
      <c r="F52" s="95">
        <v>1.0</v>
      </c>
      <c r="G52" s="96">
        <v>8.0</v>
      </c>
      <c r="H52" s="97">
        <v>0.0</v>
      </c>
      <c r="I52" s="96">
        <v>7.0</v>
      </c>
      <c r="J52" s="96">
        <v>2.0</v>
      </c>
      <c r="K52" s="96">
        <v>6.0</v>
      </c>
      <c r="L52" s="98">
        <v>15.0</v>
      </c>
      <c r="M52" s="96">
        <v>2.0</v>
      </c>
      <c r="N52" s="34">
        <f t="shared" ref="N52:O52" si="55">C52+L52</f>
        <v>43</v>
      </c>
      <c r="O52" s="34">
        <f t="shared" si="55"/>
        <v>5</v>
      </c>
      <c r="P52" s="49" t="s">
        <v>58</v>
      </c>
      <c r="Q52" s="49" t="s">
        <v>58</v>
      </c>
      <c r="R52" s="49"/>
      <c r="S52" s="52">
        <f t="shared" si="4"/>
        <v>4</v>
      </c>
      <c r="T52" s="52">
        <f t="shared" si="5"/>
        <v>0</v>
      </c>
      <c r="U52" s="52"/>
      <c r="V52" s="52">
        <f t="shared" si="6"/>
        <v>0</v>
      </c>
      <c r="W52" s="52">
        <f t="shared" si="7"/>
        <v>-9</v>
      </c>
      <c r="X52" s="32">
        <f t="shared" si="10"/>
        <v>48</v>
      </c>
    </row>
    <row r="53">
      <c r="A53" s="32">
        <f t="shared" si="8"/>
        <v>49</v>
      </c>
      <c r="B53" s="33" t="s">
        <v>72</v>
      </c>
      <c r="C53" s="34">
        <v>28.0</v>
      </c>
      <c r="D53" s="34">
        <v>2.0</v>
      </c>
      <c r="E53" s="35">
        <f t="shared" si="2"/>
        <v>6.333333333</v>
      </c>
      <c r="F53" s="95">
        <v>1.0</v>
      </c>
      <c r="G53" s="96">
        <v>8.0</v>
      </c>
      <c r="H53" s="97">
        <v>0.0</v>
      </c>
      <c r="I53" s="96">
        <v>7.0</v>
      </c>
      <c r="J53" s="96">
        <v>6.0</v>
      </c>
      <c r="K53" s="96">
        <v>2.0</v>
      </c>
      <c r="L53" s="98">
        <v>15.0</v>
      </c>
      <c r="M53" s="96">
        <v>2.0</v>
      </c>
      <c r="N53" s="34">
        <f t="shared" ref="N53:O53" si="56">C53+L53</f>
        <v>43</v>
      </c>
      <c r="O53" s="34">
        <f t="shared" si="56"/>
        <v>4</v>
      </c>
      <c r="P53" s="49" t="s">
        <v>58</v>
      </c>
      <c r="Q53" s="49" t="s">
        <v>58</v>
      </c>
      <c r="R53" s="49"/>
      <c r="S53" s="52">
        <f t="shared" si="4"/>
        <v>3</v>
      </c>
      <c r="T53" s="52">
        <f t="shared" si="5"/>
        <v>0</v>
      </c>
      <c r="U53" s="52"/>
      <c r="V53" s="52">
        <f t="shared" si="6"/>
        <v>1</v>
      </c>
      <c r="W53" s="52">
        <f t="shared" si="7"/>
        <v>15</v>
      </c>
      <c r="X53" s="32">
        <f t="shared" si="10"/>
        <v>49</v>
      </c>
    </row>
    <row r="54">
      <c r="A54" s="32">
        <f t="shared" si="8"/>
        <v>50</v>
      </c>
      <c r="B54" s="33" t="s">
        <v>122</v>
      </c>
      <c r="C54" s="34">
        <v>28.0</v>
      </c>
      <c r="D54" s="34">
        <v>0.0</v>
      </c>
      <c r="E54" s="35">
        <f t="shared" si="2"/>
        <v>1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7">C54+L54</f>
        <v>37</v>
      </c>
      <c r="O54" s="34">
        <f t="shared" si="57"/>
        <v>0</v>
      </c>
      <c r="P54" s="49" t="s">
        <v>58</v>
      </c>
      <c r="Q54" s="49" t="s">
        <v>58</v>
      </c>
      <c r="R54" s="49"/>
      <c r="S54" s="52">
        <f t="shared" si="4"/>
        <v>1</v>
      </c>
      <c r="T54" s="52">
        <f t="shared" si="5"/>
        <v>0</v>
      </c>
      <c r="U54" s="52"/>
      <c r="V54" s="52">
        <f t="shared" si="6"/>
        <v>3</v>
      </c>
      <c r="W54" s="52">
        <f t="shared" si="7"/>
        <v>-4</v>
      </c>
      <c r="X54" s="32">
        <f t="shared" si="10"/>
        <v>50</v>
      </c>
    </row>
    <row r="55">
      <c r="A55" s="32">
        <f t="shared" si="8"/>
        <v>51</v>
      </c>
      <c r="B55" s="33" t="s">
        <v>130</v>
      </c>
      <c r="C55" s="34">
        <v>27.0</v>
      </c>
      <c r="D55" s="34">
        <v>0.0</v>
      </c>
      <c r="E55" s="35">
        <f t="shared" si="2"/>
        <v>0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8">C55+L55</f>
        <v>36</v>
      </c>
      <c r="O55" s="34">
        <f t="shared" si="58"/>
        <v>0</v>
      </c>
      <c r="P55" s="49" t="s">
        <v>58</v>
      </c>
      <c r="Q55" s="49" t="s">
        <v>58</v>
      </c>
      <c r="R55" s="49"/>
      <c r="S55" s="52">
        <f t="shared" si="4"/>
        <v>0</v>
      </c>
      <c r="T55" s="52">
        <f t="shared" si="5"/>
        <v>0</v>
      </c>
      <c r="U55" s="52"/>
      <c r="V55" s="52">
        <f t="shared" si="6"/>
        <v>4</v>
      </c>
      <c r="W55" s="52">
        <f t="shared" si="7"/>
        <v>-3</v>
      </c>
      <c r="X55" s="32">
        <f t="shared" si="10"/>
        <v>51</v>
      </c>
    </row>
    <row r="56">
      <c r="A56" s="32">
        <f t="shared" si="8"/>
        <v>52</v>
      </c>
      <c r="B56" s="33" t="s">
        <v>47</v>
      </c>
      <c r="C56" s="34">
        <v>27.0</v>
      </c>
      <c r="D56" s="34">
        <v>0.0</v>
      </c>
      <c r="E56" s="35">
        <f t="shared" si="2"/>
        <v>0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59">C56+L56</f>
        <v>36</v>
      </c>
      <c r="O56" s="34">
        <f t="shared" si="59"/>
        <v>0</v>
      </c>
      <c r="P56" s="49" t="s">
        <v>58</v>
      </c>
      <c r="Q56" s="49" t="s">
        <v>58</v>
      </c>
      <c r="R56" s="49"/>
      <c r="S56" s="52">
        <f t="shared" si="4"/>
        <v>0</v>
      </c>
      <c r="T56" s="52">
        <f t="shared" si="5"/>
        <v>0</v>
      </c>
      <c r="U56" s="52"/>
      <c r="V56" s="52">
        <f t="shared" si="6"/>
        <v>4</v>
      </c>
      <c r="W56" s="52">
        <f t="shared" si="7"/>
        <v>-3</v>
      </c>
      <c r="X56" s="32">
        <f t="shared" si="10"/>
        <v>52</v>
      </c>
    </row>
    <row r="57">
      <c r="A57" s="32">
        <f t="shared" si="8"/>
        <v>53</v>
      </c>
      <c r="B57" s="33" t="s">
        <v>140</v>
      </c>
      <c r="C57" s="34">
        <v>27.0</v>
      </c>
      <c r="D57" s="34">
        <v>0.0</v>
      </c>
      <c r="E57" s="35">
        <f t="shared" si="2"/>
        <v>0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0">C57+L57</f>
        <v>36</v>
      </c>
      <c r="O57" s="34">
        <f t="shared" si="60"/>
        <v>0</v>
      </c>
      <c r="P57" s="49" t="s">
        <v>58</v>
      </c>
      <c r="Q57" s="49" t="s">
        <v>58</v>
      </c>
      <c r="R57" s="49"/>
      <c r="S57" s="52">
        <f t="shared" si="4"/>
        <v>0</v>
      </c>
      <c r="T57" s="52">
        <f t="shared" si="5"/>
        <v>0</v>
      </c>
      <c r="U57" s="52"/>
      <c r="V57" s="52">
        <f t="shared" si="6"/>
        <v>4</v>
      </c>
      <c r="W57" s="52">
        <f t="shared" si="7"/>
        <v>-3</v>
      </c>
      <c r="X57" s="32">
        <f t="shared" si="10"/>
        <v>53</v>
      </c>
    </row>
    <row r="58">
      <c r="A58" s="32">
        <f t="shared" si="8"/>
        <v>54</v>
      </c>
      <c r="B58" s="33" t="s">
        <v>75</v>
      </c>
      <c r="C58" s="34">
        <v>27.0</v>
      </c>
      <c r="D58" s="34">
        <v>0.0</v>
      </c>
      <c r="E58" s="35">
        <f t="shared" si="2"/>
        <v>0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1">C58+L58</f>
        <v>36</v>
      </c>
      <c r="O58" s="34">
        <f t="shared" si="61"/>
        <v>0</v>
      </c>
      <c r="P58" s="49" t="s">
        <v>58</v>
      </c>
      <c r="Q58" s="49" t="s">
        <v>58</v>
      </c>
      <c r="R58" s="49"/>
      <c r="S58" s="52">
        <f t="shared" si="4"/>
        <v>0</v>
      </c>
      <c r="T58" s="52">
        <f t="shared" si="5"/>
        <v>0</v>
      </c>
      <c r="U58" s="52"/>
      <c r="V58" s="52">
        <f t="shared" si="6"/>
        <v>4</v>
      </c>
      <c r="W58" s="52">
        <f t="shared" si="7"/>
        <v>-3</v>
      </c>
      <c r="X58" s="32">
        <f t="shared" si="10"/>
        <v>54</v>
      </c>
    </row>
    <row r="59">
      <c r="A59" s="32">
        <f t="shared" si="8"/>
        <v>55</v>
      </c>
      <c r="B59" s="33" t="s">
        <v>121</v>
      </c>
      <c r="C59" s="34">
        <v>27.0</v>
      </c>
      <c r="D59" s="34">
        <v>0.0</v>
      </c>
      <c r="E59" s="35">
        <f t="shared" si="2"/>
        <v>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2">C59+L59</f>
        <v>36</v>
      </c>
      <c r="O59" s="34">
        <f t="shared" si="62"/>
        <v>0</v>
      </c>
      <c r="P59" s="49" t="s">
        <v>58</v>
      </c>
      <c r="Q59" s="49" t="s">
        <v>58</v>
      </c>
      <c r="R59" s="49"/>
      <c r="S59" s="52">
        <f t="shared" si="4"/>
        <v>0</v>
      </c>
      <c r="T59" s="52">
        <f t="shared" si="5"/>
        <v>0</v>
      </c>
      <c r="U59" s="52"/>
      <c r="V59" s="52">
        <f t="shared" si="6"/>
        <v>4</v>
      </c>
      <c r="W59" s="52">
        <f t="shared" si="7"/>
        <v>-3</v>
      </c>
      <c r="X59" s="32">
        <f t="shared" si="10"/>
        <v>55</v>
      </c>
    </row>
    <row r="60">
      <c r="A60" s="32">
        <f t="shared" si="8"/>
        <v>56</v>
      </c>
      <c r="B60" s="33" t="s">
        <v>141</v>
      </c>
      <c r="C60" s="34">
        <v>27.0</v>
      </c>
      <c r="D60" s="34">
        <v>0.0</v>
      </c>
      <c r="E60" s="35">
        <f t="shared" si="2"/>
        <v>0</v>
      </c>
      <c r="F60" s="95">
        <v>4.0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3">C60+L60</f>
        <v>36</v>
      </c>
      <c r="O60" s="34">
        <f t="shared" si="63"/>
        <v>0</v>
      </c>
      <c r="P60" s="49" t="s">
        <v>58</v>
      </c>
      <c r="Q60" s="49" t="s">
        <v>58</v>
      </c>
      <c r="R60" s="49"/>
      <c r="S60" s="52">
        <f t="shared" si="4"/>
        <v>0</v>
      </c>
      <c r="T60" s="52">
        <f t="shared" si="5"/>
        <v>0</v>
      </c>
      <c r="U60" s="52"/>
      <c r="V60" s="52">
        <f t="shared" si="6"/>
        <v>4</v>
      </c>
      <c r="W60" s="52">
        <f t="shared" si="7"/>
        <v>-3</v>
      </c>
      <c r="X60" s="32">
        <f t="shared" si="10"/>
        <v>56</v>
      </c>
    </row>
    <row r="61">
      <c r="A61" s="32">
        <f t="shared" si="8"/>
        <v>57</v>
      </c>
      <c r="B61" s="33" t="s">
        <v>101</v>
      </c>
      <c r="C61" s="34">
        <v>27.0</v>
      </c>
      <c r="D61" s="34">
        <v>0.0</v>
      </c>
      <c r="E61" s="35">
        <f t="shared" si="2"/>
        <v>0</v>
      </c>
      <c r="F61" s="95">
        <v>1.0</v>
      </c>
      <c r="G61" s="96">
        <v>8.0</v>
      </c>
      <c r="H61" s="97">
        <v>0.0</v>
      </c>
      <c r="I61" s="96">
        <v>6.0</v>
      </c>
      <c r="J61" s="96">
        <v>2.0</v>
      </c>
      <c r="K61" s="96">
        <v>2.0</v>
      </c>
      <c r="L61" s="98">
        <v>10.0</v>
      </c>
      <c r="M61" s="96">
        <v>0.0</v>
      </c>
      <c r="N61" s="34">
        <f t="shared" ref="N61:O61" si="64">C61+L61</f>
        <v>37</v>
      </c>
      <c r="O61" s="34">
        <f t="shared" si="64"/>
        <v>0</v>
      </c>
      <c r="P61" s="49" t="s">
        <v>58</v>
      </c>
      <c r="Q61" s="49" t="s">
        <v>58</v>
      </c>
      <c r="R61" s="49"/>
      <c r="S61" s="52">
        <f t="shared" si="4"/>
        <v>1</v>
      </c>
      <c r="T61" s="52">
        <f t="shared" si="5"/>
        <v>0</v>
      </c>
      <c r="U61" s="52"/>
      <c r="V61" s="52">
        <f t="shared" si="6"/>
        <v>3</v>
      </c>
      <c r="W61" s="52">
        <f t="shared" si="7"/>
        <v>-3</v>
      </c>
      <c r="X61" s="32">
        <f t="shared" si="10"/>
        <v>57</v>
      </c>
    </row>
    <row r="62">
      <c r="A62" s="32">
        <f t="shared" si="8"/>
        <v>58</v>
      </c>
      <c r="B62" s="33" t="s">
        <v>139</v>
      </c>
      <c r="C62" s="34">
        <v>27.0</v>
      </c>
      <c r="D62" s="34">
        <v>0.0</v>
      </c>
      <c r="E62" s="35">
        <f t="shared" si="2"/>
        <v>0</v>
      </c>
      <c r="F62" s="95">
        <v>1.0</v>
      </c>
      <c r="G62" s="96">
        <v>8.0</v>
      </c>
      <c r="H62" s="97">
        <v>0.0</v>
      </c>
      <c r="I62" s="96">
        <v>6.0</v>
      </c>
      <c r="J62" s="96">
        <v>6.0</v>
      </c>
      <c r="K62" s="96">
        <v>6.0</v>
      </c>
      <c r="L62" s="98">
        <v>18.0</v>
      </c>
      <c r="M62" s="96">
        <v>2.0</v>
      </c>
      <c r="N62" s="34">
        <f t="shared" ref="N62:O62" si="65">C62+L62</f>
        <v>45</v>
      </c>
      <c r="O62" s="34">
        <f t="shared" si="65"/>
        <v>2</v>
      </c>
      <c r="P62" s="49" t="s">
        <v>58</v>
      </c>
      <c r="Q62" s="49" t="s">
        <v>58</v>
      </c>
      <c r="R62" s="49"/>
      <c r="S62" s="52">
        <f t="shared" si="4"/>
        <v>1</v>
      </c>
      <c r="T62" s="52">
        <f t="shared" si="5"/>
        <v>0</v>
      </c>
      <c r="U62" s="52"/>
      <c r="V62" s="52">
        <f t="shared" si="6"/>
        <v>3</v>
      </c>
      <c r="W62" s="52">
        <f t="shared" si="7"/>
        <v>-3</v>
      </c>
      <c r="X62" s="32">
        <f t="shared" si="10"/>
        <v>58</v>
      </c>
    </row>
    <row r="63">
      <c r="A63" s="32">
        <f t="shared" si="8"/>
        <v>59</v>
      </c>
      <c r="B63" s="33" t="s">
        <v>95</v>
      </c>
      <c r="C63" s="34">
        <v>27.0</v>
      </c>
      <c r="D63" s="34">
        <v>0.0</v>
      </c>
      <c r="E63" s="35">
        <f t="shared" si="2"/>
        <v>0</v>
      </c>
      <c r="F63" s="95">
        <v>5.0</v>
      </c>
      <c r="G63" s="96">
        <v>0.0</v>
      </c>
      <c r="H63" s="97">
        <v>13.0</v>
      </c>
      <c r="I63" s="96">
        <v>0.0</v>
      </c>
      <c r="J63" s="96">
        <v>0.0</v>
      </c>
      <c r="K63" s="96">
        <v>0.0</v>
      </c>
      <c r="L63" s="98">
        <v>13.0</v>
      </c>
      <c r="M63" s="96">
        <v>0.0</v>
      </c>
      <c r="N63" s="34">
        <f t="shared" ref="N63:O63" si="66">C63+L63</f>
        <v>40</v>
      </c>
      <c r="O63" s="34">
        <f t="shared" si="66"/>
        <v>0</v>
      </c>
      <c r="P63" s="49" t="s">
        <v>58</v>
      </c>
      <c r="Q63" s="49" t="s">
        <v>58</v>
      </c>
      <c r="R63" s="49"/>
      <c r="S63" s="52">
        <f t="shared" si="4"/>
        <v>0</v>
      </c>
      <c r="T63" s="52">
        <f t="shared" si="5"/>
        <v>1</v>
      </c>
      <c r="U63" s="52"/>
      <c r="V63" s="52">
        <f t="shared" si="6"/>
        <v>3</v>
      </c>
      <c r="W63" s="52">
        <f t="shared" si="7"/>
        <v>-3</v>
      </c>
      <c r="X63" s="32">
        <f t="shared" si="10"/>
        <v>59</v>
      </c>
    </row>
    <row r="64">
      <c r="A64" s="32">
        <f t="shared" si="8"/>
        <v>60</v>
      </c>
      <c r="B64" s="33" t="s">
        <v>146</v>
      </c>
      <c r="C64" s="34">
        <v>27.0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7">C64+L64</f>
        <v>36</v>
      </c>
      <c r="O64" s="34">
        <f t="shared" si="67"/>
        <v>0</v>
      </c>
      <c r="P64" s="49" t="s">
        <v>58</v>
      </c>
      <c r="Q64" s="49" t="s">
        <v>58</v>
      </c>
      <c r="R64" s="49"/>
      <c r="S64" s="52">
        <f t="shared" si="4"/>
        <v>0</v>
      </c>
      <c r="T64" s="52">
        <f t="shared" si="5"/>
        <v>0</v>
      </c>
      <c r="U64" s="52"/>
      <c r="V64" s="52">
        <f t="shared" si="6"/>
        <v>4</v>
      </c>
      <c r="W64" s="52">
        <f t="shared" si="7"/>
        <v>-3</v>
      </c>
      <c r="X64" s="32">
        <f t="shared" si="10"/>
        <v>60</v>
      </c>
    </row>
    <row r="65">
      <c r="A65" s="32">
        <f t="shared" si="8"/>
        <v>61</v>
      </c>
      <c r="B65" s="33" t="s">
        <v>69</v>
      </c>
      <c r="C65" s="34">
        <v>27.0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8">C65+L65</f>
        <v>36</v>
      </c>
      <c r="O65" s="34">
        <f t="shared" si="68"/>
        <v>0</v>
      </c>
      <c r="P65" s="49" t="s">
        <v>58</v>
      </c>
      <c r="Q65" s="49" t="s">
        <v>58</v>
      </c>
      <c r="R65" s="49"/>
      <c r="S65" s="52">
        <f t="shared" si="4"/>
        <v>0</v>
      </c>
      <c r="T65" s="52">
        <f t="shared" si="5"/>
        <v>0</v>
      </c>
      <c r="U65" s="52"/>
      <c r="V65" s="52">
        <f t="shared" si="6"/>
        <v>4</v>
      </c>
      <c r="W65" s="52">
        <f t="shared" si="7"/>
        <v>-2</v>
      </c>
      <c r="X65" s="32">
        <f t="shared" si="10"/>
        <v>61</v>
      </c>
    </row>
    <row r="66">
      <c r="A66" s="32">
        <f t="shared" si="8"/>
        <v>62</v>
      </c>
      <c r="B66" s="33" t="s">
        <v>104</v>
      </c>
      <c r="C66" s="34">
        <v>27.0</v>
      </c>
      <c r="D66" s="34">
        <v>0.0</v>
      </c>
      <c r="E66" s="35">
        <f t="shared" si="2"/>
        <v>0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69">C66+L66</f>
        <v>36</v>
      </c>
      <c r="O66" s="34">
        <f t="shared" si="69"/>
        <v>0</v>
      </c>
      <c r="P66" s="49" t="s">
        <v>58</v>
      </c>
      <c r="Q66" s="49" t="s">
        <v>58</v>
      </c>
      <c r="R66" s="49"/>
      <c r="S66" s="52">
        <f t="shared" si="4"/>
        <v>0</v>
      </c>
      <c r="T66" s="52">
        <f t="shared" si="5"/>
        <v>0</v>
      </c>
      <c r="U66" s="52"/>
      <c r="V66" s="52">
        <f t="shared" si="6"/>
        <v>4</v>
      </c>
      <c r="W66" s="52">
        <f t="shared" si="7"/>
        <v>-2</v>
      </c>
      <c r="X66" s="32">
        <f t="shared" si="10"/>
        <v>62</v>
      </c>
    </row>
    <row r="67">
      <c r="A67" s="32">
        <f t="shared" si="8"/>
        <v>63</v>
      </c>
      <c r="B67" s="33" t="s">
        <v>131</v>
      </c>
      <c r="C67" s="34">
        <v>27.0</v>
      </c>
      <c r="D67" s="34">
        <v>0.0</v>
      </c>
      <c r="E67" s="35">
        <f t="shared" si="2"/>
        <v>0</v>
      </c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70">C67+L67</f>
        <v>36</v>
      </c>
      <c r="O67" s="34">
        <f t="shared" si="70"/>
        <v>0</v>
      </c>
      <c r="P67" s="49" t="s">
        <v>58</v>
      </c>
      <c r="Q67" s="49" t="s">
        <v>58</v>
      </c>
      <c r="R67" s="49"/>
      <c r="S67" s="52">
        <f t="shared" si="4"/>
        <v>0</v>
      </c>
      <c r="T67" s="52">
        <f t="shared" si="5"/>
        <v>0</v>
      </c>
      <c r="U67" s="52"/>
      <c r="V67" s="52">
        <f t="shared" si="6"/>
        <v>4</v>
      </c>
      <c r="W67" s="52">
        <f t="shared" si="7"/>
        <v>-2</v>
      </c>
      <c r="X67" s="32">
        <f t="shared" si="10"/>
        <v>63</v>
      </c>
    </row>
    <row r="68">
      <c r="A68" s="32">
        <f t="shared" si="8"/>
        <v>64</v>
      </c>
      <c r="B68" s="33" t="s">
        <v>118</v>
      </c>
      <c r="C68" s="34">
        <v>25.0</v>
      </c>
      <c r="D68" s="34">
        <v>1.0</v>
      </c>
      <c r="E68" s="35">
        <f t="shared" si="2"/>
        <v>-2</v>
      </c>
      <c r="F68" s="95">
        <v>3.0</v>
      </c>
      <c r="G68" s="96">
        <v>0.0</v>
      </c>
      <c r="H68" s="97">
        <v>9.0</v>
      </c>
      <c r="I68" s="96">
        <v>0.0</v>
      </c>
      <c r="J68" s="96">
        <v>0.0</v>
      </c>
      <c r="K68" s="96">
        <v>0.0</v>
      </c>
      <c r="L68" s="98">
        <v>9.0</v>
      </c>
      <c r="M68" s="96">
        <v>0.0</v>
      </c>
      <c r="N68" s="34">
        <f t="shared" ref="N68:O68" si="71">C68+L68</f>
        <v>34</v>
      </c>
      <c r="O68" s="34">
        <f t="shared" si="71"/>
        <v>1</v>
      </c>
      <c r="P68" s="49" t="s">
        <v>58</v>
      </c>
      <c r="Q68" s="49" t="s">
        <v>58</v>
      </c>
      <c r="R68" s="49"/>
      <c r="S68" s="52">
        <f t="shared" si="4"/>
        <v>1</v>
      </c>
      <c r="T68" s="52">
        <f t="shared" si="5"/>
        <v>0</v>
      </c>
      <c r="U68" s="52"/>
      <c r="V68" s="52">
        <f t="shared" si="6"/>
        <v>3</v>
      </c>
      <c r="W68" s="52">
        <f t="shared" si="7"/>
        <v>-2</v>
      </c>
      <c r="X68" s="32">
        <f t="shared" si="10"/>
        <v>64</v>
      </c>
    </row>
    <row r="69">
      <c r="A69" s="32">
        <f t="shared" si="8"/>
        <v>65</v>
      </c>
      <c r="B69" s="33" t="s">
        <v>86</v>
      </c>
      <c r="C69" s="34">
        <v>19.0</v>
      </c>
      <c r="D69" s="34">
        <v>0.0</v>
      </c>
      <c r="E69" s="35">
        <f t="shared" si="2"/>
        <v>0.5</v>
      </c>
      <c r="F69" s="95">
        <v>3.0</v>
      </c>
      <c r="G69" s="96">
        <v>0.0</v>
      </c>
      <c r="H69" s="97">
        <v>9.0</v>
      </c>
      <c r="I69" s="96">
        <v>0.0</v>
      </c>
      <c r="J69" s="96">
        <v>0.0</v>
      </c>
      <c r="K69" s="96">
        <v>0.0</v>
      </c>
      <c r="L69" s="98">
        <v>9.0</v>
      </c>
      <c r="M69" s="96">
        <v>0.0</v>
      </c>
      <c r="N69" s="34">
        <f t="shared" ref="N69:O69" si="72">C69+L69</f>
        <v>28</v>
      </c>
      <c r="O69" s="34">
        <f t="shared" si="72"/>
        <v>0</v>
      </c>
      <c r="P69" s="49" t="s">
        <v>58</v>
      </c>
      <c r="Q69" s="49" t="s">
        <v>58</v>
      </c>
      <c r="R69" s="49"/>
      <c r="S69" s="52">
        <f t="shared" si="4"/>
        <v>2</v>
      </c>
      <c r="T69" s="52">
        <f t="shared" si="5"/>
        <v>0</v>
      </c>
      <c r="U69" s="52"/>
      <c r="V69" s="52">
        <f t="shared" si="6"/>
        <v>2</v>
      </c>
      <c r="W69" s="52">
        <f t="shared" si="7"/>
        <v>0</v>
      </c>
      <c r="X69" s="32">
        <f t="shared" si="10"/>
        <v>65</v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K73" s="82"/>
      <c r="L73" s="99"/>
      <c r="M73" s="100"/>
    </row>
    <row r="74">
      <c r="A74" s="1"/>
      <c r="C74" s="1"/>
      <c r="D74" s="1"/>
      <c r="K74" s="82"/>
      <c r="L74" s="99"/>
      <c r="M74" s="100"/>
      <c r="P74" s="129" t="s">
        <v>152</v>
      </c>
      <c r="Q74" s="26"/>
      <c r="R74" s="16">
        <f>COUNTIF(R5:R69,"X")</f>
        <v>0</v>
      </c>
      <c r="S74" s="130"/>
      <c r="T74" s="130">
        <f>R74/R78</f>
        <v>0</v>
      </c>
    </row>
    <row r="75">
      <c r="A75" s="1"/>
      <c r="C75" s="1"/>
      <c r="D75" s="1"/>
      <c r="K75" s="82"/>
      <c r="L75" s="99"/>
      <c r="M75" s="100"/>
      <c r="P75" s="19" t="s">
        <v>154</v>
      </c>
      <c r="Q75" s="16"/>
      <c r="R75" s="16">
        <f>countif(R5:R69,"N")</f>
        <v>0</v>
      </c>
    </row>
    <row r="76">
      <c r="A76" s="1"/>
      <c r="B76" s="131" t="s">
        <v>179</v>
      </c>
      <c r="C76" s="112" t="s">
        <v>159</v>
      </c>
      <c r="D76" s="112" t="s">
        <v>160</v>
      </c>
      <c r="E76" s="112" t="s">
        <v>1</v>
      </c>
      <c r="F76" s="1"/>
      <c r="L76" s="99"/>
      <c r="M76" s="100"/>
      <c r="P76" s="129" t="s">
        <v>180</v>
      </c>
      <c r="Q76" s="26"/>
      <c r="R76" s="19"/>
    </row>
    <row r="77">
      <c r="A77" s="1"/>
      <c r="B77" s="33" t="str">
        <f>IFERROR(__xludf.DUMMYFUNCTION("QUERY(B5:M69,""Select B, L, M, G where L &gt;= 18 order by L desc,M desc"",0)"),"Sandeep Kamalon")</f>
        <v>Sandeep Kamalon</v>
      </c>
      <c r="C77" s="117">
        <f>IFERROR(__xludf.DUMMYFUNCTION("""COMPUTED_VALUE"""),18.0)</f>
        <v>18</v>
      </c>
      <c r="D77" s="117">
        <f>IFERROR(__xludf.DUMMYFUNCTION("""COMPUTED_VALUE"""),3.0)</f>
        <v>3</v>
      </c>
      <c r="E77" s="117">
        <f>IFERROR(__xludf.DUMMYFUNCTION("""COMPUTED_VALUE"""),1.0)</f>
        <v>1</v>
      </c>
      <c r="F77" s="1"/>
      <c r="L77" s="99"/>
      <c r="M77" s="100"/>
      <c r="P77" s="129" t="s">
        <v>155</v>
      </c>
      <c r="Q77" s="26"/>
      <c r="R77" s="16">
        <f>countif(R5:R69,"")</f>
        <v>65</v>
      </c>
    </row>
    <row r="78">
      <c r="A78" s="1"/>
      <c r="B78" s="33" t="str">
        <f>IFERROR(__xludf.DUMMYFUNCTION("""COMPUTED_VALUE"""),"Chinna Ponnaganti")</f>
        <v>Chinna Ponnaganti</v>
      </c>
      <c r="C78" s="117">
        <f>IFERROR(__xludf.DUMMYFUNCTION("""COMPUTED_VALUE"""),18.0)</f>
        <v>18</v>
      </c>
      <c r="D78" s="117">
        <f>IFERROR(__xludf.DUMMYFUNCTION("""COMPUTED_VALUE"""),3.0)</f>
        <v>3</v>
      </c>
      <c r="E78" s="117">
        <f>IFERROR(__xludf.DUMMYFUNCTION("""COMPUTED_VALUE"""),5.0)</f>
        <v>5</v>
      </c>
      <c r="F78" s="1"/>
      <c r="M78" s="132"/>
      <c r="P78" s="129" t="s">
        <v>61</v>
      </c>
      <c r="Q78" s="26"/>
      <c r="R78" s="16">
        <f>sum(R74:R77)-R76</f>
        <v>65</v>
      </c>
    </row>
    <row r="79">
      <c r="A79" s="1"/>
      <c r="B79" s="33" t="str">
        <f>IFERROR(__xludf.DUMMYFUNCTION("""COMPUTED_VALUE"""),"Ted Shen")</f>
        <v>Ted Shen</v>
      </c>
      <c r="C79" s="117">
        <f>IFERROR(__xludf.DUMMYFUNCTION("""COMPUTED_VALUE"""),18.0)</f>
        <v>18</v>
      </c>
      <c r="D79" s="117">
        <f>IFERROR(__xludf.DUMMYFUNCTION("""COMPUTED_VALUE"""),3.0)</f>
        <v>3</v>
      </c>
      <c r="E79" s="117">
        <f>IFERROR(__xludf.DUMMYFUNCTION("""COMPUTED_VALUE"""),6.0)</f>
        <v>6</v>
      </c>
      <c r="F79" s="1"/>
    </row>
    <row r="80">
      <c r="A80" s="1"/>
      <c r="B80" s="33" t="str">
        <f>IFERROR(__xludf.DUMMYFUNCTION("""COMPUTED_VALUE"""),"Jimmy Awolesi")</f>
        <v>Jimmy Awolesi</v>
      </c>
      <c r="C80" s="117">
        <f>IFERROR(__xludf.DUMMYFUNCTION("""COMPUTED_VALUE"""),18.0)</f>
        <v>18</v>
      </c>
      <c r="D80" s="117">
        <f>IFERROR(__xludf.DUMMYFUNCTION("""COMPUTED_VALUE"""),3.0)</f>
        <v>3</v>
      </c>
      <c r="E80" s="117">
        <f>IFERROR(__xludf.DUMMYFUNCTION("""COMPUTED_VALUE"""),7.0)</f>
        <v>7</v>
      </c>
      <c r="F80" s="1"/>
    </row>
    <row r="81">
      <c r="A81" s="1"/>
      <c r="B81" s="33" t="str">
        <f>IFERROR(__xludf.DUMMYFUNCTION("""COMPUTED_VALUE"""),"Lam Bui")</f>
        <v>Lam Bui</v>
      </c>
      <c r="C81" s="117">
        <f>IFERROR(__xludf.DUMMYFUNCTION("""COMPUTED_VALUE"""),18.0)</f>
        <v>18</v>
      </c>
      <c r="D81" s="117">
        <f>IFERROR(__xludf.DUMMYFUNCTION("""COMPUTED_VALUE"""),2.0)</f>
        <v>2</v>
      </c>
      <c r="E81" s="117">
        <f>IFERROR(__xludf.DUMMYFUNCTION("""COMPUTED_VALUE"""),9.0)</f>
        <v>9</v>
      </c>
      <c r="F81" s="1"/>
      <c r="L81" s="51"/>
    </row>
    <row r="82">
      <c r="A82" s="1"/>
      <c r="B82" s="33" t="str">
        <f>IFERROR(__xludf.DUMMYFUNCTION("""COMPUTED_VALUE"""),"David Shin")</f>
        <v>David Shin</v>
      </c>
      <c r="C82" s="117">
        <f>IFERROR(__xludf.DUMMYFUNCTION("""COMPUTED_VALUE"""),18.0)</f>
        <v>18</v>
      </c>
      <c r="D82" s="117">
        <f>IFERROR(__xludf.DUMMYFUNCTION("""COMPUTED_VALUE"""),2.0)</f>
        <v>2</v>
      </c>
      <c r="E82" s="117">
        <f>IFERROR(__xludf.DUMMYFUNCTION("""COMPUTED_VALUE"""),2.0)</f>
        <v>2</v>
      </c>
      <c r="F82" s="1"/>
      <c r="L82" s="51"/>
    </row>
    <row r="83">
      <c r="A83" s="1"/>
      <c r="B83" s="33" t="str">
        <f>IFERROR(__xludf.DUMMYFUNCTION("""COMPUTED_VALUE"""),"Sandy Weyant")</f>
        <v>Sandy Weyant</v>
      </c>
      <c r="C83" s="117">
        <f>IFERROR(__xludf.DUMMYFUNCTION("""COMPUTED_VALUE"""),18.0)</f>
        <v>18</v>
      </c>
      <c r="D83" s="117">
        <f>IFERROR(__xludf.DUMMYFUNCTION("""COMPUTED_VALUE"""),2.0)</f>
        <v>2</v>
      </c>
      <c r="E83" s="117">
        <f>IFERROR(__xludf.DUMMYFUNCTION("""COMPUTED_VALUE"""),8.0)</f>
        <v>8</v>
      </c>
      <c r="F83" s="1"/>
      <c r="L83" s="51"/>
    </row>
    <row r="84">
      <c r="A84" s="1"/>
      <c r="B84" s="33"/>
      <c r="C84" s="117"/>
      <c r="D84" s="117"/>
      <c r="E84" s="117"/>
      <c r="F84" s="1"/>
      <c r="L84" s="5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C87" s="1"/>
      <c r="D87" s="1"/>
      <c r="E87" s="1"/>
      <c r="F87" s="1"/>
    </row>
    <row r="88">
      <c r="A88" s="1"/>
      <c r="B88" s="51"/>
      <c r="C88" s="1"/>
      <c r="D88" s="1"/>
      <c r="E88" s="1"/>
      <c r="F88" s="1"/>
      <c r="G88" s="1"/>
      <c r="H88" s="1"/>
    </row>
    <row r="89">
      <c r="A89" s="1"/>
      <c r="B89" s="51"/>
      <c r="C89" s="1"/>
      <c r="D89" s="1"/>
      <c r="E89" s="1"/>
      <c r="F89" s="1"/>
    </row>
    <row r="90" ht="37.5" customHeight="1">
      <c r="A90" s="1"/>
      <c r="B90" s="119" t="s">
        <v>167</v>
      </c>
      <c r="C90" s="119" t="s">
        <v>168</v>
      </c>
      <c r="D90" s="133" t="s">
        <v>169</v>
      </c>
      <c r="E90" s="134" t="s">
        <v>170</v>
      </c>
      <c r="F90" s="135" t="s">
        <v>171</v>
      </c>
      <c r="G90" s="119" t="s">
        <v>172</v>
      </c>
      <c r="L90" s="119" t="s">
        <v>173</v>
      </c>
    </row>
    <row r="91">
      <c r="A91" s="1"/>
      <c r="B91" s="33" t="str">
        <f>IFERROR(__xludf.DUMMYFUNCTION("query(B5:W69,""select B, W order by W Desc Limit 10"")"),"Tom Le")</f>
        <v>Tom Le</v>
      </c>
      <c r="C91" s="117">
        <f>IFERROR(__xludf.DUMMYFUNCTION("""COMPUTED_VALUE"""),25.0)</f>
        <v>25</v>
      </c>
      <c r="D91" s="117">
        <f t="shared" ref="D91:D100" si="73">VLOOKUP(B91,indirect($AC$2&amp;"!B$5:X$69"),23, false)</f>
        <v>37</v>
      </c>
      <c r="E91" s="117">
        <f t="shared" ref="E91:E100" si="74">VLOOKUP(B91,B$5:X$69,23, false)</f>
        <v>12</v>
      </c>
      <c r="F91" s="117">
        <f t="shared" ref="F91:F100" si="75">VLOOKUP(B91,indirect($AC$2&amp;"!B$5:U$70"),11, false)</f>
        <v>18</v>
      </c>
      <c r="G91" s="117">
        <f t="shared" ref="G91:G100" si="76">VLOOKUP(B91,indirect($AC$2&amp;"!B$5:U$70"),6, false)</f>
        <v>6</v>
      </c>
      <c r="L91" s="117" t="str">
        <f t="shared" ref="L91:L100" si="77">if(D91-E91=C91,"ok","Error")</f>
        <v>ok</v>
      </c>
    </row>
    <row r="92">
      <c r="A92" s="1"/>
      <c r="B92" s="33" t="str">
        <f>IFERROR(__xludf.DUMMYFUNCTION("""COMPUTED_VALUE"""),"Eric Pan")</f>
        <v>Eric Pan</v>
      </c>
      <c r="C92" s="117">
        <f>IFERROR(__xludf.DUMMYFUNCTION("""COMPUTED_VALUE"""),23.0)</f>
        <v>23</v>
      </c>
      <c r="D92" s="117">
        <f t="shared" si="73"/>
        <v>33</v>
      </c>
      <c r="E92" s="117">
        <f t="shared" si="74"/>
        <v>10</v>
      </c>
      <c r="F92" s="117">
        <f t="shared" si="75"/>
        <v>19</v>
      </c>
      <c r="G92" s="117">
        <f t="shared" si="76"/>
        <v>5</v>
      </c>
      <c r="L92" s="117" t="str">
        <f t="shared" si="77"/>
        <v>ok</v>
      </c>
    </row>
    <row r="93">
      <c r="A93" s="1"/>
      <c r="B93" s="33" t="str">
        <f>IFERROR(__xludf.DUMMYFUNCTION("""COMPUTED_VALUE"""),"Herman Au")</f>
        <v>Herman Au</v>
      </c>
      <c r="C93" s="117">
        <f>IFERROR(__xludf.DUMMYFUNCTION("""COMPUTED_VALUE"""),23.0)</f>
        <v>23</v>
      </c>
      <c r="D93" s="117">
        <f t="shared" si="73"/>
        <v>36</v>
      </c>
      <c r="E93" s="117">
        <f t="shared" si="74"/>
        <v>13</v>
      </c>
      <c r="F93" s="117">
        <f t="shared" si="75"/>
        <v>18</v>
      </c>
      <c r="G93" s="117">
        <f t="shared" si="76"/>
        <v>5</v>
      </c>
      <c r="L93" s="117" t="str">
        <f t="shared" si="77"/>
        <v>ok</v>
      </c>
      <c r="Q93" s="136"/>
    </row>
    <row r="94">
      <c r="A94" s="1"/>
      <c r="B94" s="33" t="str">
        <f>IFERROR(__xludf.DUMMYFUNCTION("""COMPUTED_VALUE"""),"Elayaraja Thangaraj")</f>
        <v>Elayaraja Thangaraj</v>
      </c>
      <c r="C94" s="117">
        <f>IFERROR(__xludf.DUMMYFUNCTION("""COMPUTED_VALUE"""),23.0)</f>
        <v>23</v>
      </c>
      <c r="D94" s="117">
        <f t="shared" si="73"/>
        <v>45</v>
      </c>
      <c r="E94" s="117">
        <f t="shared" si="74"/>
        <v>22</v>
      </c>
      <c r="F94" s="117">
        <f t="shared" si="75"/>
        <v>19</v>
      </c>
      <c r="G94" s="117">
        <f t="shared" si="76"/>
        <v>7</v>
      </c>
      <c r="L94" s="117" t="str">
        <f t="shared" si="77"/>
        <v>ok</v>
      </c>
    </row>
    <row r="95">
      <c r="A95" s="1"/>
      <c r="B95" s="33" t="str">
        <f>IFERROR(__xludf.DUMMYFUNCTION("""COMPUTED_VALUE"""),"Naveen Raj")</f>
        <v>Naveen Raj</v>
      </c>
      <c r="C95" s="117">
        <f>IFERROR(__xludf.DUMMYFUNCTION("""COMPUTED_VALUE"""),21.0)</f>
        <v>21</v>
      </c>
      <c r="D95" s="117">
        <f t="shared" si="73"/>
        <v>58</v>
      </c>
      <c r="E95" s="117">
        <f t="shared" si="74"/>
        <v>37</v>
      </c>
      <c r="F95" s="117">
        <f t="shared" si="75"/>
        <v>15</v>
      </c>
      <c r="G95" s="117">
        <f t="shared" si="76"/>
        <v>8</v>
      </c>
      <c r="L95" s="117" t="str">
        <f t="shared" si="77"/>
        <v>ok</v>
      </c>
    </row>
    <row r="96">
      <c r="A96" s="1"/>
      <c r="B96" s="33" t="str">
        <f>IFERROR(__xludf.DUMMYFUNCTION("""COMPUTED_VALUE"""),"Kumar Palakeel")</f>
        <v>Kumar Palakeel</v>
      </c>
      <c r="C96" s="117">
        <f>IFERROR(__xludf.DUMMYFUNCTION("""COMPUTED_VALUE"""),21.0)</f>
        <v>21</v>
      </c>
      <c r="D96" s="117">
        <f t="shared" si="73"/>
        <v>63</v>
      </c>
      <c r="E96" s="117">
        <f t="shared" si="74"/>
        <v>42</v>
      </c>
      <c r="F96" s="117">
        <f t="shared" si="75"/>
        <v>15</v>
      </c>
      <c r="G96" s="117">
        <f t="shared" si="76"/>
        <v>8</v>
      </c>
      <c r="L96" s="117" t="str">
        <f t="shared" si="77"/>
        <v>ok</v>
      </c>
    </row>
    <row r="97">
      <c r="A97" s="1"/>
      <c r="B97" s="33" t="str">
        <f>IFERROR(__xludf.DUMMYFUNCTION("""COMPUTED_VALUE"""),"Scott Li")</f>
        <v>Scott Li</v>
      </c>
      <c r="C97" s="117">
        <f>IFERROR(__xludf.DUMMYFUNCTION("""COMPUTED_VALUE"""),20.0)</f>
        <v>20</v>
      </c>
      <c r="D97" s="117">
        <f t="shared" si="73"/>
        <v>29</v>
      </c>
      <c r="E97" s="117">
        <f t="shared" si="74"/>
        <v>9</v>
      </c>
      <c r="F97" s="117">
        <f t="shared" si="75"/>
        <v>19</v>
      </c>
      <c r="G97" s="117">
        <f t="shared" si="76"/>
        <v>4</v>
      </c>
      <c r="L97" s="117" t="str">
        <f t="shared" si="77"/>
        <v>ok</v>
      </c>
    </row>
    <row r="98">
      <c r="A98" s="1"/>
      <c r="B98" s="33" t="str">
        <f>IFERROR(__xludf.DUMMYFUNCTION("""COMPUTED_VALUE"""),"Andrew Wen")</f>
        <v>Andrew Wen</v>
      </c>
      <c r="C98" s="117">
        <f>IFERROR(__xludf.DUMMYFUNCTION("""COMPUTED_VALUE"""),15.0)</f>
        <v>15</v>
      </c>
      <c r="D98" s="117">
        <f t="shared" si="73"/>
        <v>64</v>
      </c>
      <c r="E98" s="117">
        <f t="shared" si="74"/>
        <v>49</v>
      </c>
      <c r="F98" s="117">
        <f t="shared" si="75"/>
        <v>12</v>
      </c>
      <c r="G98" s="117">
        <f t="shared" si="76"/>
        <v>8</v>
      </c>
      <c r="L98" s="117" t="str">
        <f t="shared" si="77"/>
        <v>ok</v>
      </c>
    </row>
    <row r="99">
      <c r="A99" s="1"/>
      <c r="B99" s="33" t="str">
        <f>IFERROR(__xludf.DUMMYFUNCTION("""COMPUTED_VALUE"""),"Lam Bui")</f>
        <v>Lam Bui</v>
      </c>
      <c r="C99" s="117">
        <f>IFERROR(__xludf.DUMMYFUNCTION("""COMPUTED_VALUE"""),14.0)</f>
        <v>14</v>
      </c>
      <c r="D99" s="117">
        <f t="shared" si="73"/>
        <v>18</v>
      </c>
      <c r="E99" s="117">
        <f t="shared" si="74"/>
        <v>4</v>
      </c>
      <c r="F99" s="117">
        <f t="shared" si="75"/>
        <v>19</v>
      </c>
      <c r="G99" s="117">
        <f t="shared" si="76"/>
        <v>3</v>
      </c>
      <c r="L99" s="117" t="str">
        <f t="shared" si="77"/>
        <v>ok</v>
      </c>
    </row>
    <row r="100">
      <c r="A100" s="1"/>
      <c r="B100" s="33" t="str">
        <f>IFERROR(__xludf.DUMMYFUNCTION("""COMPUTED_VALUE"""),"Alex Hou")</f>
        <v>Alex Hou</v>
      </c>
      <c r="C100" s="117">
        <f>IFERROR(__xludf.DUMMYFUNCTION("""COMPUTED_VALUE"""),14.0)</f>
        <v>14</v>
      </c>
      <c r="D100" s="117">
        <f t="shared" si="73"/>
        <v>35</v>
      </c>
      <c r="E100" s="117">
        <f t="shared" si="74"/>
        <v>21</v>
      </c>
      <c r="F100" s="117">
        <f t="shared" si="75"/>
        <v>16</v>
      </c>
      <c r="G100" s="117">
        <f t="shared" si="76"/>
        <v>5</v>
      </c>
      <c r="L100" s="117" t="str">
        <f t="shared" si="77"/>
        <v>ok</v>
      </c>
    </row>
    <row r="101">
      <c r="A101" s="1"/>
      <c r="B101" s="51"/>
      <c r="C101" s="1"/>
      <c r="E101" s="1"/>
      <c r="F101" s="1"/>
    </row>
    <row r="102">
      <c r="A102" s="1"/>
      <c r="B102" s="51"/>
      <c r="C102" s="1"/>
      <c r="E102" s="1"/>
      <c r="F102" s="1"/>
    </row>
    <row r="103">
      <c r="A103" s="1"/>
      <c r="B103" s="131" t="s">
        <v>181</v>
      </c>
      <c r="C103" s="131" t="s">
        <v>182</v>
      </c>
      <c r="D103" s="133" t="s">
        <v>169</v>
      </c>
      <c r="E103" s="134" t="s">
        <v>170</v>
      </c>
      <c r="F103" s="135" t="s">
        <v>171</v>
      </c>
      <c r="G103" s="119" t="s">
        <v>172</v>
      </c>
      <c r="L103" s="119" t="s">
        <v>173</v>
      </c>
    </row>
    <row r="104">
      <c r="A104" s="1"/>
      <c r="B104" s="33" t="str">
        <f>IFERROR(__xludf.DUMMYFUNCTION("query(B5:W69,""select B, W order by W asc Limit 10"")"),"Mauricio Palacios")</f>
        <v>Mauricio Palacios</v>
      </c>
      <c r="C104" s="117">
        <f>IFERROR(__xludf.DUMMYFUNCTION("""COMPUTED_VALUE"""),-14.0)</f>
        <v>-14</v>
      </c>
      <c r="D104" s="117">
        <f t="shared" ref="D104:D113" si="78">VLOOKUP(B104,indirect($AC$2&amp;"!B$5:X$69"),23, false)</f>
        <v>9</v>
      </c>
      <c r="E104" s="117">
        <f t="shared" ref="E104:E113" si="79">VLOOKUP(B104,B$5:X$69,23, false)</f>
        <v>23</v>
      </c>
      <c r="F104" s="117">
        <f t="shared" ref="F104:F113" si="80">VLOOKUP(B104,indirect($AC$2&amp;"!B$5:U$70"),11, false)</f>
        <v>9</v>
      </c>
      <c r="G104" s="117">
        <f t="shared" ref="G104:G113" si="81">VLOOKUP(B104,indirect($AC$2&amp;"!B$5:U$70"),6, false)</f>
        <v>0</v>
      </c>
      <c r="L104" s="117" t="str">
        <f t="shared" ref="L104:L113" si="82">if(D104-E104=C104,"ok","Error")</f>
        <v>ok</v>
      </c>
    </row>
    <row r="105">
      <c r="A105" s="1"/>
      <c r="B105" s="33" t="str">
        <f>IFERROR(__xludf.DUMMYFUNCTION("""COMPUTED_VALUE"""),"Trish Newlin")</f>
        <v>Trish Newlin</v>
      </c>
      <c r="C105" s="117">
        <f>IFERROR(__xludf.DUMMYFUNCTION("""COMPUTED_VALUE"""),-14.0)</f>
        <v>-14</v>
      </c>
      <c r="D105" s="117">
        <f t="shared" si="78"/>
        <v>10</v>
      </c>
      <c r="E105" s="117">
        <f t="shared" si="79"/>
        <v>24</v>
      </c>
      <c r="F105" s="117">
        <f t="shared" si="80"/>
        <v>9</v>
      </c>
      <c r="G105" s="117">
        <f t="shared" si="81"/>
        <v>0</v>
      </c>
      <c r="L105" s="117" t="str">
        <f t="shared" si="82"/>
        <v>ok</v>
      </c>
    </row>
    <row r="106">
      <c r="A106" s="1"/>
      <c r="B106" s="33" t="str">
        <f>IFERROR(__xludf.DUMMYFUNCTION("""COMPUTED_VALUE"""),"Matthew Huang")</f>
        <v>Matthew Huang</v>
      </c>
      <c r="C106" s="117">
        <f>IFERROR(__xludf.DUMMYFUNCTION("""COMPUTED_VALUE"""),-13.0)</f>
        <v>-13</v>
      </c>
      <c r="D106" s="117">
        <f t="shared" si="78"/>
        <v>15</v>
      </c>
      <c r="E106" s="117">
        <f t="shared" si="79"/>
        <v>28</v>
      </c>
      <c r="F106" s="117">
        <f t="shared" si="80"/>
        <v>9</v>
      </c>
      <c r="G106" s="117">
        <f t="shared" si="81"/>
        <v>0</v>
      </c>
      <c r="L106" s="117" t="str">
        <f t="shared" si="82"/>
        <v>ok</v>
      </c>
    </row>
    <row r="107">
      <c r="A107" s="1"/>
      <c r="B107" s="33" t="str">
        <f>IFERROR(__xludf.DUMMYFUNCTION("""COMPUTED_VALUE"""),"Pavan Akkimsetty")</f>
        <v>Pavan Akkimsetty</v>
      </c>
      <c r="C107" s="117">
        <f>IFERROR(__xludf.DUMMYFUNCTION("""COMPUTED_VALUE"""),-12.0)</f>
        <v>-12</v>
      </c>
      <c r="D107" s="117">
        <f t="shared" si="78"/>
        <v>14</v>
      </c>
      <c r="E107" s="117">
        <f t="shared" si="79"/>
        <v>26</v>
      </c>
      <c r="F107" s="117">
        <f t="shared" si="80"/>
        <v>9</v>
      </c>
      <c r="G107" s="117">
        <f t="shared" si="81"/>
        <v>0</v>
      </c>
      <c r="L107" s="117" t="str">
        <f t="shared" si="82"/>
        <v>ok</v>
      </c>
    </row>
    <row r="108">
      <c r="A108" s="1"/>
      <c r="B108" s="33" t="str">
        <f>IFERROR(__xludf.DUMMYFUNCTION("""COMPUTED_VALUE"""),"Adrian Tay")</f>
        <v>Adrian Tay</v>
      </c>
      <c r="C108" s="117">
        <f>IFERROR(__xludf.DUMMYFUNCTION("""COMPUTED_VALUE"""),-12.0)</f>
        <v>-12</v>
      </c>
      <c r="D108" s="117">
        <f t="shared" si="78"/>
        <v>19</v>
      </c>
      <c r="E108" s="117">
        <f t="shared" si="79"/>
        <v>31</v>
      </c>
      <c r="F108" s="117">
        <f t="shared" si="80"/>
        <v>9</v>
      </c>
      <c r="G108" s="117">
        <f t="shared" si="81"/>
        <v>0</v>
      </c>
      <c r="L108" s="117" t="str">
        <f t="shared" si="82"/>
        <v>ok</v>
      </c>
    </row>
    <row r="109">
      <c r="A109" s="1"/>
      <c r="B109" s="33" t="str">
        <f>IFERROR(__xludf.DUMMYFUNCTION("""COMPUTED_VALUE"""),"Erik Hoeckmann")</f>
        <v>Erik Hoeckmann</v>
      </c>
      <c r="C109" s="117">
        <f>IFERROR(__xludf.DUMMYFUNCTION("""COMPUTED_VALUE"""),-12.0)</f>
        <v>-12</v>
      </c>
      <c r="D109" s="117">
        <f t="shared" si="78"/>
        <v>20</v>
      </c>
      <c r="E109" s="117">
        <f t="shared" si="79"/>
        <v>32</v>
      </c>
      <c r="F109" s="117">
        <f t="shared" si="80"/>
        <v>9</v>
      </c>
      <c r="G109" s="117">
        <f t="shared" si="81"/>
        <v>0</v>
      </c>
      <c r="L109" s="117" t="str">
        <f t="shared" si="82"/>
        <v>ok</v>
      </c>
    </row>
    <row r="110">
      <c r="A110" s="1"/>
      <c r="B110" s="33" t="str">
        <f>IFERROR(__xludf.DUMMYFUNCTION("""COMPUTED_VALUE"""),"Cid Macaraeg")</f>
        <v>Cid Macaraeg</v>
      </c>
      <c r="C110" s="117">
        <f>IFERROR(__xludf.DUMMYFUNCTION("""COMPUTED_VALUE"""),-12.0)</f>
        <v>-12</v>
      </c>
      <c r="D110" s="117">
        <f t="shared" si="78"/>
        <v>26</v>
      </c>
      <c r="E110" s="117">
        <f t="shared" si="79"/>
        <v>38</v>
      </c>
      <c r="F110" s="117">
        <f t="shared" si="80"/>
        <v>9</v>
      </c>
      <c r="G110" s="117">
        <f t="shared" si="81"/>
        <v>0</v>
      </c>
      <c r="L110" s="117" t="str">
        <f t="shared" si="82"/>
        <v>ok</v>
      </c>
    </row>
    <row r="111">
      <c r="A111" s="1"/>
      <c r="B111" s="33" t="str">
        <f>IFERROR(__xludf.DUMMYFUNCTION("""COMPUTED_VALUE"""),"Ted Shen")</f>
        <v>Ted Shen</v>
      </c>
      <c r="C111" s="117">
        <f>IFERROR(__xludf.DUMMYFUNCTION("""COMPUTED_VALUE"""),-12.0)</f>
        <v>-12</v>
      </c>
      <c r="D111" s="117">
        <f t="shared" si="78"/>
        <v>27</v>
      </c>
      <c r="E111" s="117">
        <f t="shared" si="79"/>
        <v>39</v>
      </c>
      <c r="F111" s="117">
        <f t="shared" si="80"/>
        <v>9</v>
      </c>
      <c r="G111" s="117">
        <f t="shared" si="81"/>
        <v>0</v>
      </c>
      <c r="L111" s="117" t="str">
        <f t="shared" si="82"/>
        <v>ok</v>
      </c>
    </row>
    <row r="112">
      <c r="A112" s="1"/>
      <c r="B112" s="33" t="str">
        <f>IFERROR(__xludf.DUMMYFUNCTION("""COMPUTED_VALUE"""),"Rajesh Dorairaj")</f>
        <v>Rajesh Dorairaj</v>
      </c>
      <c r="C112" s="117">
        <f>IFERROR(__xludf.DUMMYFUNCTION("""COMPUTED_VALUE"""),-10.0)</f>
        <v>-10</v>
      </c>
      <c r="D112" s="117">
        <f t="shared" si="78"/>
        <v>17</v>
      </c>
      <c r="E112" s="117">
        <f t="shared" si="79"/>
        <v>27</v>
      </c>
      <c r="F112" s="117">
        <f t="shared" si="80"/>
        <v>9</v>
      </c>
      <c r="G112" s="117">
        <f t="shared" si="81"/>
        <v>3</v>
      </c>
      <c r="L112" s="117" t="str">
        <f t="shared" si="82"/>
        <v>ok</v>
      </c>
    </row>
    <row r="113">
      <c r="A113" s="1"/>
      <c r="B113" s="33" t="str">
        <f>IFERROR(__xludf.DUMMYFUNCTION("""COMPUTED_VALUE"""),"Vicki Martinet")</f>
        <v>Vicki Martinet</v>
      </c>
      <c r="C113" s="117">
        <f>IFERROR(__xludf.DUMMYFUNCTION("""COMPUTED_VALUE"""),-10.0)</f>
        <v>-10</v>
      </c>
      <c r="D113" s="117">
        <f t="shared" si="78"/>
        <v>25</v>
      </c>
      <c r="E113" s="117">
        <f t="shared" si="79"/>
        <v>35</v>
      </c>
      <c r="F113" s="117">
        <f t="shared" si="80"/>
        <v>9</v>
      </c>
      <c r="G113" s="117">
        <f t="shared" si="81"/>
        <v>0</v>
      </c>
      <c r="L113" s="117" t="str">
        <f t="shared" si="82"/>
        <v>ok</v>
      </c>
    </row>
    <row r="114">
      <c r="A114" s="1"/>
      <c r="B114" s="51"/>
      <c r="C114" s="1"/>
      <c r="E114" s="1"/>
      <c r="F114" s="1"/>
    </row>
    <row r="115">
      <c r="A115" s="1"/>
      <c r="B115" s="51"/>
      <c r="C115" s="1"/>
      <c r="E115" s="1"/>
      <c r="F115" s="1"/>
    </row>
    <row r="116">
      <c r="A116" s="1"/>
      <c r="B116" s="51"/>
      <c r="C116" s="1"/>
      <c r="E116" s="1"/>
      <c r="F116" s="1"/>
    </row>
    <row r="117">
      <c r="A117" s="1"/>
      <c r="B117" s="51"/>
      <c r="C117" s="1"/>
      <c r="E117" s="1"/>
      <c r="F117" s="1"/>
    </row>
    <row r="118">
      <c r="A118" s="1"/>
      <c r="B118" s="51"/>
      <c r="C118" s="1"/>
      <c r="D118" s="1"/>
      <c r="E118" s="1"/>
      <c r="F118" s="1"/>
    </row>
    <row r="119">
      <c r="A119" s="137" t="s">
        <v>183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6"/>
    </row>
    <row r="120">
      <c r="A120" s="64"/>
      <c r="B120" s="131" t="s">
        <v>184</v>
      </c>
      <c r="C120" s="138" t="s">
        <v>185</v>
      </c>
      <c r="D120" s="25"/>
      <c r="E120" s="26"/>
      <c r="F120" s="138" t="s">
        <v>186</v>
      </c>
      <c r="G120" s="25"/>
      <c r="H120" s="26"/>
      <c r="I120" s="139" t="s">
        <v>187</v>
      </c>
      <c r="J120" s="25"/>
      <c r="K120" s="25"/>
      <c r="L120" s="25"/>
      <c r="M120" s="26"/>
    </row>
    <row r="121">
      <c r="A121" s="140">
        <v>1.0</v>
      </c>
      <c r="B121" s="33" t="str">
        <f>IFERROR(__xludf.DUMMYFUNCTION("query(B5:W69,""select B where R = 'X' order by B asc"")"),"#N/A")</f>
        <v>#N/A</v>
      </c>
      <c r="C121" s="141" t="str">
        <f>IFERROR(__xludf.DUMMYFUNCTION("query(B5:W69,""select B where R = '' order by B asc"")"),"Adrian Tay")</f>
        <v>Adrian Tay</v>
      </c>
      <c r="D121" s="25"/>
      <c r="E121" s="26"/>
      <c r="F121" s="141" t="str">
        <f>IFERROR(__xludf.DUMMYFUNCTION("query(B5:W69,""select B where R = 'N' order by B asc"")"),"#N/A")</f>
        <v>#N/A</v>
      </c>
      <c r="G121" s="25"/>
      <c r="H121" s="26"/>
      <c r="I121" s="141"/>
      <c r="J121" s="25"/>
      <c r="K121" s="25"/>
      <c r="L121" s="25"/>
      <c r="M121" s="26"/>
    </row>
    <row r="122">
      <c r="A122" s="140">
        <f t="shared" ref="A122:A185" si="83">A121+1</f>
        <v>2</v>
      </c>
      <c r="B122" s="33"/>
      <c r="C122" s="141" t="str">
        <f>IFERROR(__xludf.DUMMYFUNCTION("""COMPUTED_VALUE"""),"Alejandro Mejia")</f>
        <v>Alejandro Mejia</v>
      </c>
      <c r="D122" s="25"/>
      <c r="E122" s="26"/>
      <c r="F122" s="141"/>
      <c r="G122" s="25"/>
      <c r="H122" s="26"/>
      <c r="I122" s="141"/>
      <c r="J122" s="25"/>
      <c r="K122" s="25"/>
      <c r="L122" s="25"/>
      <c r="M122" s="26"/>
    </row>
    <row r="123">
      <c r="A123" s="140">
        <f t="shared" si="83"/>
        <v>3</v>
      </c>
      <c r="B123" s="33"/>
      <c r="C123" s="141" t="str">
        <f>IFERROR(__xludf.DUMMYFUNCTION("""COMPUTED_VALUE"""),"Alex Hou")</f>
        <v>Alex Hou</v>
      </c>
      <c r="D123" s="25"/>
      <c r="E123" s="26"/>
      <c r="F123" s="141"/>
      <c r="G123" s="25"/>
      <c r="H123" s="26"/>
      <c r="I123" s="141"/>
      <c r="J123" s="25"/>
      <c r="K123" s="25"/>
      <c r="L123" s="25"/>
      <c r="M123" s="26"/>
    </row>
    <row r="124">
      <c r="A124" s="140">
        <f t="shared" si="83"/>
        <v>4</v>
      </c>
      <c r="B124" s="33"/>
      <c r="C124" s="141" t="str">
        <f>IFERROR(__xludf.DUMMYFUNCTION("""COMPUTED_VALUE"""),"Allen Zhang")</f>
        <v>Allen Zhang</v>
      </c>
      <c r="D124" s="25"/>
      <c r="E124" s="26"/>
      <c r="F124" s="141"/>
      <c r="G124" s="25"/>
      <c r="H124" s="26"/>
      <c r="I124" s="141"/>
      <c r="J124" s="25"/>
      <c r="K124" s="25"/>
      <c r="L124" s="25"/>
      <c r="M124" s="26"/>
    </row>
    <row r="125">
      <c r="A125" s="140">
        <f t="shared" si="83"/>
        <v>5</v>
      </c>
      <c r="B125" s="33"/>
      <c r="C125" s="141" t="str">
        <f>IFERROR(__xludf.DUMMYFUNCTION("""COMPUTED_VALUE"""),"Andrew Wen")</f>
        <v>Andrew Wen</v>
      </c>
      <c r="D125" s="25"/>
      <c r="E125" s="26"/>
      <c r="F125" s="141"/>
      <c r="G125" s="25"/>
      <c r="H125" s="26"/>
      <c r="I125" s="141"/>
      <c r="J125" s="25"/>
      <c r="K125" s="25"/>
      <c r="L125" s="25"/>
      <c r="M125" s="26"/>
    </row>
    <row r="126">
      <c r="A126" s="140">
        <f t="shared" si="83"/>
        <v>6</v>
      </c>
      <c r="B126" s="33"/>
      <c r="C126" s="141" t="str">
        <f>IFERROR(__xludf.DUMMYFUNCTION("""COMPUTED_VALUE"""),"Balaji Alahari")</f>
        <v>Balaji Alahari</v>
      </c>
      <c r="D126" s="25"/>
      <c r="E126" s="26"/>
      <c r="F126" s="141"/>
      <c r="G126" s="25"/>
      <c r="H126" s="26"/>
      <c r="I126" s="141"/>
      <c r="J126" s="25"/>
      <c r="K126" s="25"/>
      <c r="L126" s="25"/>
      <c r="M126" s="26"/>
    </row>
    <row r="127">
      <c r="A127" s="140">
        <f t="shared" si="83"/>
        <v>7</v>
      </c>
      <c r="B127" s="33"/>
      <c r="C127" s="141" t="str">
        <f>IFERROR(__xludf.DUMMYFUNCTION("""COMPUTED_VALUE"""),"Barathi Sundaram")</f>
        <v>Barathi Sundaram</v>
      </c>
      <c r="D127" s="25"/>
      <c r="E127" s="26"/>
      <c r="F127" s="141"/>
      <c r="G127" s="25"/>
      <c r="H127" s="26"/>
      <c r="I127" s="141"/>
      <c r="J127" s="25"/>
      <c r="K127" s="25"/>
      <c r="L127" s="25"/>
      <c r="M127" s="26"/>
    </row>
    <row r="128">
      <c r="A128" s="140">
        <f t="shared" si="83"/>
        <v>8</v>
      </c>
      <c r="B128" s="33"/>
      <c r="C128" s="141" t="str">
        <f>IFERROR(__xludf.DUMMYFUNCTION("""COMPUTED_VALUE"""),"Basudev Thoppai Vidyasankar")</f>
        <v>Basudev Thoppai Vidyasankar</v>
      </c>
      <c r="D128" s="25"/>
      <c r="E128" s="26"/>
      <c r="F128" s="141"/>
      <c r="G128" s="25"/>
      <c r="H128" s="26"/>
      <c r="I128" s="141"/>
      <c r="J128" s="25"/>
      <c r="K128" s="25"/>
      <c r="L128" s="25"/>
      <c r="M128" s="26"/>
    </row>
    <row r="129">
      <c r="A129" s="140">
        <f t="shared" si="83"/>
        <v>9</v>
      </c>
      <c r="B129" s="33"/>
      <c r="C129" s="141" t="str">
        <f>IFERROR(__xludf.DUMMYFUNCTION("""COMPUTED_VALUE"""),"Chinna Ponnaganti")</f>
        <v>Chinna Ponnaganti</v>
      </c>
      <c r="D129" s="25"/>
      <c r="E129" s="26"/>
      <c r="F129" s="141"/>
      <c r="G129" s="25"/>
      <c r="H129" s="26"/>
      <c r="I129" s="141"/>
      <c r="J129" s="25"/>
      <c r="K129" s="25"/>
      <c r="L129" s="25"/>
      <c r="M129" s="26"/>
    </row>
    <row r="130">
      <c r="A130" s="140">
        <f t="shared" si="83"/>
        <v>10</v>
      </c>
      <c r="B130" s="33"/>
      <c r="C130" s="141" t="str">
        <f>IFERROR(__xludf.DUMMYFUNCTION("""COMPUTED_VALUE"""),"Cid Macaraeg")</f>
        <v>Cid Macaraeg</v>
      </c>
      <c r="D130" s="25"/>
      <c r="E130" s="26"/>
      <c r="F130" s="141"/>
      <c r="G130" s="25"/>
      <c r="H130" s="26"/>
      <c r="I130" s="141"/>
      <c r="J130" s="25"/>
      <c r="K130" s="25"/>
      <c r="L130" s="25"/>
      <c r="M130" s="26"/>
    </row>
    <row r="131">
      <c r="A131" s="140">
        <f t="shared" si="83"/>
        <v>11</v>
      </c>
      <c r="B131" s="33"/>
      <c r="C131" s="141" t="str">
        <f>IFERROR(__xludf.DUMMYFUNCTION("""COMPUTED_VALUE"""),"Coco Yan")</f>
        <v>Coco Yan</v>
      </c>
      <c r="D131" s="25"/>
      <c r="E131" s="26"/>
      <c r="F131" s="141"/>
      <c r="G131" s="25"/>
      <c r="H131" s="26"/>
      <c r="I131" s="141"/>
      <c r="J131" s="25"/>
      <c r="K131" s="25"/>
      <c r="L131" s="25"/>
      <c r="M131" s="26"/>
    </row>
    <row r="132">
      <c r="A132" s="140">
        <f t="shared" si="83"/>
        <v>12</v>
      </c>
      <c r="B132" s="33"/>
      <c r="C132" s="141" t="str">
        <f>IFERROR(__xludf.DUMMYFUNCTION("""COMPUTED_VALUE"""),"Darren Wong")</f>
        <v>Darren Wong</v>
      </c>
      <c r="D132" s="25"/>
      <c r="E132" s="26"/>
      <c r="F132" s="141"/>
      <c r="G132" s="25"/>
      <c r="H132" s="26"/>
      <c r="I132" s="141"/>
      <c r="J132" s="25"/>
      <c r="K132" s="25"/>
      <c r="L132" s="25"/>
      <c r="M132" s="26"/>
    </row>
    <row r="133">
      <c r="A133" s="140">
        <f t="shared" si="83"/>
        <v>13</v>
      </c>
      <c r="B133" s="33"/>
      <c r="C133" s="141" t="str">
        <f>IFERROR(__xludf.DUMMYFUNCTION("""COMPUTED_VALUE"""),"David Shin")</f>
        <v>David Shin</v>
      </c>
      <c r="D133" s="25"/>
      <c r="E133" s="26"/>
      <c r="F133" s="141"/>
      <c r="G133" s="25"/>
      <c r="H133" s="26"/>
      <c r="I133" s="141"/>
      <c r="J133" s="25"/>
      <c r="K133" s="25"/>
      <c r="L133" s="25"/>
      <c r="M133" s="26"/>
    </row>
    <row r="134">
      <c r="A134" s="140">
        <f t="shared" si="83"/>
        <v>14</v>
      </c>
      <c r="B134" s="33"/>
      <c r="C134" s="141" t="str">
        <f>IFERROR(__xludf.DUMMYFUNCTION("""COMPUTED_VALUE"""),"Elayaraja Thangaraj")</f>
        <v>Elayaraja Thangaraj</v>
      </c>
      <c r="D134" s="25"/>
      <c r="E134" s="26"/>
      <c r="F134" s="141"/>
      <c r="G134" s="25"/>
      <c r="H134" s="26"/>
      <c r="I134" s="141"/>
      <c r="J134" s="25"/>
      <c r="K134" s="25"/>
      <c r="L134" s="25"/>
      <c r="M134" s="26"/>
    </row>
    <row r="135">
      <c r="A135" s="140">
        <f t="shared" si="83"/>
        <v>15</v>
      </c>
      <c r="B135" s="33"/>
      <c r="C135" s="141" t="str">
        <f>IFERROR(__xludf.DUMMYFUNCTION("""COMPUTED_VALUE"""),"Eric Pan")</f>
        <v>Eric Pan</v>
      </c>
      <c r="D135" s="25"/>
      <c r="E135" s="26"/>
      <c r="F135" s="141"/>
      <c r="G135" s="25"/>
      <c r="H135" s="26"/>
      <c r="I135" s="141"/>
      <c r="J135" s="25"/>
      <c r="K135" s="25"/>
      <c r="L135" s="25"/>
      <c r="M135" s="26"/>
    </row>
    <row r="136">
      <c r="A136" s="140">
        <f t="shared" si="83"/>
        <v>16</v>
      </c>
      <c r="B136" s="33"/>
      <c r="C136" s="141" t="str">
        <f>IFERROR(__xludf.DUMMYFUNCTION("""COMPUTED_VALUE"""),"Eric Tan")</f>
        <v>Eric Tan</v>
      </c>
      <c r="D136" s="25"/>
      <c r="E136" s="26"/>
      <c r="F136" s="141"/>
      <c r="G136" s="25"/>
      <c r="H136" s="26"/>
    </row>
    <row r="137">
      <c r="A137" s="140">
        <f t="shared" si="83"/>
        <v>17</v>
      </c>
      <c r="B137" s="33"/>
      <c r="C137" s="141" t="str">
        <f>IFERROR(__xludf.DUMMYFUNCTION("""COMPUTED_VALUE"""),"Erik Hoeckmann")</f>
        <v>Erik Hoeckmann</v>
      </c>
      <c r="D137" s="25"/>
      <c r="E137" s="26"/>
      <c r="F137" s="141"/>
      <c r="G137" s="25"/>
      <c r="H137" s="26"/>
    </row>
    <row r="138">
      <c r="A138" s="140">
        <f t="shared" si="83"/>
        <v>18</v>
      </c>
      <c r="B138" s="33"/>
      <c r="C138" s="141" t="str">
        <f>IFERROR(__xludf.DUMMYFUNCTION("""COMPUTED_VALUE"""),"Ethan Gu")</f>
        <v>Ethan Gu</v>
      </c>
      <c r="D138" s="25"/>
      <c r="E138" s="26"/>
      <c r="F138" s="141"/>
      <c r="G138" s="25"/>
      <c r="H138" s="26"/>
    </row>
    <row r="139">
      <c r="A139" s="140">
        <f t="shared" si="83"/>
        <v>19</v>
      </c>
      <c r="B139" s="33"/>
      <c r="C139" s="141" t="str">
        <f>IFERROR(__xludf.DUMMYFUNCTION("""COMPUTED_VALUE"""),"Frank Moon")</f>
        <v>Frank Moon</v>
      </c>
      <c r="D139" s="25"/>
      <c r="E139" s="26"/>
      <c r="F139" s="141"/>
      <c r="G139" s="25"/>
      <c r="H139" s="26"/>
    </row>
    <row r="140">
      <c r="A140" s="140">
        <f t="shared" si="83"/>
        <v>20</v>
      </c>
      <c r="B140" s="33"/>
      <c r="C140" s="141" t="str">
        <f>IFERROR(__xludf.DUMMYFUNCTION("""COMPUTED_VALUE"""),"Herman Au")</f>
        <v>Herman Au</v>
      </c>
      <c r="D140" s="25"/>
      <c r="E140" s="26"/>
      <c r="F140" s="141"/>
      <c r="G140" s="25"/>
      <c r="H140" s="26"/>
    </row>
    <row r="141">
      <c r="A141" s="140">
        <f t="shared" si="83"/>
        <v>21</v>
      </c>
      <c r="B141" s="33"/>
      <c r="C141" s="141" t="str">
        <f>IFERROR(__xludf.DUMMYFUNCTION("""COMPUTED_VALUE"""),"Hongyuan Wen")</f>
        <v>Hongyuan Wen</v>
      </c>
      <c r="D141" s="25"/>
      <c r="E141" s="26"/>
      <c r="F141" s="141"/>
      <c r="G141" s="25"/>
      <c r="H141" s="26"/>
    </row>
    <row r="142">
      <c r="A142" s="140">
        <f t="shared" si="83"/>
        <v>22</v>
      </c>
      <c r="B142" s="33"/>
      <c r="C142" s="141" t="str">
        <f>IFERROR(__xludf.DUMMYFUNCTION("""COMPUTED_VALUE"""),"Hubert J Sung")</f>
        <v>Hubert J Sung</v>
      </c>
      <c r="D142" s="25"/>
      <c r="E142" s="26"/>
      <c r="F142" s="141"/>
      <c r="G142" s="25"/>
      <c r="H142" s="26"/>
    </row>
    <row r="143">
      <c r="A143" s="140">
        <f t="shared" si="83"/>
        <v>23</v>
      </c>
      <c r="B143" s="33"/>
      <c r="C143" s="141" t="str">
        <f>IFERROR(__xludf.DUMMYFUNCTION("""COMPUTED_VALUE"""),"James Phan")</f>
        <v>James Phan</v>
      </c>
      <c r="D143" s="25"/>
      <c r="E143" s="26"/>
      <c r="F143" s="141"/>
      <c r="G143" s="25"/>
      <c r="H143" s="26"/>
    </row>
    <row r="144">
      <c r="A144" s="140">
        <f t="shared" si="83"/>
        <v>24</v>
      </c>
      <c r="B144" s="33"/>
      <c r="C144" s="141" t="str">
        <f>IFERROR(__xludf.DUMMYFUNCTION("""COMPUTED_VALUE"""),"Jim Miao")</f>
        <v>Jim Miao</v>
      </c>
      <c r="D144" s="25"/>
      <c r="E144" s="26"/>
      <c r="F144" s="141"/>
      <c r="G144" s="25"/>
      <c r="H144" s="26"/>
    </row>
    <row r="145">
      <c r="A145" s="140">
        <f t="shared" si="83"/>
        <v>25</v>
      </c>
      <c r="B145" s="33"/>
      <c r="C145" s="141" t="str">
        <f>IFERROR(__xludf.DUMMYFUNCTION("""COMPUTED_VALUE"""),"Jimmy Awolesi")</f>
        <v>Jimmy Awolesi</v>
      </c>
      <c r="D145" s="25"/>
      <c r="E145" s="26"/>
      <c r="F145" s="141"/>
      <c r="G145" s="25"/>
      <c r="H145" s="26"/>
    </row>
    <row r="146">
      <c r="A146" s="140">
        <f t="shared" si="83"/>
        <v>26</v>
      </c>
      <c r="B146" s="33"/>
      <c r="C146" s="141" t="str">
        <f>IFERROR(__xludf.DUMMYFUNCTION("""COMPUTED_VALUE"""),"Joe Luzzi")</f>
        <v>Joe Luzzi</v>
      </c>
      <c r="D146" s="25"/>
      <c r="E146" s="26"/>
      <c r="F146" s="141"/>
      <c r="G146" s="25"/>
      <c r="H146" s="26"/>
    </row>
    <row r="147">
      <c r="A147" s="140">
        <f t="shared" si="83"/>
        <v>27</v>
      </c>
      <c r="B147" s="33"/>
      <c r="C147" s="141" t="str">
        <f>IFERROR(__xludf.DUMMYFUNCTION("""COMPUTED_VALUE"""),"Jonathan Phan")</f>
        <v>Jonathan Phan</v>
      </c>
      <c r="D147" s="25"/>
      <c r="E147" s="26"/>
      <c r="F147" s="141"/>
      <c r="G147" s="25"/>
      <c r="H147" s="26"/>
    </row>
    <row r="148">
      <c r="A148" s="140">
        <f t="shared" si="83"/>
        <v>28</v>
      </c>
      <c r="B148" s="33"/>
      <c r="C148" s="141" t="str">
        <f>IFERROR(__xludf.DUMMYFUNCTION("""COMPUTED_VALUE"""),"Joyce Zhu")</f>
        <v>Joyce Zhu</v>
      </c>
      <c r="D148" s="25"/>
      <c r="E148" s="26"/>
      <c r="F148" s="141"/>
      <c r="G148" s="25"/>
      <c r="H148" s="26"/>
    </row>
    <row r="149">
      <c r="A149" s="140">
        <f t="shared" si="83"/>
        <v>29</v>
      </c>
      <c r="B149" s="33"/>
      <c r="C149" s="141" t="str">
        <f>IFERROR(__xludf.DUMMYFUNCTION("""COMPUTED_VALUE"""),"Kumar Palakeel")</f>
        <v>Kumar Palakeel</v>
      </c>
      <c r="D149" s="25"/>
      <c r="E149" s="26"/>
      <c r="F149" s="141"/>
      <c r="G149" s="25"/>
      <c r="H149" s="26"/>
    </row>
    <row r="150">
      <c r="A150" s="140">
        <f t="shared" si="83"/>
        <v>30</v>
      </c>
      <c r="B150" s="33"/>
      <c r="C150" s="141" t="str">
        <f>IFERROR(__xludf.DUMMYFUNCTION("""COMPUTED_VALUE"""),"Lam Bui")</f>
        <v>Lam Bui</v>
      </c>
      <c r="D150" s="25"/>
      <c r="E150" s="26"/>
      <c r="F150" s="141"/>
      <c r="G150" s="25"/>
      <c r="H150" s="26"/>
    </row>
    <row r="151">
      <c r="A151" s="140">
        <f t="shared" si="83"/>
        <v>31</v>
      </c>
      <c r="B151" s="33"/>
      <c r="C151" s="141" t="str">
        <f>IFERROR(__xludf.DUMMYFUNCTION("""COMPUTED_VALUE"""),"Leigh-Anh Nguyen")</f>
        <v>Leigh-Anh Nguyen</v>
      </c>
      <c r="D151" s="25"/>
      <c r="E151" s="26"/>
      <c r="F151" s="141"/>
      <c r="G151" s="25"/>
      <c r="H151" s="26"/>
    </row>
    <row r="152">
      <c r="A152" s="140">
        <f t="shared" si="83"/>
        <v>32</v>
      </c>
      <c r="B152" s="33"/>
      <c r="C152" s="141" t="str">
        <f>IFERROR(__xludf.DUMMYFUNCTION("""COMPUTED_VALUE"""),"Lloyd Sagar")</f>
        <v>Lloyd Sagar</v>
      </c>
      <c r="D152" s="25"/>
      <c r="E152" s="26"/>
      <c r="F152" s="141"/>
      <c r="G152" s="25"/>
      <c r="H152" s="26"/>
    </row>
    <row r="153">
      <c r="A153" s="140">
        <f t="shared" si="83"/>
        <v>33</v>
      </c>
      <c r="B153" s="33"/>
      <c r="C153" s="141" t="str">
        <f>IFERROR(__xludf.DUMMYFUNCTION("""COMPUTED_VALUE"""),"Luis Hsu")</f>
        <v>Luis Hsu</v>
      </c>
      <c r="D153" s="25"/>
      <c r="E153" s="26"/>
      <c r="F153" s="141"/>
      <c r="G153" s="25"/>
      <c r="H153" s="26"/>
    </row>
    <row r="154">
      <c r="A154" s="140">
        <f t="shared" si="83"/>
        <v>34</v>
      </c>
      <c r="B154" s="33"/>
      <c r="C154" s="141" t="str">
        <f>IFERROR(__xludf.DUMMYFUNCTION("""COMPUTED_VALUE"""),"Manish Anand")</f>
        <v>Manish Anand</v>
      </c>
      <c r="D154" s="25"/>
      <c r="E154" s="26"/>
      <c r="F154" s="141"/>
      <c r="G154" s="25"/>
      <c r="H154" s="26"/>
    </row>
    <row r="155">
      <c r="A155" s="140">
        <f t="shared" si="83"/>
        <v>35</v>
      </c>
      <c r="B155" s="33"/>
      <c r="C155" s="141" t="str">
        <f>IFERROR(__xludf.DUMMYFUNCTION("""COMPUTED_VALUE"""),"Manuel Rivera")</f>
        <v>Manuel Rivera</v>
      </c>
      <c r="D155" s="25"/>
      <c r="E155" s="26"/>
      <c r="F155" s="141"/>
      <c r="G155" s="25"/>
      <c r="H155" s="26"/>
    </row>
    <row r="156">
      <c r="A156" s="140">
        <f t="shared" si="83"/>
        <v>36</v>
      </c>
      <c r="B156" s="33"/>
      <c r="C156" s="141" t="str">
        <f>IFERROR(__xludf.DUMMYFUNCTION("""COMPUTED_VALUE"""),"Matthew Huang")</f>
        <v>Matthew Huang</v>
      </c>
      <c r="D156" s="25"/>
      <c r="E156" s="26"/>
      <c r="F156" s="141"/>
      <c r="G156" s="25"/>
      <c r="H156" s="26"/>
    </row>
    <row r="157">
      <c r="A157" s="140">
        <f t="shared" si="83"/>
        <v>37</v>
      </c>
      <c r="B157" s="33"/>
      <c r="C157" s="141" t="str">
        <f>IFERROR(__xludf.DUMMYFUNCTION("""COMPUTED_VALUE"""),"Mauricio Palacios")</f>
        <v>Mauricio Palacios</v>
      </c>
      <c r="D157" s="25"/>
      <c r="E157" s="26"/>
      <c r="F157" s="141"/>
      <c r="G157" s="25"/>
      <c r="H157" s="26"/>
    </row>
    <row r="158">
      <c r="A158" s="140">
        <f t="shared" si="83"/>
        <v>38</v>
      </c>
      <c r="B158" s="33"/>
      <c r="C158" s="141" t="str">
        <f>IFERROR(__xludf.DUMMYFUNCTION("""COMPUTED_VALUE"""),"Naveen Raj")</f>
        <v>Naveen Raj</v>
      </c>
      <c r="D158" s="25"/>
      <c r="E158" s="26"/>
      <c r="F158" s="141"/>
      <c r="G158" s="25"/>
      <c r="H158" s="26"/>
    </row>
    <row r="159">
      <c r="A159" s="140">
        <f t="shared" si="83"/>
        <v>39</v>
      </c>
      <c r="B159" s="33"/>
      <c r="C159" s="141" t="str">
        <f>IFERROR(__xludf.DUMMYFUNCTION("""COMPUTED_VALUE"""),"Nicole Ni")</f>
        <v>Nicole Ni</v>
      </c>
      <c r="D159" s="25"/>
      <c r="E159" s="26"/>
      <c r="F159" s="141"/>
      <c r="G159" s="25"/>
      <c r="H159" s="26"/>
    </row>
    <row r="160">
      <c r="A160" s="140">
        <f t="shared" si="83"/>
        <v>40</v>
      </c>
      <c r="B160" s="33"/>
      <c r="C160" s="141" t="str">
        <f>IFERROR(__xludf.DUMMYFUNCTION("""COMPUTED_VALUE"""),"Oscar Bonilla")</f>
        <v>Oscar Bonilla</v>
      </c>
      <c r="D160" s="25"/>
      <c r="E160" s="26"/>
      <c r="F160" s="141"/>
      <c r="G160" s="25"/>
      <c r="H160" s="26"/>
    </row>
    <row r="161">
      <c r="A161" s="140">
        <f t="shared" si="83"/>
        <v>41</v>
      </c>
      <c r="B161" s="33"/>
      <c r="C161" s="141" t="str">
        <f>IFERROR(__xludf.DUMMYFUNCTION("""COMPUTED_VALUE"""),"Pavan Akkimsetty")</f>
        <v>Pavan Akkimsetty</v>
      </c>
      <c r="D161" s="25"/>
      <c r="E161" s="26"/>
      <c r="F161" s="141"/>
      <c r="G161" s="25"/>
      <c r="H161" s="26"/>
    </row>
    <row r="162">
      <c r="A162" s="140">
        <f t="shared" si="83"/>
        <v>42</v>
      </c>
      <c r="B162" s="33"/>
      <c r="C162" s="141" t="str">
        <f>IFERROR(__xludf.DUMMYFUNCTION("""COMPUTED_VALUE"""),"Pulkit Mathur")</f>
        <v>Pulkit Mathur</v>
      </c>
      <c r="D162" s="25"/>
      <c r="E162" s="26"/>
      <c r="F162" s="141"/>
      <c r="G162" s="25"/>
      <c r="H162" s="26"/>
    </row>
    <row r="163">
      <c r="A163" s="140">
        <f t="shared" si="83"/>
        <v>43</v>
      </c>
      <c r="B163" s="33"/>
      <c r="C163" s="141" t="str">
        <f>IFERROR(__xludf.DUMMYFUNCTION("""COMPUTED_VALUE"""),"Rajasekar Ramasamy")</f>
        <v>Rajasekar Ramasamy</v>
      </c>
      <c r="D163" s="25"/>
      <c r="E163" s="26"/>
      <c r="F163" s="141"/>
      <c r="G163" s="25"/>
      <c r="H163" s="26"/>
    </row>
    <row r="164">
      <c r="A164" s="140">
        <f t="shared" si="83"/>
        <v>44</v>
      </c>
      <c r="B164" s="33"/>
      <c r="C164" s="141" t="str">
        <f>IFERROR(__xludf.DUMMYFUNCTION("""COMPUTED_VALUE"""),"Rajesh Dorairaj")</f>
        <v>Rajesh Dorairaj</v>
      </c>
      <c r="D164" s="25"/>
      <c r="E164" s="26"/>
      <c r="F164" s="141"/>
      <c r="G164" s="25"/>
      <c r="H164" s="26"/>
    </row>
    <row r="165">
      <c r="A165" s="140">
        <f t="shared" si="83"/>
        <v>45</v>
      </c>
      <c r="B165" s="33"/>
      <c r="C165" s="141" t="str">
        <f>IFERROR(__xludf.DUMMYFUNCTION("""COMPUTED_VALUE"""),"Ramesh Bandaru")</f>
        <v>Ramesh Bandaru</v>
      </c>
      <c r="D165" s="25"/>
      <c r="E165" s="26"/>
      <c r="F165" s="141"/>
      <c r="G165" s="25"/>
      <c r="H165" s="26"/>
    </row>
    <row r="166">
      <c r="A166" s="140">
        <f t="shared" si="83"/>
        <v>46</v>
      </c>
      <c r="B166" s="33"/>
      <c r="C166" s="141" t="str">
        <f>IFERROR(__xludf.DUMMYFUNCTION("""COMPUTED_VALUE"""),"Robert Chang")</f>
        <v>Robert Chang</v>
      </c>
      <c r="D166" s="25"/>
      <c r="E166" s="26"/>
      <c r="F166" s="141"/>
      <c r="G166" s="25"/>
      <c r="H166" s="26"/>
    </row>
    <row r="167">
      <c r="A167" s="140">
        <f t="shared" si="83"/>
        <v>47</v>
      </c>
      <c r="B167" s="33"/>
      <c r="C167" s="141" t="str">
        <f>IFERROR(__xludf.DUMMYFUNCTION("""COMPUTED_VALUE"""),"Sandeep Kamalon")</f>
        <v>Sandeep Kamalon</v>
      </c>
      <c r="D167" s="25"/>
      <c r="E167" s="26"/>
      <c r="F167" s="141"/>
      <c r="G167" s="25"/>
      <c r="H167" s="26"/>
    </row>
    <row r="168">
      <c r="A168" s="140">
        <f t="shared" si="83"/>
        <v>48</v>
      </c>
      <c r="B168" s="33"/>
      <c r="C168" s="141" t="str">
        <f>IFERROR(__xludf.DUMMYFUNCTION("""COMPUTED_VALUE"""),"Sandy Weyant")</f>
        <v>Sandy Weyant</v>
      </c>
      <c r="D168" s="25"/>
      <c r="E168" s="26"/>
      <c r="F168" s="141"/>
      <c r="G168" s="25"/>
      <c r="H168" s="26"/>
    </row>
    <row r="169">
      <c r="A169" s="140">
        <f t="shared" si="83"/>
        <v>49</v>
      </c>
      <c r="B169" s="33"/>
      <c r="C169" s="141" t="str">
        <f>IFERROR(__xludf.DUMMYFUNCTION("""COMPUTED_VALUE"""),"Sanjaye Elayattu")</f>
        <v>Sanjaye Elayattu</v>
      </c>
      <c r="D169" s="25"/>
      <c r="E169" s="26"/>
      <c r="F169" s="141"/>
      <c r="G169" s="25"/>
      <c r="H169" s="26"/>
    </row>
    <row r="170">
      <c r="A170" s="140">
        <f t="shared" si="83"/>
        <v>50</v>
      </c>
      <c r="B170" s="33"/>
      <c r="C170" s="141" t="str">
        <f>IFERROR(__xludf.DUMMYFUNCTION("""COMPUTED_VALUE"""),"Santosh Sundaresan")</f>
        <v>Santosh Sundaresan</v>
      </c>
      <c r="D170" s="25"/>
      <c r="E170" s="26"/>
      <c r="F170" s="141"/>
      <c r="G170" s="25"/>
      <c r="H170" s="26"/>
    </row>
    <row r="171">
      <c r="A171" s="140">
        <f t="shared" si="83"/>
        <v>51</v>
      </c>
      <c r="B171" s="33"/>
      <c r="C171" s="141" t="str">
        <f>IFERROR(__xludf.DUMMYFUNCTION("""COMPUTED_VALUE"""),"Saravanan Veerapandian")</f>
        <v>Saravanan Veerapandian</v>
      </c>
      <c r="D171" s="25"/>
      <c r="E171" s="26"/>
      <c r="F171" s="141"/>
      <c r="G171" s="25"/>
      <c r="H171" s="26"/>
    </row>
    <row r="172">
      <c r="A172" s="140">
        <f t="shared" si="83"/>
        <v>52</v>
      </c>
      <c r="B172" s="33"/>
      <c r="C172" s="141" t="str">
        <f>IFERROR(__xludf.DUMMYFUNCTION("""COMPUTED_VALUE"""),"Scott Li")</f>
        <v>Scott Li</v>
      </c>
      <c r="D172" s="25"/>
      <c r="E172" s="26"/>
      <c r="F172" s="141"/>
      <c r="G172" s="25"/>
      <c r="H172" s="26"/>
    </row>
    <row r="173">
      <c r="A173" s="140">
        <f t="shared" si="83"/>
        <v>53</v>
      </c>
      <c r="B173" s="33"/>
      <c r="C173" s="141" t="str">
        <f>IFERROR(__xludf.DUMMYFUNCTION("""COMPUTED_VALUE"""),"Sean Chang")</f>
        <v>Sean Chang</v>
      </c>
      <c r="D173" s="25"/>
      <c r="E173" s="26"/>
      <c r="F173" s="141"/>
      <c r="G173" s="25"/>
      <c r="H173" s="26"/>
    </row>
    <row r="174">
      <c r="A174" s="140">
        <f t="shared" si="83"/>
        <v>54</v>
      </c>
      <c r="B174" s="33"/>
      <c r="C174" s="141" t="str">
        <f>IFERROR(__xludf.DUMMYFUNCTION("""COMPUTED_VALUE"""),"Suleman Alidina")</f>
        <v>Suleman Alidina</v>
      </c>
      <c r="D174" s="25"/>
      <c r="E174" s="26"/>
      <c r="F174" s="141"/>
      <c r="G174" s="25"/>
      <c r="H174" s="26"/>
    </row>
    <row r="175">
      <c r="A175" s="140">
        <f t="shared" si="83"/>
        <v>55</v>
      </c>
      <c r="B175" s="33"/>
      <c r="C175" s="141" t="str">
        <f>IFERROR(__xludf.DUMMYFUNCTION("""COMPUTED_VALUE"""),"Susanta Mishra")</f>
        <v>Susanta Mishra</v>
      </c>
      <c r="D175" s="25"/>
      <c r="E175" s="26"/>
      <c r="F175" s="141"/>
      <c r="G175" s="25"/>
      <c r="H175" s="26"/>
    </row>
    <row r="176">
      <c r="A176" s="140">
        <f t="shared" si="83"/>
        <v>56</v>
      </c>
      <c r="B176" s="33"/>
      <c r="C176" s="141" t="str">
        <f>IFERROR(__xludf.DUMMYFUNCTION("""COMPUTED_VALUE"""),"Ted Shen")</f>
        <v>Ted Shen</v>
      </c>
      <c r="D176" s="25"/>
      <c r="E176" s="26"/>
      <c r="F176" s="141"/>
      <c r="G176" s="25"/>
      <c r="H176" s="26"/>
    </row>
    <row r="177">
      <c r="A177" s="140">
        <f t="shared" si="83"/>
        <v>57</v>
      </c>
      <c r="B177" s="33"/>
      <c r="C177" s="141" t="str">
        <f>IFERROR(__xludf.DUMMYFUNCTION("""COMPUTED_VALUE"""),"Tina Hanson")</f>
        <v>Tina Hanson</v>
      </c>
      <c r="D177" s="25"/>
      <c r="E177" s="26"/>
      <c r="F177" s="141"/>
      <c r="G177" s="25"/>
      <c r="H177" s="26"/>
    </row>
    <row r="178">
      <c r="A178" s="140">
        <f t="shared" si="83"/>
        <v>58</v>
      </c>
      <c r="B178" s="33"/>
      <c r="C178" s="141" t="str">
        <f>IFERROR(__xludf.DUMMYFUNCTION("""COMPUTED_VALUE"""),"Tom Le")</f>
        <v>Tom Le</v>
      </c>
      <c r="D178" s="25"/>
      <c r="E178" s="26"/>
      <c r="F178" s="141"/>
      <c r="G178" s="25"/>
      <c r="H178" s="26"/>
    </row>
    <row r="179">
      <c r="A179" s="140">
        <f t="shared" si="83"/>
        <v>59</v>
      </c>
      <c r="B179" s="33"/>
      <c r="C179" s="141" t="str">
        <f>IFERROR(__xludf.DUMMYFUNCTION("""COMPUTED_VALUE"""),"Trish Newlin")</f>
        <v>Trish Newlin</v>
      </c>
      <c r="D179" s="25"/>
      <c r="E179" s="26"/>
      <c r="F179" s="141"/>
      <c r="G179" s="25"/>
      <c r="H179" s="26"/>
    </row>
    <row r="180">
      <c r="A180" s="140">
        <f t="shared" si="83"/>
        <v>60</v>
      </c>
      <c r="B180" s="33"/>
      <c r="C180" s="141" t="str">
        <f>IFERROR(__xludf.DUMMYFUNCTION("""COMPUTED_VALUE"""),"Troy Wong")</f>
        <v>Troy Wong</v>
      </c>
      <c r="D180" s="25"/>
      <c r="E180" s="26"/>
      <c r="F180" s="141"/>
      <c r="G180" s="25"/>
      <c r="H180" s="26"/>
    </row>
    <row r="181">
      <c r="A181" s="140">
        <f t="shared" si="83"/>
        <v>61</v>
      </c>
      <c r="B181" s="33"/>
      <c r="C181" s="141" t="str">
        <f>IFERROR(__xludf.DUMMYFUNCTION("""COMPUTED_VALUE"""),"Tyler Leong")</f>
        <v>Tyler Leong</v>
      </c>
      <c r="D181" s="25"/>
      <c r="E181" s="26"/>
      <c r="F181" s="141"/>
      <c r="G181" s="25"/>
      <c r="H181" s="26"/>
    </row>
    <row r="182">
      <c r="A182" s="140">
        <f t="shared" si="83"/>
        <v>62</v>
      </c>
      <c r="B182" s="33"/>
      <c r="C182" s="141" t="str">
        <f>IFERROR(__xludf.DUMMYFUNCTION("""COMPUTED_VALUE"""),"Vicki Martinet")</f>
        <v>Vicki Martinet</v>
      </c>
      <c r="D182" s="25"/>
      <c r="E182" s="26"/>
      <c r="F182" s="141"/>
      <c r="G182" s="25"/>
      <c r="H182" s="26"/>
    </row>
    <row r="183">
      <c r="A183" s="140">
        <f t="shared" si="83"/>
        <v>63</v>
      </c>
      <c r="B183" s="33"/>
      <c r="C183" s="141" t="str">
        <f>IFERROR(__xludf.DUMMYFUNCTION("""COMPUTED_VALUE"""),"Vinaya Kajla")</f>
        <v>Vinaya Kajla</v>
      </c>
      <c r="D183" s="25"/>
      <c r="E183" s="26"/>
      <c r="F183" s="141"/>
      <c r="G183" s="25"/>
      <c r="H183" s="26"/>
    </row>
    <row r="184">
      <c r="A184" s="140">
        <f t="shared" si="83"/>
        <v>64</v>
      </c>
      <c r="B184" s="33"/>
      <c r="C184" s="141" t="str">
        <f>IFERROR(__xludf.DUMMYFUNCTION("""COMPUTED_VALUE"""),"Vishnu Amarnath")</f>
        <v>Vishnu Amarnath</v>
      </c>
      <c r="D184" s="25"/>
      <c r="E184" s="26"/>
      <c r="F184" s="141"/>
      <c r="G184" s="25"/>
      <c r="H184" s="26"/>
    </row>
    <row r="185">
      <c r="A185" s="140">
        <f t="shared" si="83"/>
        <v>65</v>
      </c>
      <c r="B185" s="33"/>
      <c r="C185" s="141" t="str">
        <f>IFERROR(__xludf.DUMMYFUNCTION("""COMPUTED_VALUE"""),"Wayne Liu")</f>
        <v>Wayne Liu</v>
      </c>
      <c r="D185" s="25"/>
      <c r="E185" s="26"/>
      <c r="F185" s="141"/>
      <c r="G185" s="25"/>
      <c r="H185" s="26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45857.0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3.0</v>
      </c>
      <c r="E2" s="1"/>
      <c r="F2" s="1"/>
      <c r="R2" s="17"/>
      <c r="AC2" s="21" t="str">
        <f>text(C1-7,"mm/dd/yy")</f>
        <v>07/12/25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29</v>
      </c>
      <c r="R3" s="17" t="s">
        <v>178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</row>
    <row r="5">
      <c r="A5" s="32">
        <v>1.0</v>
      </c>
      <c r="B5" s="33" t="s">
        <v>105</v>
      </c>
      <c r="C5" s="34">
        <v>36.0</v>
      </c>
      <c r="D5" s="34">
        <v>6.0</v>
      </c>
      <c r="E5" s="35">
        <f t="shared" ref="E5:E69" si="2">if(S5&gt;0,(C5-(V5*9)-(T5*13))/S5,0)</f>
        <v>13.5</v>
      </c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45</v>
      </c>
      <c r="O5" s="34">
        <f t="shared" si="1"/>
        <v>6</v>
      </c>
      <c r="P5" s="49" t="s">
        <v>58</v>
      </c>
      <c r="Q5" s="49" t="s">
        <v>58</v>
      </c>
      <c r="R5" s="49"/>
      <c r="S5" s="52">
        <f t="shared" ref="S5:S69" si="4">if(sum(I5:K5)&gt;0,1,0)+vlookup(B5,indirect("'" &amp; AC$2 &amp; "'!B5:W69"),18,false)</f>
        <v>2</v>
      </c>
      <c r="T5" s="52">
        <f t="shared" ref="T5:T69" si="5">if(H5=13,1,0)+vlookup(B5,indirect("'" &amp; AC$2 &amp; "'!B5:W69"),19,false)</f>
        <v>0</v>
      </c>
      <c r="U5" s="52"/>
      <c r="V5" s="52">
        <f t="shared" ref="V5:V69" si="6">if(H5=9,1,0)+vlookup(B5,indirect("'" &amp; AC$2 &amp; "'!B5:W69"),21,false)</f>
        <v>1</v>
      </c>
      <c r="W5" s="52">
        <f t="shared" ref="W5:W69" si="7">vlookup(B5,indirect("'" &amp; AC$2 &amp; "'!B5:x69"),23,false)-X5</f>
        <v>3</v>
      </c>
      <c r="X5" s="32">
        <v>1.0</v>
      </c>
    </row>
    <row r="6">
      <c r="A6" s="32">
        <f t="shared" ref="A6:A69" si="8">A5+1</f>
        <v>2</v>
      </c>
      <c r="B6" s="33" t="s">
        <v>94</v>
      </c>
      <c r="C6" s="34">
        <v>34.0</v>
      </c>
      <c r="D6" s="34">
        <v>3.0</v>
      </c>
      <c r="E6" s="35">
        <f t="shared" si="2"/>
        <v>11.33333333</v>
      </c>
      <c r="F6" s="95">
        <v>1.0</v>
      </c>
      <c r="G6" s="96">
        <v>1.0</v>
      </c>
      <c r="H6" s="97">
        <v>0.0</v>
      </c>
      <c r="I6" s="96">
        <v>1.0</v>
      </c>
      <c r="J6" s="96">
        <v>3.0</v>
      </c>
      <c r="K6" s="96">
        <v>3.0</v>
      </c>
      <c r="L6" s="98">
        <v>7.0</v>
      </c>
      <c r="M6" s="96">
        <v>0.0</v>
      </c>
      <c r="N6" s="34">
        <f t="shared" ref="N6:O6" si="3">C6+L6</f>
        <v>41</v>
      </c>
      <c r="O6" s="34">
        <f t="shared" si="3"/>
        <v>3</v>
      </c>
      <c r="P6" s="49" t="s">
        <v>58</v>
      </c>
      <c r="Q6" s="49" t="s">
        <v>58</v>
      </c>
      <c r="R6" s="49"/>
      <c r="S6" s="52">
        <f t="shared" si="4"/>
        <v>3</v>
      </c>
      <c r="T6" s="52">
        <f t="shared" si="5"/>
        <v>0</v>
      </c>
      <c r="U6" s="52"/>
      <c r="V6" s="52">
        <f t="shared" si="6"/>
        <v>0</v>
      </c>
      <c r="W6" s="52">
        <f t="shared" si="7"/>
        <v>13</v>
      </c>
      <c r="X6" s="32">
        <f t="shared" ref="X6:X69" si="10">X5+1</f>
        <v>2</v>
      </c>
    </row>
    <row r="7">
      <c r="A7" s="32">
        <f t="shared" si="8"/>
        <v>3</v>
      </c>
      <c r="B7" s="33" t="s">
        <v>110</v>
      </c>
      <c r="C7" s="34">
        <v>32.0</v>
      </c>
      <c r="D7" s="34">
        <v>4.0</v>
      </c>
      <c r="E7" s="35">
        <f t="shared" si="2"/>
        <v>10.66666667</v>
      </c>
      <c r="F7" s="95">
        <v>1.0</v>
      </c>
      <c r="G7" s="96">
        <v>1.0</v>
      </c>
      <c r="H7" s="97">
        <v>0.0</v>
      </c>
      <c r="I7" s="96">
        <v>6.0</v>
      </c>
      <c r="J7" s="96">
        <v>3.0</v>
      </c>
      <c r="K7" s="96">
        <v>6.0</v>
      </c>
      <c r="L7" s="98">
        <v>15.0</v>
      </c>
      <c r="M7" s="96">
        <v>2.0</v>
      </c>
      <c r="N7" s="34">
        <f t="shared" ref="N7:O7" si="9">C7+L7</f>
        <v>47</v>
      </c>
      <c r="O7" s="34">
        <f t="shared" si="9"/>
        <v>6</v>
      </c>
      <c r="P7" s="49" t="s">
        <v>58</v>
      </c>
      <c r="Q7" s="49" t="s">
        <v>58</v>
      </c>
      <c r="R7" s="49"/>
      <c r="S7" s="52">
        <f t="shared" si="4"/>
        <v>3</v>
      </c>
      <c r="T7" s="52">
        <f t="shared" si="5"/>
        <v>0</v>
      </c>
      <c r="U7" s="52"/>
      <c r="V7" s="52">
        <f t="shared" si="6"/>
        <v>0</v>
      </c>
      <c r="W7" s="52">
        <f t="shared" si="7"/>
        <v>14</v>
      </c>
      <c r="X7" s="32">
        <f t="shared" si="10"/>
        <v>3</v>
      </c>
    </row>
    <row r="8">
      <c r="A8" s="32">
        <f t="shared" si="8"/>
        <v>4</v>
      </c>
      <c r="B8" s="33" t="s">
        <v>90</v>
      </c>
      <c r="C8" s="34">
        <v>31.0</v>
      </c>
      <c r="D8" s="34">
        <v>5.0</v>
      </c>
      <c r="E8" s="35">
        <f t="shared" si="2"/>
        <v>9</v>
      </c>
      <c r="F8" s="95">
        <v>5.0</v>
      </c>
      <c r="G8" s="96">
        <v>0.0</v>
      </c>
      <c r="H8" s="97">
        <v>13.0</v>
      </c>
      <c r="I8" s="96">
        <v>0.0</v>
      </c>
      <c r="J8" s="96">
        <v>0.0</v>
      </c>
      <c r="K8" s="96">
        <v>0.0</v>
      </c>
      <c r="L8" s="98">
        <v>13.0</v>
      </c>
      <c r="M8" s="96">
        <v>0.0</v>
      </c>
      <c r="N8" s="34">
        <f t="shared" ref="N8:O8" si="11">C8+L8</f>
        <v>44</v>
      </c>
      <c r="O8" s="34">
        <f t="shared" si="11"/>
        <v>5</v>
      </c>
      <c r="P8" s="49" t="s">
        <v>58</v>
      </c>
      <c r="Q8" s="49" t="s">
        <v>58</v>
      </c>
      <c r="R8" s="49"/>
      <c r="S8" s="52">
        <f t="shared" si="4"/>
        <v>2</v>
      </c>
      <c r="T8" s="52">
        <f t="shared" si="5"/>
        <v>1</v>
      </c>
      <c r="U8" s="52"/>
      <c r="V8" s="52">
        <f t="shared" si="6"/>
        <v>0</v>
      </c>
      <c r="W8" s="52">
        <f t="shared" si="7"/>
        <v>16</v>
      </c>
      <c r="X8" s="32">
        <f t="shared" si="10"/>
        <v>4</v>
      </c>
    </row>
    <row r="9">
      <c r="A9" s="32">
        <f t="shared" si="8"/>
        <v>5</v>
      </c>
      <c r="B9" s="33" t="s">
        <v>98</v>
      </c>
      <c r="C9" s="34">
        <v>31.0</v>
      </c>
      <c r="D9" s="34">
        <v>4.0</v>
      </c>
      <c r="E9" s="35">
        <f t="shared" si="2"/>
        <v>10.33333333</v>
      </c>
      <c r="F9" s="95">
        <v>1.0</v>
      </c>
      <c r="G9" s="96">
        <v>1.0</v>
      </c>
      <c r="H9" s="97">
        <v>0.0</v>
      </c>
      <c r="I9" s="96">
        <v>6.0</v>
      </c>
      <c r="J9" s="96">
        <v>6.0</v>
      </c>
      <c r="K9" s="96">
        <v>3.0</v>
      </c>
      <c r="L9" s="98">
        <v>15.0</v>
      </c>
      <c r="M9" s="96">
        <v>2.0</v>
      </c>
      <c r="N9" s="34">
        <f t="shared" ref="N9:O9" si="12">C9+L9</f>
        <v>46</v>
      </c>
      <c r="O9" s="34">
        <f t="shared" si="12"/>
        <v>6</v>
      </c>
      <c r="P9" s="49" t="s">
        <v>58</v>
      </c>
      <c r="Q9" s="49" t="s">
        <v>58</v>
      </c>
      <c r="R9" s="49"/>
      <c r="S9" s="52">
        <f t="shared" si="4"/>
        <v>3</v>
      </c>
      <c r="T9" s="52">
        <f t="shared" si="5"/>
        <v>0</v>
      </c>
      <c r="U9" s="52"/>
      <c r="V9" s="52">
        <f t="shared" si="6"/>
        <v>0</v>
      </c>
      <c r="W9" s="52">
        <f t="shared" si="7"/>
        <v>4</v>
      </c>
      <c r="X9" s="32">
        <f t="shared" si="10"/>
        <v>5</v>
      </c>
    </row>
    <row r="10">
      <c r="A10" s="32">
        <f t="shared" si="8"/>
        <v>6</v>
      </c>
      <c r="B10" s="33" t="s">
        <v>106</v>
      </c>
      <c r="C10" s="34">
        <v>30.0</v>
      </c>
      <c r="D10" s="34">
        <v>4.0</v>
      </c>
      <c r="E10" s="35">
        <f t="shared" si="2"/>
        <v>8.5</v>
      </c>
      <c r="F10" s="95">
        <v>5.0</v>
      </c>
      <c r="G10" s="96">
        <v>0.0</v>
      </c>
      <c r="H10" s="97">
        <v>13.0</v>
      </c>
      <c r="I10" s="96">
        <v>0.0</v>
      </c>
      <c r="J10" s="96">
        <v>0.0</v>
      </c>
      <c r="K10" s="96">
        <v>0.0</v>
      </c>
      <c r="L10" s="98">
        <v>13.0</v>
      </c>
      <c r="M10" s="96">
        <v>0.0</v>
      </c>
      <c r="N10" s="34">
        <f t="shared" ref="N10:O10" si="13">C10+L10</f>
        <v>43</v>
      </c>
      <c r="O10" s="34">
        <f t="shared" si="13"/>
        <v>4</v>
      </c>
      <c r="P10" s="49" t="s">
        <v>58</v>
      </c>
      <c r="Q10" s="49" t="s">
        <v>58</v>
      </c>
      <c r="R10" s="49"/>
      <c r="S10" s="52">
        <f t="shared" si="4"/>
        <v>2</v>
      </c>
      <c r="T10" s="52">
        <f t="shared" si="5"/>
        <v>1</v>
      </c>
      <c r="U10" s="52"/>
      <c r="V10" s="52">
        <f t="shared" si="6"/>
        <v>0</v>
      </c>
      <c r="W10" s="52">
        <f t="shared" si="7"/>
        <v>-4</v>
      </c>
      <c r="X10" s="32">
        <f t="shared" si="10"/>
        <v>6</v>
      </c>
    </row>
    <row r="11">
      <c r="A11" s="32">
        <f t="shared" si="8"/>
        <v>7</v>
      </c>
      <c r="B11" s="33" t="s">
        <v>91</v>
      </c>
      <c r="C11" s="34">
        <v>30.0</v>
      </c>
      <c r="D11" s="34">
        <v>4.0</v>
      </c>
      <c r="E11" s="35">
        <f t="shared" si="2"/>
        <v>10</v>
      </c>
      <c r="F11" s="95">
        <v>2.0</v>
      </c>
      <c r="G11" s="96">
        <v>1.0</v>
      </c>
      <c r="H11" s="97">
        <v>0.0</v>
      </c>
      <c r="I11" s="96">
        <v>1.0</v>
      </c>
      <c r="J11" s="96">
        <v>6.0</v>
      </c>
      <c r="K11" s="96">
        <v>6.0</v>
      </c>
      <c r="L11" s="98">
        <v>13.0</v>
      </c>
      <c r="M11" s="96">
        <v>2.0</v>
      </c>
      <c r="N11" s="34">
        <f t="shared" ref="N11:O11" si="14">C11+L11</f>
        <v>43</v>
      </c>
      <c r="O11" s="34">
        <f t="shared" si="14"/>
        <v>6</v>
      </c>
      <c r="P11" s="49" t="s">
        <v>58</v>
      </c>
      <c r="Q11" s="49" t="s">
        <v>58</v>
      </c>
      <c r="R11" s="49"/>
      <c r="S11" s="52">
        <f t="shared" si="4"/>
        <v>3</v>
      </c>
      <c r="T11" s="52">
        <f t="shared" si="5"/>
        <v>0</v>
      </c>
      <c r="U11" s="52"/>
      <c r="V11" s="52">
        <f t="shared" si="6"/>
        <v>0</v>
      </c>
      <c r="W11" s="52">
        <f t="shared" si="7"/>
        <v>5</v>
      </c>
      <c r="X11" s="32">
        <f t="shared" si="10"/>
        <v>7</v>
      </c>
    </row>
    <row r="12">
      <c r="A12" s="32">
        <f t="shared" si="8"/>
        <v>8</v>
      </c>
      <c r="B12" s="33" t="s">
        <v>89</v>
      </c>
      <c r="C12" s="34">
        <v>30.0</v>
      </c>
      <c r="D12" s="34">
        <v>4.0</v>
      </c>
      <c r="E12" s="35">
        <f t="shared" si="2"/>
        <v>10.5</v>
      </c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5">C12+L12</f>
        <v>39</v>
      </c>
      <c r="O12" s="34">
        <f t="shared" si="15"/>
        <v>4</v>
      </c>
      <c r="P12" s="49" t="s">
        <v>58</v>
      </c>
      <c r="Q12" s="49" t="s">
        <v>58</v>
      </c>
      <c r="R12" s="49"/>
      <c r="S12" s="52">
        <f t="shared" si="4"/>
        <v>2</v>
      </c>
      <c r="T12" s="52">
        <f t="shared" si="5"/>
        <v>0</v>
      </c>
      <c r="U12" s="52"/>
      <c r="V12" s="52">
        <f t="shared" si="6"/>
        <v>1</v>
      </c>
      <c r="W12" s="52">
        <f t="shared" si="7"/>
        <v>20</v>
      </c>
      <c r="X12" s="32">
        <f t="shared" si="10"/>
        <v>8</v>
      </c>
    </row>
    <row r="13">
      <c r="A13" s="32">
        <f t="shared" si="8"/>
        <v>9</v>
      </c>
      <c r="B13" s="33" t="s">
        <v>100</v>
      </c>
      <c r="C13" s="34">
        <v>29.0</v>
      </c>
      <c r="D13" s="34">
        <v>4.0</v>
      </c>
      <c r="E13" s="35">
        <f t="shared" si="2"/>
        <v>10</v>
      </c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6">C13+L13</f>
        <v>38</v>
      </c>
      <c r="O13" s="34">
        <f t="shared" si="16"/>
        <v>4</v>
      </c>
      <c r="P13" s="49" t="s">
        <v>58</v>
      </c>
      <c r="Q13" s="49" t="s">
        <v>58</v>
      </c>
      <c r="R13" s="49"/>
      <c r="S13" s="52">
        <f t="shared" si="4"/>
        <v>2</v>
      </c>
      <c r="T13" s="52">
        <f t="shared" si="5"/>
        <v>0</v>
      </c>
      <c r="U13" s="52"/>
      <c r="V13" s="52">
        <f t="shared" si="6"/>
        <v>1</v>
      </c>
      <c r="W13" s="52">
        <f t="shared" si="7"/>
        <v>7</v>
      </c>
      <c r="X13" s="32">
        <f t="shared" si="10"/>
        <v>9</v>
      </c>
    </row>
    <row r="14">
      <c r="A14" s="32">
        <f t="shared" si="8"/>
        <v>10</v>
      </c>
      <c r="B14" s="33" t="s">
        <v>144</v>
      </c>
      <c r="C14" s="34">
        <v>29.0</v>
      </c>
      <c r="D14" s="34">
        <v>4.0</v>
      </c>
      <c r="E14" s="35">
        <f t="shared" si="2"/>
        <v>10</v>
      </c>
      <c r="F14" s="95">
        <v>3.0</v>
      </c>
      <c r="G14" s="96">
        <v>0.0</v>
      </c>
      <c r="H14" s="97">
        <v>9.0</v>
      </c>
      <c r="I14" s="96">
        <v>0.0</v>
      </c>
      <c r="J14" s="96">
        <v>0.0</v>
      </c>
      <c r="K14" s="96">
        <v>0.0</v>
      </c>
      <c r="L14" s="98">
        <v>9.0</v>
      </c>
      <c r="M14" s="96">
        <v>0.0</v>
      </c>
      <c r="N14" s="34">
        <f t="shared" ref="N14:O14" si="17">C14+L14</f>
        <v>38</v>
      </c>
      <c r="O14" s="34">
        <f t="shared" si="17"/>
        <v>4</v>
      </c>
      <c r="P14" s="49" t="s">
        <v>58</v>
      </c>
      <c r="Q14" s="49" t="s">
        <v>58</v>
      </c>
      <c r="R14" s="49"/>
      <c r="S14" s="52">
        <f t="shared" si="4"/>
        <v>2</v>
      </c>
      <c r="T14" s="52">
        <f t="shared" si="5"/>
        <v>0</v>
      </c>
      <c r="U14" s="52"/>
      <c r="V14" s="52">
        <f t="shared" si="6"/>
        <v>1</v>
      </c>
      <c r="W14" s="52">
        <f t="shared" si="7"/>
        <v>21</v>
      </c>
      <c r="X14" s="32">
        <f t="shared" si="10"/>
        <v>10</v>
      </c>
    </row>
    <row r="15">
      <c r="A15" s="32">
        <f t="shared" si="8"/>
        <v>11</v>
      </c>
      <c r="B15" s="33" t="s">
        <v>125</v>
      </c>
      <c r="C15" s="34">
        <v>29.0</v>
      </c>
      <c r="D15" s="34">
        <v>3.0</v>
      </c>
      <c r="E15" s="35">
        <f t="shared" si="2"/>
        <v>9.666666667</v>
      </c>
      <c r="F15" s="95">
        <v>1.0</v>
      </c>
      <c r="G15" s="96">
        <v>2.0</v>
      </c>
      <c r="H15" s="97">
        <v>0.0</v>
      </c>
      <c r="I15" s="96">
        <v>6.0</v>
      </c>
      <c r="J15" s="96">
        <v>2.0</v>
      </c>
      <c r="K15" s="96">
        <v>2.0</v>
      </c>
      <c r="L15" s="98">
        <v>10.0</v>
      </c>
      <c r="M15" s="96">
        <v>1.0</v>
      </c>
      <c r="N15" s="34">
        <f t="shared" ref="N15:O15" si="18">C15+L15</f>
        <v>39</v>
      </c>
      <c r="O15" s="34">
        <f t="shared" si="18"/>
        <v>4</v>
      </c>
      <c r="P15" s="49" t="s">
        <v>58</v>
      </c>
      <c r="Q15" s="49" t="s">
        <v>58</v>
      </c>
      <c r="R15" s="49"/>
      <c r="S15" s="52">
        <f t="shared" si="4"/>
        <v>3</v>
      </c>
      <c r="T15" s="52">
        <f t="shared" si="5"/>
        <v>0</v>
      </c>
      <c r="U15" s="52"/>
      <c r="V15" s="52">
        <f t="shared" si="6"/>
        <v>0</v>
      </c>
      <c r="W15" s="52">
        <f t="shared" si="7"/>
        <v>-5</v>
      </c>
      <c r="X15" s="32">
        <f t="shared" si="10"/>
        <v>11</v>
      </c>
    </row>
    <row r="16">
      <c r="A16" s="32">
        <f t="shared" si="8"/>
        <v>12</v>
      </c>
      <c r="B16" s="33" t="s">
        <v>103</v>
      </c>
      <c r="C16" s="34">
        <v>28.0</v>
      </c>
      <c r="D16" s="34">
        <v>4.0</v>
      </c>
      <c r="E16" s="35">
        <f t="shared" si="2"/>
        <v>9.333333333</v>
      </c>
      <c r="F16" s="95">
        <v>1.0</v>
      </c>
      <c r="G16" s="96">
        <v>2.0</v>
      </c>
      <c r="H16" s="97">
        <v>0.0</v>
      </c>
      <c r="I16" s="96">
        <v>3.0</v>
      </c>
      <c r="J16" s="96">
        <v>2.0</v>
      </c>
      <c r="K16" s="96">
        <v>6.0</v>
      </c>
      <c r="L16" s="98">
        <v>11.0</v>
      </c>
      <c r="M16" s="96">
        <v>1.0</v>
      </c>
      <c r="N16" s="34">
        <f t="shared" ref="N16:O16" si="19">C16+L16</f>
        <v>39</v>
      </c>
      <c r="O16" s="34">
        <f t="shared" si="19"/>
        <v>5</v>
      </c>
      <c r="P16" s="49" t="s">
        <v>58</v>
      </c>
      <c r="Q16" s="49" t="s">
        <v>58</v>
      </c>
      <c r="R16" s="49"/>
      <c r="S16" s="52">
        <f t="shared" si="4"/>
        <v>3</v>
      </c>
      <c r="T16" s="52">
        <f t="shared" si="5"/>
        <v>0</v>
      </c>
      <c r="U16" s="52"/>
      <c r="V16" s="52">
        <f t="shared" si="6"/>
        <v>0</v>
      </c>
      <c r="W16" s="52">
        <f t="shared" si="7"/>
        <v>-2</v>
      </c>
      <c r="X16" s="32">
        <f t="shared" si="10"/>
        <v>12</v>
      </c>
    </row>
    <row r="17">
      <c r="A17" s="32">
        <f t="shared" si="8"/>
        <v>13</v>
      </c>
      <c r="B17" s="33" t="s">
        <v>67</v>
      </c>
      <c r="C17" s="34">
        <v>28.0</v>
      </c>
      <c r="D17" s="34">
        <v>3.0</v>
      </c>
      <c r="E17" s="35">
        <f t="shared" si="2"/>
        <v>9.5</v>
      </c>
      <c r="F17" s="95">
        <v>1.0</v>
      </c>
      <c r="G17" s="96">
        <v>2.0</v>
      </c>
      <c r="H17" s="97">
        <v>0.0</v>
      </c>
      <c r="I17" s="96">
        <v>6.0</v>
      </c>
      <c r="J17" s="96">
        <v>6.0</v>
      </c>
      <c r="K17" s="96">
        <v>6.0</v>
      </c>
      <c r="L17" s="98">
        <v>18.0</v>
      </c>
      <c r="M17" s="96">
        <v>3.0</v>
      </c>
      <c r="N17" s="34">
        <f t="shared" ref="N17:O17" si="20">C17+L17</f>
        <v>46</v>
      </c>
      <c r="O17" s="34">
        <f t="shared" si="20"/>
        <v>6</v>
      </c>
      <c r="P17" s="49" t="s">
        <v>58</v>
      </c>
      <c r="Q17" s="49" t="s">
        <v>58</v>
      </c>
      <c r="R17" s="49"/>
      <c r="S17" s="52">
        <f t="shared" si="4"/>
        <v>2</v>
      </c>
      <c r="T17" s="52">
        <f t="shared" si="5"/>
        <v>0</v>
      </c>
      <c r="U17" s="52"/>
      <c r="V17" s="52">
        <f t="shared" si="6"/>
        <v>1</v>
      </c>
      <c r="W17" s="52">
        <f t="shared" si="7"/>
        <v>-12</v>
      </c>
      <c r="X17" s="32">
        <f t="shared" si="10"/>
        <v>13</v>
      </c>
    </row>
    <row r="18">
      <c r="A18" s="32">
        <f t="shared" si="8"/>
        <v>14</v>
      </c>
      <c r="B18" s="33" t="s">
        <v>113</v>
      </c>
      <c r="C18" s="34">
        <v>28.0</v>
      </c>
      <c r="D18" s="34">
        <v>3.0</v>
      </c>
      <c r="E18" s="35">
        <f t="shared" si="2"/>
        <v>9.5</v>
      </c>
      <c r="F18" s="95">
        <v>3.0</v>
      </c>
      <c r="G18" s="96">
        <v>0.0</v>
      </c>
      <c r="H18" s="97">
        <v>9.0</v>
      </c>
      <c r="I18" s="96">
        <v>0.0</v>
      </c>
      <c r="J18" s="96">
        <v>0.0</v>
      </c>
      <c r="K18" s="96">
        <v>0.0</v>
      </c>
      <c r="L18" s="98">
        <v>9.0</v>
      </c>
      <c r="M18" s="96">
        <v>0.0</v>
      </c>
      <c r="N18" s="34">
        <f t="shared" ref="N18:O18" si="21">C18+L18</f>
        <v>37</v>
      </c>
      <c r="O18" s="34">
        <f t="shared" si="21"/>
        <v>3</v>
      </c>
      <c r="P18" s="49" t="s">
        <v>58</v>
      </c>
      <c r="Q18" s="49" t="s">
        <v>58</v>
      </c>
      <c r="R18" s="49"/>
      <c r="S18" s="52">
        <f t="shared" si="4"/>
        <v>2</v>
      </c>
      <c r="T18" s="52">
        <f t="shared" si="5"/>
        <v>0</v>
      </c>
      <c r="U18" s="52"/>
      <c r="V18" s="52">
        <f t="shared" si="6"/>
        <v>1</v>
      </c>
      <c r="W18" s="52">
        <f t="shared" si="7"/>
        <v>-9</v>
      </c>
      <c r="X18" s="32">
        <f t="shared" si="10"/>
        <v>14</v>
      </c>
    </row>
    <row r="19">
      <c r="A19" s="32">
        <f t="shared" si="8"/>
        <v>15</v>
      </c>
      <c r="B19" s="33" t="s">
        <v>134</v>
      </c>
      <c r="C19" s="34">
        <v>27.0</v>
      </c>
      <c r="D19" s="34">
        <v>3.0</v>
      </c>
      <c r="E19" s="35">
        <f t="shared" si="2"/>
        <v>9</v>
      </c>
      <c r="F19" s="95">
        <v>3.0</v>
      </c>
      <c r="G19" s="96">
        <v>0.0</v>
      </c>
      <c r="H19" s="97">
        <v>9.0</v>
      </c>
      <c r="I19" s="96">
        <v>0.0</v>
      </c>
      <c r="J19" s="96">
        <v>0.0</v>
      </c>
      <c r="K19" s="96">
        <v>0.0</v>
      </c>
      <c r="L19" s="98">
        <v>9.0</v>
      </c>
      <c r="M19" s="96">
        <v>0.0</v>
      </c>
      <c r="N19" s="34">
        <f t="shared" ref="N19:O19" si="22">C19+L19</f>
        <v>36</v>
      </c>
      <c r="O19" s="34">
        <f t="shared" si="22"/>
        <v>3</v>
      </c>
      <c r="P19" s="49" t="s">
        <v>58</v>
      </c>
      <c r="Q19" s="49" t="s">
        <v>58</v>
      </c>
      <c r="R19" s="49"/>
      <c r="S19" s="52">
        <f t="shared" si="4"/>
        <v>1</v>
      </c>
      <c r="T19" s="52">
        <f t="shared" si="5"/>
        <v>0</v>
      </c>
      <c r="U19" s="52"/>
      <c r="V19" s="52">
        <f t="shared" si="6"/>
        <v>2</v>
      </c>
      <c r="W19" s="52">
        <f t="shared" si="7"/>
        <v>-12</v>
      </c>
      <c r="X19" s="32">
        <f t="shared" si="10"/>
        <v>15</v>
      </c>
    </row>
    <row r="20">
      <c r="A20" s="32">
        <f t="shared" si="8"/>
        <v>16</v>
      </c>
      <c r="B20" s="33" t="s">
        <v>84</v>
      </c>
      <c r="C20" s="34">
        <v>27.0</v>
      </c>
      <c r="D20" s="34">
        <v>3.0</v>
      </c>
      <c r="E20" s="35">
        <f t="shared" si="2"/>
        <v>9</v>
      </c>
      <c r="F20" s="95">
        <v>1.0</v>
      </c>
      <c r="G20" s="96">
        <v>2.0</v>
      </c>
      <c r="H20" s="97">
        <v>0.0</v>
      </c>
      <c r="I20" s="96">
        <v>3.0</v>
      </c>
      <c r="J20" s="96">
        <v>6.0</v>
      </c>
      <c r="K20" s="96">
        <v>2.0</v>
      </c>
      <c r="L20" s="98">
        <v>11.0</v>
      </c>
      <c r="M20" s="96">
        <v>1.0</v>
      </c>
      <c r="N20" s="34">
        <f t="shared" ref="N20:O20" si="23">C20+L20</f>
        <v>38</v>
      </c>
      <c r="O20" s="34">
        <f t="shared" si="23"/>
        <v>4</v>
      </c>
      <c r="P20" s="49" t="s">
        <v>58</v>
      </c>
      <c r="Q20" s="49" t="s">
        <v>58</v>
      </c>
      <c r="R20" s="49"/>
      <c r="S20" s="52">
        <f t="shared" si="4"/>
        <v>2</v>
      </c>
      <c r="T20" s="52">
        <f t="shared" si="5"/>
        <v>0</v>
      </c>
      <c r="U20" s="52"/>
      <c r="V20" s="52">
        <f t="shared" si="6"/>
        <v>1</v>
      </c>
      <c r="W20" s="52">
        <f t="shared" si="7"/>
        <v>44</v>
      </c>
      <c r="X20" s="32">
        <f t="shared" si="10"/>
        <v>16</v>
      </c>
    </row>
    <row r="21">
      <c r="A21" s="32">
        <f t="shared" si="8"/>
        <v>17</v>
      </c>
      <c r="B21" s="33" t="s">
        <v>137</v>
      </c>
      <c r="C21" s="34">
        <v>27.0</v>
      </c>
      <c r="D21" s="34">
        <v>2.0</v>
      </c>
      <c r="E21" s="35">
        <f t="shared" si="2"/>
        <v>9</v>
      </c>
      <c r="F21" s="95">
        <v>1.0</v>
      </c>
      <c r="G21" s="96">
        <v>3.0</v>
      </c>
      <c r="H21" s="97">
        <v>0.0</v>
      </c>
      <c r="I21" s="96">
        <v>1.0</v>
      </c>
      <c r="J21" s="96">
        <v>7.0</v>
      </c>
      <c r="K21" s="96">
        <v>1.0</v>
      </c>
      <c r="L21" s="98">
        <v>9.0</v>
      </c>
      <c r="M21" s="96">
        <v>1.0</v>
      </c>
      <c r="N21" s="34">
        <f t="shared" ref="N21:O21" si="24">C21+L21</f>
        <v>36</v>
      </c>
      <c r="O21" s="34">
        <f t="shared" si="24"/>
        <v>3</v>
      </c>
      <c r="P21" s="49" t="s">
        <v>58</v>
      </c>
      <c r="Q21" s="49" t="s">
        <v>58</v>
      </c>
      <c r="R21" s="49"/>
      <c r="S21" s="52">
        <f t="shared" si="4"/>
        <v>3</v>
      </c>
      <c r="T21" s="52">
        <f t="shared" si="5"/>
        <v>0</v>
      </c>
      <c r="U21" s="52"/>
      <c r="V21" s="52">
        <f t="shared" si="6"/>
        <v>0</v>
      </c>
      <c r="W21" s="52">
        <f t="shared" si="7"/>
        <v>-3</v>
      </c>
      <c r="X21" s="32">
        <f t="shared" si="10"/>
        <v>17</v>
      </c>
    </row>
    <row r="22">
      <c r="A22" s="32">
        <f t="shared" si="8"/>
        <v>18</v>
      </c>
      <c r="B22" s="33" t="s">
        <v>73</v>
      </c>
      <c r="C22" s="34">
        <v>27.0</v>
      </c>
      <c r="D22" s="34">
        <v>2.0</v>
      </c>
      <c r="E22" s="35">
        <f t="shared" si="2"/>
        <v>9</v>
      </c>
      <c r="F22" s="95">
        <v>2.0</v>
      </c>
      <c r="G22" s="96">
        <v>3.0</v>
      </c>
      <c r="H22" s="97">
        <v>0.0</v>
      </c>
      <c r="I22" s="96">
        <v>6.0</v>
      </c>
      <c r="J22" s="96">
        <v>7.0</v>
      </c>
      <c r="K22" s="96">
        <v>6.0</v>
      </c>
      <c r="L22" s="98">
        <v>19.0</v>
      </c>
      <c r="M22" s="96">
        <v>3.0</v>
      </c>
      <c r="N22" s="34">
        <f t="shared" ref="N22:O22" si="25">C22+L22</f>
        <v>46</v>
      </c>
      <c r="O22" s="34">
        <f t="shared" si="25"/>
        <v>5</v>
      </c>
      <c r="P22" s="49" t="s">
        <v>58</v>
      </c>
      <c r="Q22" s="49" t="s">
        <v>58</v>
      </c>
      <c r="R22" s="49"/>
      <c r="S22" s="52">
        <f t="shared" si="4"/>
        <v>2</v>
      </c>
      <c r="T22" s="52">
        <f t="shared" si="5"/>
        <v>0</v>
      </c>
      <c r="U22" s="52"/>
      <c r="V22" s="52">
        <f t="shared" si="6"/>
        <v>1</v>
      </c>
      <c r="W22" s="52">
        <f t="shared" si="7"/>
        <v>32</v>
      </c>
      <c r="X22" s="32">
        <f t="shared" si="10"/>
        <v>18</v>
      </c>
    </row>
    <row r="23">
      <c r="A23" s="32">
        <f t="shared" si="8"/>
        <v>19</v>
      </c>
      <c r="B23" s="33" t="s">
        <v>45</v>
      </c>
      <c r="C23" s="34">
        <v>26.0</v>
      </c>
      <c r="D23" s="34">
        <v>2.0</v>
      </c>
      <c r="E23" s="35">
        <f t="shared" si="2"/>
        <v>8</v>
      </c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6">C23+L23</f>
        <v>35</v>
      </c>
      <c r="O23" s="34">
        <f t="shared" si="26"/>
        <v>2</v>
      </c>
      <c r="P23" s="49" t="s">
        <v>58</v>
      </c>
      <c r="Q23" s="49" t="s">
        <v>58</v>
      </c>
      <c r="R23" s="49"/>
      <c r="S23" s="52">
        <f t="shared" si="4"/>
        <v>1</v>
      </c>
      <c r="T23" s="52">
        <f t="shared" si="5"/>
        <v>0</v>
      </c>
      <c r="U23" s="52"/>
      <c r="V23" s="52">
        <f t="shared" si="6"/>
        <v>2</v>
      </c>
      <c r="W23" s="52">
        <f t="shared" si="7"/>
        <v>-12</v>
      </c>
      <c r="X23" s="32">
        <f t="shared" si="10"/>
        <v>19</v>
      </c>
    </row>
    <row r="24">
      <c r="A24" s="32">
        <f t="shared" si="8"/>
        <v>20</v>
      </c>
      <c r="B24" s="33" t="s">
        <v>109</v>
      </c>
      <c r="C24" s="34">
        <v>26.0</v>
      </c>
      <c r="D24" s="34">
        <v>2.0</v>
      </c>
      <c r="E24" s="35">
        <f t="shared" si="2"/>
        <v>8</v>
      </c>
      <c r="F24" s="95">
        <v>3.0</v>
      </c>
      <c r="G24" s="96">
        <v>0.0</v>
      </c>
      <c r="H24" s="97">
        <v>9.0</v>
      </c>
      <c r="I24" s="96">
        <v>0.0</v>
      </c>
      <c r="J24" s="96">
        <v>0.0</v>
      </c>
      <c r="K24" s="96">
        <v>0.0</v>
      </c>
      <c r="L24" s="98">
        <v>9.0</v>
      </c>
      <c r="M24" s="96">
        <v>0.0</v>
      </c>
      <c r="N24" s="34">
        <f t="shared" ref="N24:O24" si="27">C24+L24</f>
        <v>35</v>
      </c>
      <c r="O24" s="34">
        <f t="shared" si="27"/>
        <v>2</v>
      </c>
      <c r="P24" s="49" t="s">
        <v>58</v>
      </c>
      <c r="Q24" s="49" t="s">
        <v>58</v>
      </c>
      <c r="R24" s="49"/>
      <c r="S24" s="52">
        <f t="shared" si="4"/>
        <v>1</v>
      </c>
      <c r="T24" s="52">
        <f t="shared" si="5"/>
        <v>0</v>
      </c>
      <c r="U24" s="52"/>
      <c r="V24" s="52">
        <f t="shared" si="6"/>
        <v>2</v>
      </c>
      <c r="W24" s="52">
        <f t="shared" si="7"/>
        <v>14</v>
      </c>
      <c r="X24" s="32">
        <f t="shared" si="10"/>
        <v>20</v>
      </c>
    </row>
    <row r="25">
      <c r="A25" s="32">
        <f t="shared" si="8"/>
        <v>21</v>
      </c>
      <c r="B25" s="33" t="s">
        <v>132</v>
      </c>
      <c r="C25" s="34">
        <v>26.0</v>
      </c>
      <c r="D25" s="34">
        <v>2.0</v>
      </c>
      <c r="E25" s="35">
        <f t="shared" si="2"/>
        <v>8.5</v>
      </c>
      <c r="F25" s="95">
        <v>1.0</v>
      </c>
      <c r="G25" s="96">
        <v>3.0</v>
      </c>
      <c r="H25" s="97">
        <v>0.0</v>
      </c>
      <c r="I25" s="96">
        <v>6.0</v>
      </c>
      <c r="J25" s="96">
        <v>6.0</v>
      </c>
      <c r="K25" s="96">
        <v>1.0</v>
      </c>
      <c r="L25" s="98">
        <v>13.0</v>
      </c>
      <c r="M25" s="96">
        <v>1.0</v>
      </c>
      <c r="N25" s="34">
        <f t="shared" ref="N25:O25" si="28">C25+L25</f>
        <v>39</v>
      </c>
      <c r="O25" s="34">
        <f t="shared" si="28"/>
        <v>3</v>
      </c>
      <c r="P25" s="49" t="s">
        <v>58</v>
      </c>
      <c r="Q25" s="49" t="s">
        <v>58</v>
      </c>
      <c r="R25" s="49"/>
      <c r="S25" s="52">
        <f t="shared" si="4"/>
        <v>2</v>
      </c>
      <c r="T25" s="52">
        <f t="shared" si="5"/>
        <v>0</v>
      </c>
      <c r="U25" s="52"/>
      <c r="V25" s="52">
        <f t="shared" si="6"/>
        <v>1</v>
      </c>
      <c r="W25" s="52">
        <f t="shared" si="7"/>
        <v>14</v>
      </c>
      <c r="X25" s="32">
        <f t="shared" si="10"/>
        <v>21</v>
      </c>
    </row>
    <row r="26">
      <c r="A26" s="32">
        <f t="shared" si="8"/>
        <v>22</v>
      </c>
      <c r="B26" s="33" t="s">
        <v>128</v>
      </c>
      <c r="C26" s="34">
        <v>26.0</v>
      </c>
      <c r="D26" s="34">
        <v>2.0</v>
      </c>
      <c r="E26" s="35">
        <f t="shared" si="2"/>
        <v>8.5</v>
      </c>
      <c r="F26" s="95">
        <v>1.0</v>
      </c>
      <c r="G26" s="96">
        <v>3.0</v>
      </c>
      <c r="H26" s="97">
        <v>0.0</v>
      </c>
      <c r="I26" s="96">
        <v>1.0</v>
      </c>
      <c r="J26" s="96">
        <v>6.0</v>
      </c>
      <c r="K26" s="96">
        <v>6.0</v>
      </c>
      <c r="L26" s="98">
        <v>13.0</v>
      </c>
      <c r="M26" s="96">
        <v>1.0</v>
      </c>
      <c r="N26" s="34">
        <f t="shared" ref="N26:O26" si="29">C26+L26</f>
        <v>39</v>
      </c>
      <c r="O26" s="34">
        <f t="shared" si="29"/>
        <v>3</v>
      </c>
      <c r="P26" s="49" t="s">
        <v>58</v>
      </c>
      <c r="Q26" s="49" t="s">
        <v>58</v>
      </c>
      <c r="R26" s="49"/>
      <c r="S26" s="52">
        <f t="shared" si="4"/>
        <v>2</v>
      </c>
      <c r="T26" s="52">
        <f t="shared" si="5"/>
        <v>0</v>
      </c>
      <c r="U26" s="52"/>
      <c r="V26" s="52">
        <f t="shared" si="6"/>
        <v>1</v>
      </c>
      <c r="W26" s="52">
        <f t="shared" si="7"/>
        <v>27</v>
      </c>
      <c r="X26" s="32">
        <f t="shared" si="10"/>
        <v>22</v>
      </c>
    </row>
    <row r="27">
      <c r="A27" s="32">
        <f t="shared" si="8"/>
        <v>23</v>
      </c>
      <c r="B27" s="33" t="s">
        <v>66</v>
      </c>
      <c r="C27" s="34">
        <v>26.0</v>
      </c>
      <c r="D27" s="34">
        <v>1.0</v>
      </c>
      <c r="E27" s="35">
        <f t="shared" si="2"/>
        <v>8.666666667</v>
      </c>
      <c r="F27" s="95">
        <v>1.0</v>
      </c>
      <c r="G27" s="96">
        <v>4.0</v>
      </c>
      <c r="H27" s="97">
        <v>0.0</v>
      </c>
      <c r="I27" s="96">
        <v>5.0</v>
      </c>
      <c r="J27" s="96">
        <v>6.0</v>
      </c>
      <c r="K27" s="96">
        <v>2.0</v>
      </c>
      <c r="L27" s="98">
        <v>13.0</v>
      </c>
      <c r="M27" s="96">
        <v>1.0</v>
      </c>
      <c r="N27" s="34">
        <f t="shared" ref="N27:O27" si="30">C27+L27</f>
        <v>39</v>
      </c>
      <c r="O27" s="34">
        <f t="shared" si="30"/>
        <v>2</v>
      </c>
      <c r="P27" s="49" t="s">
        <v>58</v>
      </c>
      <c r="Q27" s="49" t="s">
        <v>58</v>
      </c>
      <c r="R27" s="49"/>
      <c r="S27" s="52">
        <f t="shared" si="4"/>
        <v>3</v>
      </c>
      <c r="T27" s="52">
        <f t="shared" si="5"/>
        <v>0</v>
      </c>
      <c r="U27" s="52"/>
      <c r="V27" s="52">
        <f t="shared" si="6"/>
        <v>0</v>
      </c>
      <c r="W27" s="52">
        <f t="shared" si="7"/>
        <v>10</v>
      </c>
      <c r="X27" s="32">
        <f t="shared" si="10"/>
        <v>23</v>
      </c>
    </row>
    <row r="28">
      <c r="A28" s="32">
        <f t="shared" si="8"/>
        <v>24</v>
      </c>
      <c r="B28" s="33" t="s">
        <v>138</v>
      </c>
      <c r="C28" s="34">
        <v>25.0</v>
      </c>
      <c r="D28" s="34">
        <v>2.0</v>
      </c>
      <c r="E28" s="35">
        <f t="shared" si="2"/>
        <v>8</v>
      </c>
      <c r="F28" s="95">
        <v>2.0</v>
      </c>
      <c r="G28" s="96">
        <v>4.0</v>
      </c>
      <c r="H28" s="97">
        <v>0.0</v>
      </c>
      <c r="I28" s="96">
        <v>5.0</v>
      </c>
      <c r="J28" s="96">
        <v>2.0</v>
      </c>
      <c r="K28" s="96">
        <v>6.0</v>
      </c>
      <c r="L28" s="98">
        <v>13.0</v>
      </c>
      <c r="M28" s="96">
        <v>1.0</v>
      </c>
      <c r="N28" s="34">
        <f t="shared" ref="N28:O28" si="31">C28+L28</f>
        <v>38</v>
      </c>
      <c r="O28" s="34">
        <f t="shared" si="31"/>
        <v>3</v>
      </c>
      <c r="P28" s="49" t="s">
        <v>58</v>
      </c>
      <c r="Q28" s="49" t="s">
        <v>58</v>
      </c>
      <c r="R28" s="49"/>
      <c r="S28" s="52">
        <f t="shared" si="4"/>
        <v>2</v>
      </c>
      <c r="T28" s="52">
        <f t="shared" si="5"/>
        <v>0</v>
      </c>
      <c r="U28" s="52"/>
      <c r="V28" s="52">
        <f t="shared" si="6"/>
        <v>1</v>
      </c>
      <c r="W28" s="52">
        <f t="shared" si="7"/>
        <v>-16</v>
      </c>
      <c r="X28" s="32">
        <f t="shared" si="10"/>
        <v>24</v>
      </c>
    </row>
    <row r="29">
      <c r="A29" s="32">
        <f t="shared" si="8"/>
        <v>25</v>
      </c>
      <c r="B29" s="33" t="s">
        <v>148</v>
      </c>
      <c r="C29" s="34">
        <v>25.0</v>
      </c>
      <c r="D29" s="34">
        <v>1.0</v>
      </c>
      <c r="E29" s="35">
        <f t="shared" si="2"/>
        <v>8</v>
      </c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2">C29+L29</f>
        <v>34</v>
      </c>
      <c r="O29" s="34">
        <f t="shared" si="32"/>
        <v>1</v>
      </c>
      <c r="P29" s="49" t="s">
        <v>58</v>
      </c>
      <c r="Q29" s="49" t="s">
        <v>58</v>
      </c>
      <c r="R29" s="49"/>
      <c r="S29" s="52">
        <f t="shared" si="4"/>
        <v>2</v>
      </c>
      <c r="T29" s="52">
        <f t="shared" si="5"/>
        <v>0</v>
      </c>
      <c r="U29" s="52"/>
      <c r="V29" s="52">
        <f t="shared" si="6"/>
        <v>1</v>
      </c>
      <c r="W29" s="52">
        <f t="shared" si="7"/>
        <v>5</v>
      </c>
      <c r="X29" s="32">
        <f t="shared" si="10"/>
        <v>25</v>
      </c>
    </row>
    <row r="30">
      <c r="A30" s="32">
        <f t="shared" si="8"/>
        <v>26</v>
      </c>
      <c r="B30" s="33" t="s">
        <v>93</v>
      </c>
      <c r="C30" s="34">
        <v>24.0</v>
      </c>
      <c r="D30" s="34">
        <v>2.0</v>
      </c>
      <c r="E30" s="35">
        <f t="shared" si="2"/>
        <v>6</v>
      </c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3">C30+L30</f>
        <v>33</v>
      </c>
      <c r="O30" s="34">
        <f t="shared" si="33"/>
        <v>2</v>
      </c>
      <c r="P30" s="49" t="s">
        <v>58</v>
      </c>
      <c r="Q30" s="49" t="s">
        <v>58</v>
      </c>
      <c r="R30" s="49"/>
      <c r="S30" s="52">
        <f t="shared" si="4"/>
        <v>1</v>
      </c>
      <c r="T30" s="52">
        <f t="shared" si="5"/>
        <v>0</v>
      </c>
      <c r="U30" s="52"/>
      <c r="V30" s="52">
        <f t="shared" si="6"/>
        <v>2</v>
      </c>
      <c r="W30" s="52">
        <f t="shared" si="7"/>
        <v>-13</v>
      </c>
      <c r="X30" s="32">
        <f t="shared" si="10"/>
        <v>26</v>
      </c>
    </row>
    <row r="31">
      <c r="A31" s="32">
        <f t="shared" si="8"/>
        <v>27</v>
      </c>
      <c r="B31" s="33" t="s">
        <v>97</v>
      </c>
      <c r="C31" s="34">
        <v>23.0</v>
      </c>
      <c r="D31" s="34">
        <v>2.0</v>
      </c>
      <c r="E31" s="35">
        <f t="shared" si="2"/>
        <v>7</v>
      </c>
      <c r="F31" s="95">
        <v>3.0</v>
      </c>
      <c r="G31" s="96">
        <v>0.0</v>
      </c>
      <c r="H31" s="97">
        <v>9.0</v>
      </c>
      <c r="I31" s="96">
        <v>0.0</v>
      </c>
      <c r="J31" s="96">
        <v>0.0</v>
      </c>
      <c r="K31" s="96">
        <v>0.0</v>
      </c>
      <c r="L31" s="98">
        <v>9.0</v>
      </c>
      <c r="M31" s="96">
        <v>0.0</v>
      </c>
      <c r="N31" s="34">
        <f t="shared" ref="N31:O31" si="34">C31+L31</f>
        <v>32</v>
      </c>
      <c r="O31" s="34">
        <f t="shared" si="34"/>
        <v>2</v>
      </c>
      <c r="P31" s="49" t="s">
        <v>58</v>
      </c>
      <c r="Q31" s="49" t="s">
        <v>58</v>
      </c>
      <c r="R31" s="49"/>
      <c r="S31" s="52">
        <f t="shared" si="4"/>
        <v>2</v>
      </c>
      <c r="T31" s="52">
        <f t="shared" si="5"/>
        <v>0</v>
      </c>
      <c r="U31" s="52"/>
      <c r="V31" s="52">
        <f t="shared" si="6"/>
        <v>1</v>
      </c>
      <c r="W31" s="52">
        <f t="shared" si="7"/>
        <v>-16</v>
      </c>
      <c r="X31" s="32">
        <f t="shared" si="10"/>
        <v>27</v>
      </c>
    </row>
    <row r="32">
      <c r="A32" s="32">
        <f t="shared" si="8"/>
        <v>28</v>
      </c>
      <c r="B32" s="33" t="s">
        <v>96</v>
      </c>
      <c r="C32" s="34">
        <v>23.0</v>
      </c>
      <c r="D32" s="34">
        <v>2.0</v>
      </c>
      <c r="E32" s="35">
        <f t="shared" si="2"/>
        <v>7</v>
      </c>
      <c r="F32" s="95">
        <v>1.0</v>
      </c>
      <c r="G32" s="96">
        <v>4.0</v>
      </c>
      <c r="H32" s="97">
        <v>0.0</v>
      </c>
      <c r="I32" s="96">
        <v>7.0</v>
      </c>
      <c r="J32" s="96">
        <v>2.0</v>
      </c>
      <c r="K32" s="96">
        <v>2.0</v>
      </c>
      <c r="L32" s="98">
        <v>11.0</v>
      </c>
      <c r="M32" s="96">
        <v>1.0</v>
      </c>
      <c r="N32" s="34">
        <f t="shared" ref="N32:O32" si="35">C32+L32</f>
        <v>34</v>
      </c>
      <c r="O32" s="34">
        <f t="shared" si="35"/>
        <v>3</v>
      </c>
      <c r="P32" s="49" t="s">
        <v>58</v>
      </c>
      <c r="Q32" s="49" t="s">
        <v>58</v>
      </c>
      <c r="R32" s="49"/>
      <c r="S32" s="52">
        <f t="shared" si="4"/>
        <v>2</v>
      </c>
      <c r="T32" s="52">
        <f t="shared" si="5"/>
        <v>0</v>
      </c>
      <c r="U32" s="52"/>
      <c r="V32" s="52">
        <f t="shared" si="6"/>
        <v>1</v>
      </c>
      <c r="W32" s="52">
        <f t="shared" si="7"/>
        <v>11</v>
      </c>
      <c r="X32" s="32">
        <f t="shared" si="10"/>
        <v>28</v>
      </c>
    </row>
    <row r="33">
      <c r="A33" s="32">
        <f t="shared" si="8"/>
        <v>29</v>
      </c>
      <c r="B33" s="33" t="s">
        <v>87</v>
      </c>
      <c r="C33" s="34">
        <v>23.0</v>
      </c>
      <c r="D33" s="34">
        <v>2.0</v>
      </c>
      <c r="E33" s="35">
        <f t="shared" si="2"/>
        <v>7</v>
      </c>
      <c r="F33" s="95">
        <v>1.0</v>
      </c>
      <c r="G33" s="96">
        <v>4.0</v>
      </c>
      <c r="H33" s="97">
        <v>0.0</v>
      </c>
      <c r="I33" s="96">
        <v>7.0</v>
      </c>
      <c r="J33" s="96">
        <v>6.0</v>
      </c>
      <c r="K33" s="96">
        <v>6.0</v>
      </c>
      <c r="L33" s="98">
        <v>19.0</v>
      </c>
      <c r="M33" s="96">
        <v>3.0</v>
      </c>
      <c r="N33" s="34">
        <f t="shared" ref="N33:O33" si="36">C33+L33</f>
        <v>42</v>
      </c>
      <c r="O33" s="34">
        <f t="shared" si="36"/>
        <v>5</v>
      </c>
      <c r="P33" s="49" t="s">
        <v>58</v>
      </c>
      <c r="Q33" s="49" t="s">
        <v>58</v>
      </c>
      <c r="R33" s="49"/>
      <c r="S33" s="52">
        <f t="shared" si="4"/>
        <v>2</v>
      </c>
      <c r="T33" s="52">
        <f t="shared" si="5"/>
        <v>0</v>
      </c>
      <c r="U33" s="52"/>
      <c r="V33" s="52">
        <f t="shared" si="6"/>
        <v>1</v>
      </c>
      <c r="W33" s="52">
        <f t="shared" si="7"/>
        <v>15</v>
      </c>
      <c r="X33" s="32">
        <f t="shared" si="10"/>
        <v>29</v>
      </c>
    </row>
    <row r="34">
      <c r="A34" s="32">
        <f t="shared" si="8"/>
        <v>30</v>
      </c>
      <c r="B34" s="33" t="s">
        <v>108</v>
      </c>
      <c r="C34" s="34">
        <v>23.0</v>
      </c>
      <c r="D34" s="34">
        <v>2.0</v>
      </c>
      <c r="E34" s="35">
        <f t="shared" si="2"/>
        <v>7</v>
      </c>
      <c r="F34" s="95">
        <v>1.0</v>
      </c>
      <c r="G34" s="96">
        <v>5.0</v>
      </c>
      <c r="H34" s="97">
        <v>0.0</v>
      </c>
      <c r="I34" s="96">
        <v>2.0</v>
      </c>
      <c r="J34" s="96">
        <v>5.0</v>
      </c>
      <c r="K34" s="96">
        <v>6.0</v>
      </c>
      <c r="L34" s="98">
        <v>13.0</v>
      </c>
      <c r="M34" s="96">
        <v>0.0</v>
      </c>
      <c r="N34" s="34">
        <f t="shared" ref="N34:O34" si="37">C34+L34</f>
        <v>36</v>
      </c>
      <c r="O34" s="34">
        <f t="shared" si="37"/>
        <v>2</v>
      </c>
      <c r="P34" s="49" t="s">
        <v>58</v>
      </c>
      <c r="Q34" s="49" t="s">
        <v>58</v>
      </c>
      <c r="R34" s="49"/>
      <c r="S34" s="52">
        <f t="shared" si="4"/>
        <v>2</v>
      </c>
      <c r="T34" s="52">
        <f t="shared" si="5"/>
        <v>0</v>
      </c>
      <c r="U34" s="52"/>
      <c r="V34" s="52">
        <f t="shared" si="6"/>
        <v>1</v>
      </c>
      <c r="W34" s="52">
        <f t="shared" si="7"/>
        <v>18</v>
      </c>
      <c r="X34" s="32">
        <f t="shared" si="10"/>
        <v>30</v>
      </c>
    </row>
    <row r="35">
      <c r="A35" s="32">
        <f t="shared" si="8"/>
        <v>31</v>
      </c>
      <c r="B35" s="33" t="s">
        <v>65</v>
      </c>
      <c r="C35" s="34">
        <v>23.0</v>
      </c>
      <c r="D35" s="34">
        <v>2.0</v>
      </c>
      <c r="E35" s="35">
        <f t="shared" si="2"/>
        <v>5</v>
      </c>
      <c r="F35" s="95">
        <v>3.0</v>
      </c>
      <c r="G35" s="96">
        <v>0.0</v>
      </c>
      <c r="H35" s="97">
        <v>9.0</v>
      </c>
      <c r="I35" s="96">
        <v>0.0</v>
      </c>
      <c r="J35" s="96">
        <v>0.0</v>
      </c>
      <c r="K35" s="96">
        <v>0.0</v>
      </c>
      <c r="L35" s="98">
        <v>9.0</v>
      </c>
      <c r="M35" s="96">
        <v>0.0</v>
      </c>
      <c r="N35" s="34">
        <f t="shared" ref="N35:O35" si="38">C35+L35</f>
        <v>32</v>
      </c>
      <c r="O35" s="34">
        <f t="shared" si="38"/>
        <v>2</v>
      </c>
      <c r="P35" s="49" t="s">
        <v>58</v>
      </c>
      <c r="Q35" s="49" t="s">
        <v>58</v>
      </c>
      <c r="R35" s="49"/>
      <c r="S35" s="52">
        <f t="shared" si="4"/>
        <v>1</v>
      </c>
      <c r="T35" s="52">
        <f t="shared" si="5"/>
        <v>0</v>
      </c>
      <c r="U35" s="52"/>
      <c r="V35" s="52">
        <f t="shared" si="6"/>
        <v>2</v>
      </c>
      <c r="W35" s="52">
        <f t="shared" si="7"/>
        <v>23</v>
      </c>
      <c r="X35" s="32">
        <f t="shared" si="10"/>
        <v>31</v>
      </c>
    </row>
    <row r="36">
      <c r="A36" s="32">
        <f t="shared" si="8"/>
        <v>32</v>
      </c>
      <c r="B36" s="33" t="s">
        <v>143</v>
      </c>
      <c r="C36" s="34">
        <v>23.0</v>
      </c>
      <c r="D36" s="34">
        <v>1.0</v>
      </c>
      <c r="E36" s="35">
        <f t="shared" si="2"/>
        <v>5</v>
      </c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39">C36+L36</f>
        <v>32</v>
      </c>
      <c r="O36" s="34">
        <f t="shared" si="39"/>
        <v>1</v>
      </c>
      <c r="P36" s="49" t="s">
        <v>58</v>
      </c>
      <c r="Q36" s="49" t="s">
        <v>58</v>
      </c>
      <c r="R36" s="49"/>
      <c r="S36" s="52">
        <f t="shared" si="4"/>
        <v>1</v>
      </c>
      <c r="T36" s="52">
        <f t="shared" si="5"/>
        <v>0</v>
      </c>
      <c r="U36" s="52"/>
      <c r="V36" s="52">
        <f t="shared" si="6"/>
        <v>2</v>
      </c>
      <c r="W36" s="52">
        <f t="shared" si="7"/>
        <v>-13</v>
      </c>
      <c r="X36" s="32">
        <f t="shared" si="10"/>
        <v>32</v>
      </c>
    </row>
    <row r="37">
      <c r="A37" s="32">
        <f t="shared" si="8"/>
        <v>33</v>
      </c>
      <c r="B37" s="33" t="s">
        <v>83</v>
      </c>
      <c r="C37" s="34">
        <v>22.0</v>
      </c>
      <c r="D37" s="34">
        <v>2.0</v>
      </c>
      <c r="E37" s="35">
        <f t="shared" si="2"/>
        <v>6.5</v>
      </c>
      <c r="F37" s="95">
        <v>1.0</v>
      </c>
      <c r="G37" s="96">
        <v>5.0</v>
      </c>
      <c r="H37" s="97">
        <v>0.0</v>
      </c>
      <c r="I37" s="96">
        <v>6.0</v>
      </c>
      <c r="J37" s="96">
        <v>7.0</v>
      </c>
      <c r="K37" s="96">
        <v>6.0</v>
      </c>
      <c r="L37" s="98">
        <v>19.0</v>
      </c>
      <c r="M37" s="96">
        <v>2.0</v>
      </c>
      <c r="N37" s="34">
        <f t="shared" ref="N37:O37" si="40">C37+L37</f>
        <v>41</v>
      </c>
      <c r="O37" s="34">
        <f t="shared" si="40"/>
        <v>4</v>
      </c>
      <c r="P37" s="49" t="s">
        <v>58</v>
      </c>
      <c r="Q37" s="49" t="s">
        <v>58</v>
      </c>
      <c r="R37" s="49"/>
      <c r="S37" s="52">
        <f t="shared" si="4"/>
        <v>2</v>
      </c>
      <c r="T37" s="52">
        <f t="shared" si="5"/>
        <v>0</v>
      </c>
      <c r="U37" s="52"/>
      <c r="V37" s="52">
        <f t="shared" si="6"/>
        <v>1</v>
      </c>
      <c r="W37" s="52">
        <f t="shared" si="7"/>
        <v>-12</v>
      </c>
      <c r="X37" s="32">
        <f t="shared" si="10"/>
        <v>33</v>
      </c>
    </row>
    <row r="38">
      <c r="A38" s="32">
        <f t="shared" si="8"/>
        <v>34</v>
      </c>
      <c r="B38" s="33" t="s">
        <v>133</v>
      </c>
      <c r="C38" s="34">
        <v>22.0</v>
      </c>
      <c r="D38" s="34">
        <v>2.0</v>
      </c>
      <c r="E38" s="35">
        <f t="shared" si="2"/>
        <v>6.5</v>
      </c>
      <c r="F38" s="95">
        <v>3.0</v>
      </c>
      <c r="G38" s="96">
        <v>0.0</v>
      </c>
      <c r="H38" s="97">
        <v>9.0</v>
      </c>
      <c r="I38" s="96">
        <v>0.0</v>
      </c>
      <c r="J38" s="96">
        <v>0.0</v>
      </c>
      <c r="K38" s="96">
        <v>0.0</v>
      </c>
      <c r="L38" s="98">
        <v>9.0</v>
      </c>
      <c r="M38" s="96">
        <v>0.0</v>
      </c>
      <c r="N38" s="34">
        <f t="shared" ref="N38:O38" si="41">C38+L38</f>
        <v>31</v>
      </c>
      <c r="O38" s="34">
        <f t="shared" si="41"/>
        <v>2</v>
      </c>
      <c r="P38" s="49" t="s">
        <v>58</v>
      </c>
      <c r="Q38" s="49" t="s">
        <v>58</v>
      </c>
      <c r="R38" s="49"/>
      <c r="S38" s="52">
        <f t="shared" si="4"/>
        <v>2</v>
      </c>
      <c r="T38" s="52">
        <f t="shared" si="5"/>
        <v>0</v>
      </c>
      <c r="U38" s="52"/>
      <c r="V38" s="52">
        <f t="shared" si="6"/>
        <v>1</v>
      </c>
      <c r="W38" s="52">
        <f t="shared" si="7"/>
        <v>-9</v>
      </c>
      <c r="X38" s="32">
        <f t="shared" si="10"/>
        <v>34</v>
      </c>
    </row>
    <row r="39">
      <c r="A39" s="32">
        <f t="shared" si="8"/>
        <v>35</v>
      </c>
      <c r="B39" s="33" t="s">
        <v>60</v>
      </c>
      <c r="C39" s="34">
        <v>22.0</v>
      </c>
      <c r="D39" s="34">
        <v>2.0</v>
      </c>
      <c r="E39" s="35">
        <f t="shared" si="2"/>
        <v>7.333333333</v>
      </c>
      <c r="F39" s="95">
        <v>1.0</v>
      </c>
      <c r="G39" s="96">
        <v>5.0</v>
      </c>
      <c r="H39" s="97">
        <v>0.0</v>
      </c>
      <c r="I39" s="96">
        <v>2.0</v>
      </c>
      <c r="J39" s="96">
        <v>7.0</v>
      </c>
      <c r="K39" s="96">
        <v>7.0</v>
      </c>
      <c r="L39" s="98">
        <v>16.0</v>
      </c>
      <c r="M39" s="96">
        <v>2.0</v>
      </c>
      <c r="N39" s="34">
        <f t="shared" ref="N39:O39" si="42">C39+L39</f>
        <v>38</v>
      </c>
      <c r="O39" s="34">
        <f t="shared" si="42"/>
        <v>4</v>
      </c>
      <c r="P39" s="49" t="s">
        <v>58</v>
      </c>
      <c r="Q39" s="49" t="s">
        <v>58</v>
      </c>
      <c r="R39" s="49"/>
      <c r="S39" s="52">
        <f t="shared" si="4"/>
        <v>3</v>
      </c>
      <c r="T39" s="52">
        <f t="shared" si="5"/>
        <v>0</v>
      </c>
      <c r="U39" s="52"/>
      <c r="V39" s="52">
        <f t="shared" si="6"/>
        <v>0</v>
      </c>
      <c r="W39" s="52">
        <f t="shared" si="7"/>
        <v>-6</v>
      </c>
      <c r="X39" s="32">
        <f t="shared" si="10"/>
        <v>35</v>
      </c>
    </row>
    <row r="40">
      <c r="A40" s="32">
        <f t="shared" si="8"/>
        <v>36</v>
      </c>
      <c r="B40" s="33" t="s">
        <v>111</v>
      </c>
      <c r="C40" s="34">
        <v>22.0</v>
      </c>
      <c r="D40" s="34">
        <v>1.0</v>
      </c>
      <c r="E40" s="35">
        <f t="shared" si="2"/>
        <v>6.5</v>
      </c>
      <c r="F40" s="95">
        <v>1.0</v>
      </c>
      <c r="G40" s="96">
        <v>5.0</v>
      </c>
      <c r="H40" s="97">
        <v>0.0</v>
      </c>
      <c r="I40" s="96">
        <v>6.0</v>
      </c>
      <c r="J40" s="96">
        <v>5.0</v>
      </c>
      <c r="K40" s="96">
        <v>7.0</v>
      </c>
      <c r="L40" s="98">
        <v>18.0</v>
      </c>
      <c r="M40" s="96">
        <v>2.0</v>
      </c>
      <c r="N40" s="34">
        <f t="shared" ref="N40:O40" si="43">C40+L40</f>
        <v>40</v>
      </c>
      <c r="O40" s="34">
        <f t="shared" si="43"/>
        <v>3</v>
      </c>
      <c r="P40" s="49" t="s">
        <v>58</v>
      </c>
      <c r="Q40" s="49" t="s">
        <v>58</v>
      </c>
      <c r="R40" s="49"/>
      <c r="S40" s="52">
        <f t="shared" si="4"/>
        <v>2</v>
      </c>
      <c r="T40" s="52">
        <f t="shared" si="5"/>
        <v>0</v>
      </c>
      <c r="U40" s="52"/>
      <c r="V40" s="52">
        <f t="shared" si="6"/>
        <v>1</v>
      </c>
      <c r="W40" s="52">
        <f t="shared" si="7"/>
        <v>-13</v>
      </c>
      <c r="X40" s="32">
        <f t="shared" si="10"/>
        <v>36</v>
      </c>
    </row>
    <row r="41">
      <c r="A41" s="32">
        <f t="shared" si="8"/>
        <v>37</v>
      </c>
      <c r="B41" s="33" t="s">
        <v>107</v>
      </c>
      <c r="C41" s="34">
        <v>22.0</v>
      </c>
      <c r="D41" s="34">
        <v>1.0</v>
      </c>
      <c r="E41" s="35">
        <f t="shared" si="2"/>
        <v>6.5</v>
      </c>
      <c r="F41" s="95">
        <v>2.0</v>
      </c>
      <c r="G41" s="96">
        <v>6.0</v>
      </c>
      <c r="H41" s="97">
        <v>0.0</v>
      </c>
      <c r="I41" s="96">
        <v>6.0</v>
      </c>
      <c r="J41" s="96">
        <v>6.0</v>
      </c>
      <c r="K41" s="96">
        <v>6.0</v>
      </c>
      <c r="L41" s="98">
        <v>18.0</v>
      </c>
      <c r="M41" s="96">
        <v>3.0</v>
      </c>
      <c r="N41" s="34">
        <f t="shared" ref="N41:O41" si="44">C41+L41</f>
        <v>40</v>
      </c>
      <c r="O41" s="34">
        <f t="shared" si="44"/>
        <v>4</v>
      </c>
      <c r="P41" s="49" t="s">
        <v>58</v>
      </c>
      <c r="Q41" s="49" t="s">
        <v>58</v>
      </c>
      <c r="R41" s="49"/>
      <c r="S41" s="52">
        <f t="shared" si="4"/>
        <v>2</v>
      </c>
      <c r="T41" s="52">
        <f t="shared" si="5"/>
        <v>0</v>
      </c>
      <c r="U41" s="52"/>
      <c r="V41" s="52">
        <f t="shared" si="6"/>
        <v>1</v>
      </c>
      <c r="W41" s="52">
        <f t="shared" si="7"/>
        <v>-11</v>
      </c>
      <c r="X41" s="32">
        <f t="shared" si="10"/>
        <v>37</v>
      </c>
    </row>
    <row r="42">
      <c r="A42" s="32">
        <f t="shared" si="8"/>
        <v>38</v>
      </c>
      <c r="B42" s="33" t="s">
        <v>145</v>
      </c>
      <c r="C42" s="34">
        <v>21.0</v>
      </c>
      <c r="D42" s="34">
        <v>2.0</v>
      </c>
      <c r="E42" s="35">
        <f t="shared" si="2"/>
        <v>7</v>
      </c>
      <c r="F42" s="95">
        <v>1.0</v>
      </c>
      <c r="G42" s="96">
        <v>6.0</v>
      </c>
      <c r="H42" s="97">
        <v>0.0</v>
      </c>
      <c r="I42" s="96">
        <v>1.0</v>
      </c>
      <c r="J42" s="96">
        <v>6.0</v>
      </c>
      <c r="K42" s="96">
        <v>1.0</v>
      </c>
      <c r="L42" s="98">
        <v>8.0</v>
      </c>
      <c r="M42" s="96">
        <v>1.0</v>
      </c>
      <c r="N42" s="34">
        <f t="shared" ref="N42:O42" si="45">C42+L42</f>
        <v>29</v>
      </c>
      <c r="O42" s="34">
        <f t="shared" si="45"/>
        <v>3</v>
      </c>
      <c r="P42" s="49" t="s">
        <v>58</v>
      </c>
      <c r="Q42" s="49" t="s">
        <v>58</v>
      </c>
      <c r="R42" s="49"/>
      <c r="S42" s="52">
        <f t="shared" si="4"/>
        <v>3</v>
      </c>
      <c r="T42" s="52">
        <f t="shared" si="5"/>
        <v>0</v>
      </c>
      <c r="U42" s="52"/>
      <c r="V42" s="52">
        <f t="shared" si="6"/>
        <v>0</v>
      </c>
      <c r="W42" s="52">
        <f t="shared" si="7"/>
        <v>-20</v>
      </c>
      <c r="X42" s="32">
        <f t="shared" si="10"/>
        <v>38</v>
      </c>
    </row>
    <row r="43">
      <c r="A43" s="32">
        <f t="shared" si="8"/>
        <v>39</v>
      </c>
      <c r="B43" s="33" t="s">
        <v>54</v>
      </c>
      <c r="C43" s="34">
        <v>21.0</v>
      </c>
      <c r="D43" s="34">
        <v>2.0</v>
      </c>
      <c r="E43" s="35">
        <f t="shared" si="2"/>
        <v>7</v>
      </c>
      <c r="F43" s="95">
        <v>1.0</v>
      </c>
      <c r="G43" s="96">
        <v>6.0</v>
      </c>
      <c r="H43" s="97">
        <v>0.0</v>
      </c>
      <c r="I43" s="96">
        <v>1.0</v>
      </c>
      <c r="J43" s="96">
        <v>0.0</v>
      </c>
      <c r="K43" s="96">
        <v>6.0</v>
      </c>
      <c r="L43" s="98">
        <v>7.0</v>
      </c>
      <c r="M43" s="96">
        <v>1.0</v>
      </c>
      <c r="N43" s="34">
        <f t="shared" ref="N43:O43" si="46">C43+L43</f>
        <v>28</v>
      </c>
      <c r="O43" s="34">
        <f t="shared" si="46"/>
        <v>3</v>
      </c>
      <c r="P43" s="49" t="s">
        <v>58</v>
      </c>
      <c r="Q43" s="49" t="s">
        <v>58</v>
      </c>
      <c r="R43" s="49"/>
      <c r="S43" s="52">
        <f t="shared" si="4"/>
        <v>3</v>
      </c>
      <c r="T43" s="52">
        <f t="shared" si="5"/>
        <v>0</v>
      </c>
      <c r="U43" s="52"/>
      <c r="V43" s="52">
        <f t="shared" si="6"/>
        <v>0</v>
      </c>
      <c r="W43" s="52">
        <f t="shared" si="7"/>
        <v>-17</v>
      </c>
      <c r="X43" s="32">
        <f t="shared" si="10"/>
        <v>39</v>
      </c>
    </row>
    <row r="44">
      <c r="A44" s="32">
        <f t="shared" si="8"/>
        <v>40</v>
      </c>
      <c r="B44" s="33" t="s">
        <v>49</v>
      </c>
      <c r="C44" s="34">
        <v>21.0</v>
      </c>
      <c r="D44" s="34">
        <v>2.0</v>
      </c>
      <c r="E44" s="35">
        <f t="shared" si="2"/>
        <v>6</v>
      </c>
      <c r="F44" s="95">
        <v>1.0</v>
      </c>
      <c r="G44" s="96">
        <v>6.0</v>
      </c>
      <c r="H44" s="97">
        <v>0.0</v>
      </c>
      <c r="I44" s="96">
        <v>6.0</v>
      </c>
      <c r="J44" s="96">
        <v>0.0</v>
      </c>
      <c r="K44" s="96">
        <v>1.0</v>
      </c>
      <c r="L44" s="98">
        <v>7.0</v>
      </c>
      <c r="M44" s="96">
        <v>1.0</v>
      </c>
      <c r="N44" s="34">
        <f t="shared" ref="N44:O44" si="47">C44+L44</f>
        <v>28</v>
      </c>
      <c r="O44" s="34">
        <f t="shared" si="47"/>
        <v>3</v>
      </c>
      <c r="P44" s="49" t="s">
        <v>58</v>
      </c>
      <c r="Q44" s="49" t="s">
        <v>58</v>
      </c>
      <c r="R44" s="49"/>
      <c r="S44" s="52">
        <f t="shared" si="4"/>
        <v>2</v>
      </c>
      <c r="T44" s="52">
        <f t="shared" si="5"/>
        <v>0</v>
      </c>
      <c r="U44" s="52"/>
      <c r="V44" s="52">
        <f t="shared" si="6"/>
        <v>1</v>
      </c>
      <c r="W44" s="52">
        <f t="shared" si="7"/>
        <v>1</v>
      </c>
      <c r="X44" s="32">
        <f t="shared" si="10"/>
        <v>40</v>
      </c>
    </row>
    <row r="45">
      <c r="A45" s="32">
        <f t="shared" si="8"/>
        <v>41</v>
      </c>
      <c r="B45" s="33" t="s">
        <v>147</v>
      </c>
      <c r="C45" s="34">
        <v>21.0</v>
      </c>
      <c r="D45" s="34">
        <v>1.0</v>
      </c>
      <c r="E45" s="35">
        <f t="shared" si="2"/>
        <v>3</v>
      </c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48">C45+L45</f>
        <v>30</v>
      </c>
      <c r="O45" s="34">
        <f t="shared" si="48"/>
        <v>1</v>
      </c>
      <c r="P45" s="49" t="s">
        <v>58</v>
      </c>
      <c r="Q45" s="49" t="s">
        <v>58</v>
      </c>
      <c r="R45" s="49"/>
      <c r="S45" s="52">
        <f t="shared" si="4"/>
        <v>1</v>
      </c>
      <c r="T45" s="52">
        <f t="shared" si="5"/>
        <v>0</v>
      </c>
      <c r="U45" s="52"/>
      <c r="V45" s="52">
        <f t="shared" si="6"/>
        <v>2</v>
      </c>
      <c r="W45" s="52">
        <f t="shared" si="7"/>
        <v>-9</v>
      </c>
      <c r="X45" s="32">
        <f t="shared" si="10"/>
        <v>41</v>
      </c>
    </row>
    <row r="46">
      <c r="A46" s="32">
        <f t="shared" si="8"/>
        <v>42</v>
      </c>
      <c r="B46" s="33" t="s">
        <v>142</v>
      </c>
      <c r="C46" s="34">
        <v>20.0</v>
      </c>
      <c r="D46" s="34">
        <v>3.0</v>
      </c>
      <c r="E46" s="35">
        <f t="shared" si="2"/>
        <v>5.5</v>
      </c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49">C46+L46</f>
        <v>29</v>
      </c>
      <c r="O46" s="34">
        <f t="shared" si="49"/>
        <v>3</v>
      </c>
      <c r="P46" s="49" t="s">
        <v>58</v>
      </c>
      <c r="Q46" s="49" t="s">
        <v>58</v>
      </c>
      <c r="R46" s="49"/>
      <c r="S46" s="52">
        <f t="shared" si="4"/>
        <v>2</v>
      </c>
      <c r="T46" s="52">
        <f t="shared" si="5"/>
        <v>0</v>
      </c>
      <c r="U46" s="52"/>
      <c r="V46" s="52">
        <f t="shared" si="6"/>
        <v>1</v>
      </c>
      <c r="W46" s="52">
        <f t="shared" si="7"/>
        <v>-15</v>
      </c>
      <c r="X46" s="32">
        <f t="shared" si="10"/>
        <v>42</v>
      </c>
    </row>
    <row r="47">
      <c r="A47" s="32">
        <f t="shared" si="8"/>
        <v>43</v>
      </c>
      <c r="B47" s="33" t="s">
        <v>50</v>
      </c>
      <c r="C47" s="34">
        <v>20.0</v>
      </c>
      <c r="D47" s="34">
        <v>2.0</v>
      </c>
      <c r="E47" s="35">
        <f t="shared" si="2"/>
        <v>6.666666667</v>
      </c>
      <c r="F47" s="95">
        <v>1.0</v>
      </c>
      <c r="G47" s="96">
        <v>7.0</v>
      </c>
      <c r="H47" s="97">
        <v>0.0</v>
      </c>
      <c r="I47" s="96">
        <v>4.0</v>
      </c>
      <c r="J47" s="96">
        <v>4.0</v>
      </c>
      <c r="K47" s="96">
        <v>7.0</v>
      </c>
      <c r="L47" s="98">
        <v>15.0</v>
      </c>
      <c r="M47" s="96">
        <v>1.0</v>
      </c>
      <c r="N47" s="34">
        <f t="shared" ref="N47:O47" si="50">C47+L47</f>
        <v>35</v>
      </c>
      <c r="O47" s="34">
        <f t="shared" si="50"/>
        <v>3</v>
      </c>
      <c r="P47" s="49" t="s">
        <v>58</v>
      </c>
      <c r="Q47" s="49" t="s">
        <v>58</v>
      </c>
      <c r="R47" s="49"/>
      <c r="S47" s="52">
        <f t="shared" si="4"/>
        <v>3</v>
      </c>
      <c r="T47" s="52">
        <f t="shared" si="5"/>
        <v>0</v>
      </c>
      <c r="U47" s="52"/>
      <c r="V47" s="52">
        <f t="shared" si="6"/>
        <v>0</v>
      </c>
      <c r="W47" s="52">
        <f t="shared" si="7"/>
        <v>-19</v>
      </c>
      <c r="X47" s="32">
        <f t="shared" si="10"/>
        <v>43</v>
      </c>
    </row>
    <row r="48">
      <c r="A48" s="32">
        <f t="shared" si="8"/>
        <v>44</v>
      </c>
      <c r="B48" s="33" t="s">
        <v>114</v>
      </c>
      <c r="C48" s="34">
        <v>20.0</v>
      </c>
      <c r="D48" s="34">
        <v>0.0</v>
      </c>
      <c r="E48" s="35">
        <f t="shared" si="2"/>
        <v>5.5</v>
      </c>
      <c r="F48" s="95">
        <v>1.0</v>
      </c>
      <c r="G48" s="96">
        <v>7.0</v>
      </c>
      <c r="H48" s="97">
        <v>0.0</v>
      </c>
      <c r="I48" s="96">
        <v>4.0</v>
      </c>
      <c r="J48" s="96">
        <v>6.0</v>
      </c>
      <c r="K48" s="96">
        <v>5.0</v>
      </c>
      <c r="L48" s="98">
        <v>15.0</v>
      </c>
      <c r="M48" s="96">
        <v>1.0</v>
      </c>
      <c r="N48" s="34">
        <f t="shared" ref="N48:O48" si="51">C48+L48</f>
        <v>35</v>
      </c>
      <c r="O48" s="34">
        <f t="shared" si="51"/>
        <v>1</v>
      </c>
      <c r="P48" s="49" t="s">
        <v>58</v>
      </c>
      <c r="Q48" s="49" t="s">
        <v>58</v>
      </c>
      <c r="R48" s="49"/>
      <c r="S48" s="52">
        <f t="shared" si="4"/>
        <v>2</v>
      </c>
      <c r="T48" s="52">
        <f t="shared" si="5"/>
        <v>0</v>
      </c>
      <c r="U48" s="52"/>
      <c r="V48" s="52">
        <f t="shared" si="6"/>
        <v>1</v>
      </c>
      <c r="W48" s="52">
        <f t="shared" si="7"/>
        <v>8</v>
      </c>
      <c r="X48" s="32">
        <f t="shared" si="10"/>
        <v>44</v>
      </c>
    </row>
    <row r="49">
      <c r="A49" s="32">
        <f t="shared" si="8"/>
        <v>45</v>
      </c>
      <c r="B49" s="33" t="s">
        <v>99</v>
      </c>
      <c r="C49" s="34">
        <v>19.0</v>
      </c>
      <c r="D49" s="34">
        <v>1.0</v>
      </c>
      <c r="E49" s="35">
        <f t="shared" si="2"/>
        <v>5</v>
      </c>
      <c r="F49" s="95">
        <v>1.0</v>
      </c>
      <c r="G49" s="96">
        <v>7.0</v>
      </c>
      <c r="H49" s="97">
        <v>0.0</v>
      </c>
      <c r="I49" s="96">
        <v>6.0</v>
      </c>
      <c r="J49" s="96">
        <v>6.0</v>
      </c>
      <c r="K49" s="96">
        <v>7.0</v>
      </c>
      <c r="L49" s="98">
        <v>19.0</v>
      </c>
      <c r="M49" s="96">
        <v>3.0</v>
      </c>
      <c r="N49" s="34">
        <f t="shared" ref="N49:O49" si="52">C49+L49</f>
        <v>38</v>
      </c>
      <c r="O49" s="34">
        <f t="shared" si="52"/>
        <v>4</v>
      </c>
      <c r="P49" s="49" t="s">
        <v>58</v>
      </c>
      <c r="Q49" s="49" t="s">
        <v>58</v>
      </c>
      <c r="R49" s="49"/>
      <c r="S49" s="52">
        <f t="shared" si="4"/>
        <v>2</v>
      </c>
      <c r="T49" s="52">
        <f t="shared" si="5"/>
        <v>0</v>
      </c>
      <c r="U49" s="52"/>
      <c r="V49" s="52">
        <f t="shared" si="6"/>
        <v>1</v>
      </c>
      <c r="W49" s="52">
        <f t="shared" si="7"/>
        <v>13</v>
      </c>
      <c r="X49" s="32">
        <f t="shared" si="10"/>
        <v>45</v>
      </c>
    </row>
    <row r="50">
      <c r="A50" s="32">
        <f t="shared" si="8"/>
        <v>46</v>
      </c>
      <c r="B50" s="33" t="s">
        <v>122</v>
      </c>
      <c r="C50" s="34">
        <v>19.0</v>
      </c>
      <c r="D50" s="34">
        <v>0.0</v>
      </c>
      <c r="E50" s="35">
        <f t="shared" si="2"/>
        <v>1</v>
      </c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3">C50+L50</f>
        <v>28</v>
      </c>
      <c r="O50" s="34">
        <f t="shared" si="53"/>
        <v>0</v>
      </c>
      <c r="P50" s="49" t="s">
        <v>58</v>
      </c>
      <c r="Q50" s="49" t="s">
        <v>58</v>
      </c>
      <c r="R50" s="49"/>
      <c r="S50" s="52">
        <f t="shared" si="4"/>
        <v>1</v>
      </c>
      <c r="T50" s="52">
        <f t="shared" si="5"/>
        <v>0</v>
      </c>
      <c r="U50" s="52"/>
      <c r="V50" s="52">
        <f t="shared" si="6"/>
        <v>2</v>
      </c>
      <c r="W50" s="52">
        <f t="shared" si="7"/>
        <v>-10</v>
      </c>
      <c r="X50" s="32">
        <f t="shared" si="10"/>
        <v>46</v>
      </c>
    </row>
    <row r="51">
      <c r="A51" s="32">
        <f t="shared" si="8"/>
        <v>47</v>
      </c>
      <c r="B51" s="33" t="s">
        <v>136</v>
      </c>
      <c r="C51" s="34">
        <v>18.0</v>
      </c>
      <c r="D51" s="34">
        <v>1.0</v>
      </c>
      <c r="E51" s="35">
        <f t="shared" si="2"/>
        <v>6</v>
      </c>
      <c r="F51" s="95">
        <v>1.0</v>
      </c>
      <c r="G51" s="96">
        <v>7.0</v>
      </c>
      <c r="H51" s="97">
        <v>0.0</v>
      </c>
      <c r="I51" s="96">
        <v>6.0</v>
      </c>
      <c r="J51" s="96">
        <v>4.0</v>
      </c>
      <c r="K51" s="96">
        <v>5.0</v>
      </c>
      <c r="L51" s="98">
        <v>15.0</v>
      </c>
      <c r="M51" s="96">
        <v>1.0</v>
      </c>
      <c r="N51" s="34">
        <f t="shared" ref="N51:O51" si="54">C51+L51</f>
        <v>33</v>
      </c>
      <c r="O51" s="34">
        <f t="shared" si="54"/>
        <v>2</v>
      </c>
      <c r="P51" s="49" t="s">
        <v>58</v>
      </c>
      <c r="Q51" s="49" t="s">
        <v>58</v>
      </c>
      <c r="R51" s="49"/>
      <c r="S51" s="52">
        <f t="shared" si="4"/>
        <v>3</v>
      </c>
      <c r="T51" s="52">
        <f t="shared" si="5"/>
        <v>0</v>
      </c>
      <c r="U51" s="52"/>
      <c r="V51" s="52">
        <f t="shared" si="6"/>
        <v>0</v>
      </c>
      <c r="W51" s="52">
        <f t="shared" si="7"/>
        <v>17</v>
      </c>
      <c r="X51" s="32">
        <f t="shared" si="10"/>
        <v>47</v>
      </c>
    </row>
    <row r="52">
      <c r="A52" s="32">
        <f t="shared" si="8"/>
        <v>48</v>
      </c>
      <c r="B52" s="33" t="s">
        <v>130</v>
      </c>
      <c r="C52" s="34">
        <v>18.0</v>
      </c>
      <c r="D52" s="34">
        <v>0.0</v>
      </c>
      <c r="E52" s="35">
        <f t="shared" si="2"/>
        <v>0</v>
      </c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5">C52+L52</f>
        <v>27</v>
      </c>
      <c r="O52" s="34">
        <f t="shared" si="55"/>
        <v>0</v>
      </c>
      <c r="P52" s="49" t="s">
        <v>58</v>
      </c>
      <c r="Q52" s="49" t="s">
        <v>58</v>
      </c>
      <c r="R52" s="49"/>
      <c r="S52" s="52">
        <f t="shared" si="4"/>
        <v>0</v>
      </c>
      <c r="T52" s="52">
        <f t="shared" si="5"/>
        <v>0</v>
      </c>
      <c r="U52" s="52"/>
      <c r="V52" s="52">
        <f t="shared" si="6"/>
        <v>3</v>
      </c>
      <c r="W52" s="52">
        <f t="shared" si="7"/>
        <v>-11</v>
      </c>
      <c r="X52" s="32">
        <f t="shared" si="10"/>
        <v>48</v>
      </c>
    </row>
    <row r="53">
      <c r="A53" s="32">
        <f t="shared" si="8"/>
        <v>49</v>
      </c>
      <c r="B53" s="33" t="s">
        <v>47</v>
      </c>
      <c r="C53" s="34">
        <v>18.0</v>
      </c>
      <c r="D53" s="34">
        <v>0.0</v>
      </c>
      <c r="E53" s="35">
        <f t="shared" si="2"/>
        <v>0</v>
      </c>
      <c r="F53" s="95">
        <v>3.0</v>
      </c>
      <c r="G53" s="96">
        <v>0.0</v>
      </c>
      <c r="H53" s="97">
        <v>9.0</v>
      </c>
      <c r="I53" s="96">
        <v>0.0</v>
      </c>
      <c r="J53" s="96">
        <v>0.0</v>
      </c>
      <c r="K53" s="96">
        <v>0.0</v>
      </c>
      <c r="L53" s="98">
        <v>9.0</v>
      </c>
      <c r="M53" s="96">
        <v>0.0</v>
      </c>
      <c r="N53" s="34">
        <f t="shared" ref="N53:O53" si="56">C53+L53</f>
        <v>27</v>
      </c>
      <c r="O53" s="34">
        <f t="shared" si="56"/>
        <v>0</v>
      </c>
      <c r="P53" s="49" t="s">
        <v>58</v>
      </c>
      <c r="Q53" s="49" t="s">
        <v>58</v>
      </c>
      <c r="R53" s="49"/>
      <c r="S53" s="52">
        <f t="shared" si="4"/>
        <v>0</v>
      </c>
      <c r="T53" s="52">
        <f t="shared" si="5"/>
        <v>0</v>
      </c>
      <c r="U53" s="52"/>
      <c r="V53" s="52">
        <f t="shared" si="6"/>
        <v>3</v>
      </c>
      <c r="W53" s="52">
        <f t="shared" si="7"/>
        <v>-11</v>
      </c>
      <c r="X53" s="32">
        <f t="shared" si="10"/>
        <v>49</v>
      </c>
    </row>
    <row r="54">
      <c r="A54" s="32">
        <f t="shared" si="8"/>
        <v>50</v>
      </c>
      <c r="B54" s="33" t="s">
        <v>140</v>
      </c>
      <c r="C54" s="34">
        <v>18.0</v>
      </c>
      <c r="D54" s="34">
        <v>0.0</v>
      </c>
      <c r="E54" s="35">
        <f t="shared" si="2"/>
        <v>0</v>
      </c>
      <c r="F54" s="95">
        <v>3.0</v>
      </c>
      <c r="G54" s="96">
        <v>0.0</v>
      </c>
      <c r="H54" s="97">
        <v>9.0</v>
      </c>
      <c r="I54" s="96">
        <v>0.0</v>
      </c>
      <c r="J54" s="96">
        <v>0.0</v>
      </c>
      <c r="K54" s="96">
        <v>0.0</v>
      </c>
      <c r="L54" s="98">
        <v>9.0</v>
      </c>
      <c r="M54" s="96">
        <v>0.0</v>
      </c>
      <c r="N54" s="34">
        <f t="shared" ref="N54:O54" si="57">C54+L54</f>
        <v>27</v>
      </c>
      <c r="O54" s="34">
        <f t="shared" si="57"/>
        <v>0</v>
      </c>
      <c r="P54" s="49" t="s">
        <v>58</v>
      </c>
      <c r="Q54" s="49" t="s">
        <v>58</v>
      </c>
      <c r="R54" s="49"/>
      <c r="S54" s="52">
        <f t="shared" si="4"/>
        <v>0</v>
      </c>
      <c r="T54" s="52">
        <f t="shared" si="5"/>
        <v>0</v>
      </c>
      <c r="U54" s="52"/>
      <c r="V54" s="52">
        <f t="shared" si="6"/>
        <v>3</v>
      </c>
      <c r="W54" s="52">
        <f t="shared" si="7"/>
        <v>-10</v>
      </c>
      <c r="X54" s="32">
        <f t="shared" si="10"/>
        <v>50</v>
      </c>
    </row>
    <row r="55">
      <c r="A55" s="32">
        <f t="shared" si="8"/>
        <v>51</v>
      </c>
      <c r="B55" s="33" t="s">
        <v>75</v>
      </c>
      <c r="C55" s="34">
        <v>18.0</v>
      </c>
      <c r="D55" s="34">
        <v>0.0</v>
      </c>
      <c r="E55" s="35">
        <f t="shared" si="2"/>
        <v>0</v>
      </c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8">C55+L55</f>
        <v>27</v>
      </c>
      <c r="O55" s="34">
        <f t="shared" si="58"/>
        <v>0</v>
      </c>
      <c r="P55" s="49" t="s">
        <v>58</v>
      </c>
      <c r="Q55" s="49" t="s">
        <v>58</v>
      </c>
      <c r="R55" s="49"/>
      <c r="S55" s="52">
        <f t="shared" si="4"/>
        <v>0</v>
      </c>
      <c r="T55" s="52">
        <f t="shared" si="5"/>
        <v>0</v>
      </c>
      <c r="U55" s="52"/>
      <c r="V55" s="52">
        <f t="shared" si="6"/>
        <v>3</v>
      </c>
      <c r="W55" s="52">
        <f t="shared" si="7"/>
        <v>-9</v>
      </c>
      <c r="X55" s="32">
        <f t="shared" si="10"/>
        <v>51</v>
      </c>
    </row>
    <row r="56">
      <c r="A56" s="32">
        <f t="shared" si="8"/>
        <v>52</v>
      </c>
      <c r="B56" s="33" t="s">
        <v>121</v>
      </c>
      <c r="C56" s="34">
        <v>18.0</v>
      </c>
      <c r="D56" s="34">
        <v>0.0</v>
      </c>
      <c r="E56" s="35">
        <f t="shared" si="2"/>
        <v>0</v>
      </c>
      <c r="F56" s="95">
        <v>3.0</v>
      </c>
      <c r="G56" s="96">
        <v>0.0</v>
      </c>
      <c r="H56" s="97">
        <v>9.0</v>
      </c>
      <c r="I56" s="96">
        <v>0.0</v>
      </c>
      <c r="J56" s="96">
        <v>0.0</v>
      </c>
      <c r="K56" s="96">
        <v>0.0</v>
      </c>
      <c r="L56" s="98">
        <v>9.0</v>
      </c>
      <c r="M56" s="96">
        <v>0.0</v>
      </c>
      <c r="N56" s="34">
        <f t="shared" ref="N56:O56" si="59">C56+L56</f>
        <v>27</v>
      </c>
      <c r="O56" s="34">
        <f t="shared" si="59"/>
        <v>0</v>
      </c>
      <c r="P56" s="49" t="s">
        <v>58</v>
      </c>
      <c r="Q56" s="49" t="s">
        <v>58</v>
      </c>
      <c r="R56" s="49"/>
      <c r="S56" s="52">
        <f t="shared" si="4"/>
        <v>0</v>
      </c>
      <c r="T56" s="52">
        <f t="shared" si="5"/>
        <v>0</v>
      </c>
      <c r="U56" s="52"/>
      <c r="V56" s="52">
        <f t="shared" si="6"/>
        <v>3</v>
      </c>
      <c r="W56" s="52">
        <f t="shared" si="7"/>
        <v>-9</v>
      </c>
      <c r="X56" s="32">
        <f t="shared" si="10"/>
        <v>52</v>
      </c>
    </row>
    <row r="57">
      <c r="A57" s="32">
        <f t="shared" si="8"/>
        <v>53</v>
      </c>
      <c r="B57" s="33" t="s">
        <v>141</v>
      </c>
      <c r="C57" s="34">
        <v>18.0</v>
      </c>
      <c r="D57" s="34">
        <v>0.0</v>
      </c>
      <c r="E57" s="35">
        <f t="shared" si="2"/>
        <v>0</v>
      </c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60">C57+L57</f>
        <v>27</v>
      </c>
      <c r="O57" s="34">
        <f t="shared" si="60"/>
        <v>0</v>
      </c>
      <c r="P57" s="49" t="s">
        <v>58</v>
      </c>
      <c r="Q57" s="49" t="s">
        <v>58</v>
      </c>
      <c r="R57" s="49"/>
      <c r="S57" s="52">
        <f t="shared" si="4"/>
        <v>0</v>
      </c>
      <c r="T57" s="52">
        <f t="shared" si="5"/>
        <v>0</v>
      </c>
      <c r="U57" s="52"/>
      <c r="V57" s="52">
        <f t="shared" si="6"/>
        <v>3</v>
      </c>
      <c r="W57" s="52">
        <f t="shared" si="7"/>
        <v>-8</v>
      </c>
      <c r="X57" s="32">
        <f t="shared" si="10"/>
        <v>53</v>
      </c>
    </row>
    <row r="58">
      <c r="A58" s="32">
        <f t="shared" si="8"/>
        <v>54</v>
      </c>
      <c r="B58" s="33" t="s">
        <v>101</v>
      </c>
      <c r="C58" s="34">
        <v>18.0</v>
      </c>
      <c r="D58" s="34">
        <v>0.0</v>
      </c>
      <c r="E58" s="35">
        <f t="shared" si="2"/>
        <v>0</v>
      </c>
      <c r="F58" s="95">
        <v>3.0</v>
      </c>
      <c r="G58" s="96">
        <v>0.0</v>
      </c>
      <c r="H58" s="97">
        <v>9.0</v>
      </c>
      <c r="I58" s="96">
        <v>0.0</v>
      </c>
      <c r="J58" s="96">
        <v>0.0</v>
      </c>
      <c r="K58" s="96">
        <v>0.0</v>
      </c>
      <c r="L58" s="98">
        <v>9.0</v>
      </c>
      <c r="M58" s="96">
        <v>0.0</v>
      </c>
      <c r="N58" s="34">
        <f t="shared" ref="N58:O58" si="61">C58+L58</f>
        <v>27</v>
      </c>
      <c r="O58" s="34">
        <f t="shared" si="61"/>
        <v>0</v>
      </c>
      <c r="P58" s="49" t="s">
        <v>58</v>
      </c>
      <c r="Q58" s="49" t="s">
        <v>58</v>
      </c>
      <c r="R58" s="49"/>
      <c r="S58" s="52">
        <f t="shared" si="4"/>
        <v>0</v>
      </c>
      <c r="T58" s="52">
        <f t="shared" si="5"/>
        <v>0</v>
      </c>
      <c r="U58" s="52"/>
      <c r="V58" s="52">
        <f t="shared" si="6"/>
        <v>3</v>
      </c>
      <c r="W58" s="52">
        <f t="shared" si="7"/>
        <v>-8</v>
      </c>
      <c r="X58" s="32">
        <f t="shared" si="10"/>
        <v>54</v>
      </c>
    </row>
    <row r="59">
      <c r="A59" s="32">
        <f t="shared" si="8"/>
        <v>55</v>
      </c>
      <c r="B59" s="33" t="s">
        <v>139</v>
      </c>
      <c r="C59" s="34">
        <v>18.0</v>
      </c>
      <c r="D59" s="34">
        <v>0.0</v>
      </c>
      <c r="E59" s="35">
        <f t="shared" si="2"/>
        <v>0</v>
      </c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2">C59+L59</f>
        <v>27</v>
      </c>
      <c r="O59" s="34">
        <f t="shared" si="62"/>
        <v>0</v>
      </c>
      <c r="P59" s="49" t="s">
        <v>58</v>
      </c>
      <c r="Q59" s="49" t="s">
        <v>58</v>
      </c>
      <c r="R59" s="49"/>
      <c r="S59" s="52">
        <f t="shared" si="4"/>
        <v>0</v>
      </c>
      <c r="T59" s="52">
        <f t="shared" si="5"/>
        <v>0</v>
      </c>
      <c r="U59" s="52"/>
      <c r="V59" s="52">
        <f t="shared" si="6"/>
        <v>3</v>
      </c>
      <c r="W59" s="52">
        <f t="shared" si="7"/>
        <v>-4</v>
      </c>
      <c r="X59" s="32">
        <f t="shared" si="10"/>
        <v>55</v>
      </c>
    </row>
    <row r="60">
      <c r="A60" s="32">
        <f t="shared" si="8"/>
        <v>56</v>
      </c>
      <c r="B60" s="33" t="s">
        <v>95</v>
      </c>
      <c r="C60" s="34">
        <v>18.0</v>
      </c>
      <c r="D60" s="34">
        <v>0.0</v>
      </c>
      <c r="E60" s="35">
        <f t="shared" si="2"/>
        <v>0</v>
      </c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3">C60+L60</f>
        <v>27</v>
      </c>
      <c r="O60" s="34">
        <f t="shared" si="63"/>
        <v>0</v>
      </c>
      <c r="P60" s="49" t="s">
        <v>58</v>
      </c>
      <c r="Q60" s="49" t="s">
        <v>58</v>
      </c>
      <c r="R60" s="49"/>
      <c r="S60" s="52">
        <f t="shared" si="4"/>
        <v>0</v>
      </c>
      <c r="T60" s="52">
        <f t="shared" si="5"/>
        <v>0</v>
      </c>
      <c r="U60" s="52"/>
      <c r="V60" s="52">
        <f t="shared" si="6"/>
        <v>3</v>
      </c>
      <c r="W60" s="52">
        <f t="shared" si="7"/>
        <v>-3</v>
      </c>
      <c r="X60" s="32">
        <f t="shared" si="10"/>
        <v>56</v>
      </c>
    </row>
    <row r="61">
      <c r="A61" s="32">
        <f t="shared" si="8"/>
        <v>57</v>
      </c>
      <c r="B61" s="33" t="s">
        <v>146</v>
      </c>
      <c r="C61" s="34">
        <v>18.0</v>
      </c>
      <c r="D61" s="34">
        <v>0.0</v>
      </c>
      <c r="E61" s="35">
        <f t="shared" si="2"/>
        <v>0</v>
      </c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4">C61+L61</f>
        <v>27</v>
      </c>
      <c r="O61" s="34">
        <f t="shared" si="64"/>
        <v>0</v>
      </c>
      <c r="P61" s="49" t="s">
        <v>58</v>
      </c>
      <c r="Q61" s="49" t="s">
        <v>58</v>
      </c>
      <c r="R61" s="49"/>
      <c r="S61" s="52">
        <f t="shared" si="4"/>
        <v>0</v>
      </c>
      <c r="T61" s="52">
        <f t="shared" si="5"/>
        <v>0</v>
      </c>
      <c r="U61" s="52"/>
      <c r="V61" s="52">
        <f t="shared" si="6"/>
        <v>3</v>
      </c>
      <c r="W61" s="52">
        <f t="shared" si="7"/>
        <v>-2</v>
      </c>
      <c r="X61" s="32">
        <f t="shared" si="10"/>
        <v>57</v>
      </c>
    </row>
    <row r="62">
      <c r="A62" s="32">
        <f t="shared" si="8"/>
        <v>58</v>
      </c>
      <c r="B62" s="33" t="s">
        <v>135</v>
      </c>
      <c r="C62" s="34">
        <v>18.0</v>
      </c>
      <c r="D62" s="34">
        <v>0.0</v>
      </c>
      <c r="E62" s="35">
        <f t="shared" si="2"/>
        <v>0</v>
      </c>
      <c r="F62" s="95">
        <v>1.0</v>
      </c>
      <c r="G62" s="96">
        <v>8.0</v>
      </c>
      <c r="H62" s="97">
        <v>0.0</v>
      </c>
      <c r="I62" s="96">
        <v>3.0</v>
      </c>
      <c r="J62" s="96">
        <v>6.0</v>
      </c>
      <c r="K62" s="96">
        <v>6.0</v>
      </c>
      <c r="L62" s="98">
        <v>15.0</v>
      </c>
      <c r="M62" s="96">
        <v>2.0</v>
      </c>
      <c r="N62" s="34">
        <f t="shared" ref="N62:O62" si="65">C62+L62</f>
        <v>33</v>
      </c>
      <c r="O62" s="34">
        <f t="shared" si="65"/>
        <v>2</v>
      </c>
      <c r="P62" s="49" t="s">
        <v>58</v>
      </c>
      <c r="Q62" s="49" t="s">
        <v>58</v>
      </c>
      <c r="R62" s="49"/>
      <c r="S62" s="52">
        <f t="shared" si="4"/>
        <v>1</v>
      </c>
      <c r="T62" s="52">
        <f t="shared" si="5"/>
        <v>0</v>
      </c>
      <c r="U62" s="52"/>
      <c r="V62" s="52">
        <f t="shared" si="6"/>
        <v>2</v>
      </c>
      <c r="W62" s="52">
        <f t="shared" si="7"/>
        <v>-2</v>
      </c>
      <c r="X62" s="32">
        <f t="shared" si="10"/>
        <v>58</v>
      </c>
    </row>
    <row r="63">
      <c r="A63" s="32">
        <f t="shared" si="8"/>
        <v>59</v>
      </c>
      <c r="B63" s="33" t="s">
        <v>69</v>
      </c>
      <c r="C63" s="34">
        <v>18.0</v>
      </c>
      <c r="D63" s="34">
        <v>0.0</v>
      </c>
      <c r="E63" s="35">
        <f t="shared" si="2"/>
        <v>0</v>
      </c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6">C63+L63</f>
        <v>27</v>
      </c>
      <c r="O63" s="34">
        <f t="shared" si="66"/>
        <v>0</v>
      </c>
      <c r="P63" s="49" t="s">
        <v>58</v>
      </c>
      <c r="Q63" s="49" t="s">
        <v>58</v>
      </c>
      <c r="R63" s="49"/>
      <c r="S63" s="52">
        <f t="shared" si="4"/>
        <v>0</v>
      </c>
      <c r="T63" s="52">
        <f t="shared" si="5"/>
        <v>0</v>
      </c>
      <c r="U63" s="52"/>
      <c r="V63" s="52">
        <f t="shared" si="6"/>
        <v>3</v>
      </c>
      <c r="W63" s="52">
        <f t="shared" si="7"/>
        <v>-2</v>
      </c>
      <c r="X63" s="32">
        <f t="shared" si="10"/>
        <v>59</v>
      </c>
    </row>
    <row r="64">
      <c r="A64" s="32">
        <f t="shared" si="8"/>
        <v>60</v>
      </c>
      <c r="B64" s="33" t="s">
        <v>104</v>
      </c>
      <c r="C64" s="34">
        <v>18.0</v>
      </c>
      <c r="D64" s="34">
        <v>0.0</v>
      </c>
      <c r="E64" s="35">
        <f t="shared" si="2"/>
        <v>0</v>
      </c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7">C64+L64</f>
        <v>27</v>
      </c>
      <c r="O64" s="34">
        <f t="shared" si="67"/>
        <v>0</v>
      </c>
      <c r="P64" s="49" t="s">
        <v>58</v>
      </c>
      <c r="Q64" s="49" t="s">
        <v>58</v>
      </c>
      <c r="R64" s="49"/>
      <c r="S64" s="52">
        <f t="shared" si="4"/>
        <v>0</v>
      </c>
      <c r="T64" s="52">
        <f t="shared" si="5"/>
        <v>0</v>
      </c>
      <c r="U64" s="52"/>
      <c r="V64" s="52">
        <f t="shared" si="6"/>
        <v>3</v>
      </c>
      <c r="W64" s="52">
        <f t="shared" si="7"/>
        <v>-1</v>
      </c>
      <c r="X64" s="32">
        <f t="shared" si="10"/>
        <v>60</v>
      </c>
    </row>
    <row r="65">
      <c r="A65" s="32">
        <f t="shared" si="8"/>
        <v>61</v>
      </c>
      <c r="B65" s="33" t="s">
        <v>131</v>
      </c>
      <c r="C65" s="34">
        <v>18.0</v>
      </c>
      <c r="D65" s="34">
        <v>0.0</v>
      </c>
      <c r="E65" s="35">
        <f t="shared" si="2"/>
        <v>0</v>
      </c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8">C65+L65</f>
        <v>27</v>
      </c>
      <c r="O65" s="34">
        <f t="shared" si="68"/>
        <v>0</v>
      </c>
      <c r="P65" s="49" t="s">
        <v>58</v>
      </c>
      <c r="Q65" s="49" t="s">
        <v>58</v>
      </c>
      <c r="R65" s="49"/>
      <c r="S65" s="52">
        <f t="shared" si="4"/>
        <v>0</v>
      </c>
      <c r="T65" s="52">
        <f t="shared" si="5"/>
        <v>0</v>
      </c>
      <c r="U65" s="52"/>
      <c r="V65" s="52">
        <f t="shared" si="6"/>
        <v>3</v>
      </c>
      <c r="W65" s="52">
        <f t="shared" si="7"/>
        <v>0</v>
      </c>
      <c r="X65" s="32">
        <f t="shared" si="10"/>
        <v>61</v>
      </c>
    </row>
    <row r="66">
      <c r="A66" s="32">
        <f t="shared" si="8"/>
        <v>62</v>
      </c>
      <c r="B66" s="33" t="s">
        <v>118</v>
      </c>
      <c r="C66" s="34">
        <v>16.0</v>
      </c>
      <c r="D66" s="34">
        <v>1.0</v>
      </c>
      <c r="E66" s="35">
        <f t="shared" si="2"/>
        <v>-2</v>
      </c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69">C66+L66</f>
        <v>25</v>
      </c>
      <c r="O66" s="34">
        <f t="shared" si="69"/>
        <v>1</v>
      </c>
      <c r="P66" s="49" t="s">
        <v>58</v>
      </c>
      <c r="Q66" s="49" t="s">
        <v>58</v>
      </c>
      <c r="R66" s="49"/>
      <c r="S66" s="52">
        <f t="shared" si="4"/>
        <v>1</v>
      </c>
      <c r="T66" s="52">
        <f t="shared" si="5"/>
        <v>0</v>
      </c>
      <c r="U66" s="52"/>
      <c r="V66" s="52">
        <f t="shared" si="6"/>
        <v>2</v>
      </c>
      <c r="W66" s="52">
        <f t="shared" si="7"/>
        <v>0</v>
      </c>
      <c r="X66" s="32">
        <f t="shared" si="10"/>
        <v>62</v>
      </c>
    </row>
    <row r="67">
      <c r="A67" s="32">
        <f t="shared" si="8"/>
        <v>63</v>
      </c>
      <c r="B67" s="33" t="s">
        <v>129</v>
      </c>
      <c r="C67" s="34">
        <v>16.0</v>
      </c>
      <c r="D67" s="34">
        <v>1.0</v>
      </c>
      <c r="E67" s="35">
        <f t="shared" si="2"/>
        <v>5.333333333</v>
      </c>
      <c r="F67" s="95">
        <v>1.0</v>
      </c>
      <c r="G67" s="96">
        <v>8.0</v>
      </c>
      <c r="H67" s="97">
        <v>0.0</v>
      </c>
      <c r="I67" s="96">
        <v>6.0</v>
      </c>
      <c r="J67" s="96">
        <v>3.0</v>
      </c>
      <c r="K67" s="96">
        <v>6.0</v>
      </c>
      <c r="L67" s="98">
        <v>15.0</v>
      </c>
      <c r="M67" s="96">
        <v>2.0</v>
      </c>
      <c r="N67" s="34">
        <f t="shared" ref="N67:O67" si="70">C67+L67</f>
        <v>31</v>
      </c>
      <c r="O67" s="34">
        <f t="shared" si="70"/>
        <v>3</v>
      </c>
      <c r="P67" s="49" t="s">
        <v>58</v>
      </c>
      <c r="Q67" s="49" t="s">
        <v>58</v>
      </c>
      <c r="R67" s="49"/>
      <c r="S67" s="52">
        <f t="shared" si="4"/>
        <v>3</v>
      </c>
      <c r="T67" s="52">
        <f t="shared" si="5"/>
        <v>0</v>
      </c>
      <c r="U67" s="52"/>
      <c r="V67" s="52">
        <f t="shared" si="6"/>
        <v>0</v>
      </c>
      <c r="W67" s="52">
        <f t="shared" si="7"/>
        <v>2</v>
      </c>
      <c r="X67" s="32">
        <f t="shared" si="10"/>
        <v>63</v>
      </c>
    </row>
    <row r="68">
      <c r="A68" s="32">
        <f t="shared" si="8"/>
        <v>64</v>
      </c>
      <c r="B68" s="33" t="s">
        <v>72</v>
      </c>
      <c r="C68" s="34">
        <v>16.0</v>
      </c>
      <c r="D68" s="34">
        <v>0.0</v>
      </c>
      <c r="E68" s="35">
        <f t="shared" si="2"/>
        <v>3.5</v>
      </c>
      <c r="F68" s="95">
        <v>1.0</v>
      </c>
      <c r="G68" s="96">
        <v>8.0</v>
      </c>
      <c r="H68" s="97">
        <v>0.0</v>
      </c>
      <c r="I68" s="96">
        <v>6.0</v>
      </c>
      <c r="J68" s="96">
        <v>6.0</v>
      </c>
      <c r="K68" s="96">
        <v>0.0</v>
      </c>
      <c r="L68" s="98">
        <v>12.0</v>
      </c>
      <c r="M68" s="96">
        <v>2.0</v>
      </c>
      <c r="N68" s="34">
        <f t="shared" ref="N68:O68" si="71">C68+L68</f>
        <v>28</v>
      </c>
      <c r="O68" s="34">
        <f t="shared" si="71"/>
        <v>2</v>
      </c>
      <c r="P68" s="49" t="s">
        <v>58</v>
      </c>
      <c r="Q68" s="49" t="s">
        <v>58</v>
      </c>
      <c r="R68" s="49"/>
      <c r="S68" s="52">
        <f t="shared" si="4"/>
        <v>2</v>
      </c>
      <c r="T68" s="52">
        <f t="shared" si="5"/>
        <v>0</v>
      </c>
      <c r="U68" s="52"/>
      <c r="V68" s="52">
        <f t="shared" si="6"/>
        <v>1</v>
      </c>
      <c r="W68" s="52">
        <f t="shared" si="7"/>
        <v>-1</v>
      </c>
      <c r="X68" s="32">
        <f t="shared" si="10"/>
        <v>64</v>
      </c>
    </row>
    <row r="69">
      <c r="A69" s="32">
        <f t="shared" si="8"/>
        <v>65</v>
      </c>
      <c r="B69" s="33" t="s">
        <v>86</v>
      </c>
      <c r="C69" s="34">
        <v>13.0</v>
      </c>
      <c r="D69" s="34">
        <v>0.0</v>
      </c>
      <c r="E69" s="35">
        <f t="shared" si="2"/>
        <v>2</v>
      </c>
      <c r="F69" s="95">
        <v>1.0</v>
      </c>
      <c r="G69" s="96">
        <v>8.0</v>
      </c>
      <c r="H69" s="97">
        <v>0.0</v>
      </c>
      <c r="I69" s="96">
        <v>3.0</v>
      </c>
      <c r="J69" s="96">
        <v>3.0</v>
      </c>
      <c r="K69" s="96">
        <v>0.0</v>
      </c>
      <c r="L69" s="98">
        <v>6.0</v>
      </c>
      <c r="M69" s="96">
        <v>0.0</v>
      </c>
      <c r="N69" s="34">
        <f t="shared" ref="N69:O69" si="72">C69+L69</f>
        <v>19</v>
      </c>
      <c r="O69" s="34">
        <f t="shared" si="72"/>
        <v>0</v>
      </c>
      <c r="P69" s="49" t="s">
        <v>58</v>
      </c>
      <c r="Q69" s="49" t="s">
        <v>58</v>
      </c>
      <c r="R69" s="49"/>
      <c r="S69" s="52">
        <f t="shared" si="4"/>
        <v>2</v>
      </c>
      <c r="T69" s="52">
        <f t="shared" si="5"/>
        <v>0</v>
      </c>
      <c r="U69" s="52"/>
      <c r="V69" s="52">
        <f t="shared" si="6"/>
        <v>1</v>
      </c>
      <c r="W69" s="52">
        <f t="shared" si="7"/>
        <v>-18</v>
      </c>
      <c r="X69" s="32">
        <f t="shared" si="10"/>
        <v>65</v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K73" s="82"/>
      <c r="L73" s="99"/>
      <c r="M73" s="100"/>
    </row>
    <row r="74">
      <c r="A74" s="1"/>
      <c r="C74" s="1"/>
      <c r="D74" s="1"/>
      <c r="K74" s="82"/>
      <c r="L74" s="99"/>
      <c r="M74" s="100"/>
      <c r="P74" s="129" t="s">
        <v>152</v>
      </c>
      <c r="Q74" s="26"/>
      <c r="R74" s="16">
        <f>COUNTIF(R5:R69,"X")</f>
        <v>0</v>
      </c>
      <c r="S74" s="130"/>
      <c r="T74" s="130">
        <f>R74/R78</f>
        <v>0</v>
      </c>
    </row>
    <row r="75">
      <c r="A75" s="1"/>
      <c r="C75" s="1"/>
      <c r="D75" s="1"/>
      <c r="K75" s="82"/>
      <c r="L75" s="99"/>
      <c r="M75" s="100"/>
      <c r="P75" s="19" t="s">
        <v>154</v>
      </c>
      <c r="Q75" s="16"/>
      <c r="R75" s="16">
        <f>countif(R5:R69,"N")</f>
        <v>0</v>
      </c>
    </row>
    <row r="76">
      <c r="A76" s="1"/>
      <c r="B76" s="131" t="s">
        <v>179</v>
      </c>
      <c r="C76" s="112" t="s">
        <v>159</v>
      </c>
      <c r="D76" s="112" t="s">
        <v>160</v>
      </c>
      <c r="E76" s="112" t="s">
        <v>1</v>
      </c>
      <c r="F76" s="1"/>
      <c r="L76" s="99"/>
      <c r="M76" s="100"/>
      <c r="P76" s="129" t="s">
        <v>180</v>
      </c>
      <c r="Q76" s="26"/>
      <c r="R76" s="19"/>
    </row>
    <row r="77">
      <c r="A77" s="1"/>
      <c r="B77" s="33" t="str">
        <f>IFERROR(__xludf.DUMMYFUNCTION("QUERY(B5:M69,""Select B, L, M, G where L &gt;= 18 order by L desc,M desc"",0)"),"Lam Bui")</f>
        <v>Lam Bui</v>
      </c>
      <c r="C77" s="117">
        <f>IFERROR(__xludf.DUMMYFUNCTION("""COMPUTED_VALUE"""),19.0)</f>
        <v>19</v>
      </c>
      <c r="D77" s="117">
        <f>IFERROR(__xludf.DUMMYFUNCTION("""COMPUTED_VALUE"""),3.0)</f>
        <v>3</v>
      </c>
      <c r="E77" s="117">
        <f>IFERROR(__xludf.DUMMYFUNCTION("""COMPUTED_VALUE"""),3.0)</f>
        <v>3</v>
      </c>
      <c r="F77" s="1"/>
      <c r="L77" s="99"/>
      <c r="M77" s="100"/>
      <c r="P77" s="129" t="s">
        <v>155</v>
      </c>
      <c r="Q77" s="26"/>
      <c r="R77" s="16">
        <f>countif(R5:R69,"")</f>
        <v>65</v>
      </c>
    </row>
    <row r="78">
      <c r="A78" s="1"/>
      <c r="B78" s="33" t="str">
        <f>IFERROR(__xludf.DUMMYFUNCTION("""COMPUTED_VALUE"""),"Scott Li")</f>
        <v>Scott Li</v>
      </c>
      <c r="C78" s="117">
        <f>IFERROR(__xludf.DUMMYFUNCTION("""COMPUTED_VALUE"""),19.0)</f>
        <v>19</v>
      </c>
      <c r="D78" s="117">
        <f>IFERROR(__xludf.DUMMYFUNCTION("""COMPUTED_VALUE"""),3.0)</f>
        <v>3</v>
      </c>
      <c r="E78" s="117">
        <f>IFERROR(__xludf.DUMMYFUNCTION("""COMPUTED_VALUE"""),4.0)</f>
        <v>4</v>
      </c>
      <c r="F78" s="1"/>
      <c r="M78" s="132"/>
      <c r="P78" s="129" t="s">
        <v>61</v>
      </c>
      <c r="Q78" s="26"/>
      <c r="R78" s="16">
        <f>sum(R74:R77)-R76</f>
        <v>65</v>
      </c>
    </row>
    <row r="79">
      <c r="A79" s="1"/>
      <c r="B79" s="33" t="str">
        <f>IFERROR(__xludf.DUMMYFUNCTION("""COMPUTED_VALUE"""),"Elayaraja Thangaraj")</f>
        <v>Elayaraja Thangaraj</v>
      </c>
      <c r="C79" s="117">
        <f>IFERROR(__xludf.DUMMYFUNCTION("""COMPUTED_VALUE"""),19.0)</f>
        <v>19</v>
      </c>
      <c r="D79" s="117">
        <f>IFERROR(__xludf.DUMMYFUNCTION("""COMPUTED_VALUE"""),3.0)</f>
        <v>3</v>
      </c>
      <c r="E79" s="117">
        <f>IFERROR(__xludf.DUMMYFUNCTION("""COMPUTED_VALUE"""),7.0)</f>
        <v>7</v>
      </c>
      <c r="F79" s="1"/>
    </row>
    <row r="80">
      <c r="A80" s="1"/>
      <c r="B80" s="33" t="str">
        <f>IFERROR(__xludf.DUMMYFUNCTION("""COMPUTED_VALUE"""),"Eric Pan")</f>
        <v>Eric Pan</v>
      </c>
      <c r="C80" s="117">
        <f>IFERROR(__xludf.DUMMYFUNCTION("""COMPUTED_VALUE"""),19.0)</f>
        <v>19</v>
      </c>
      <c r="D80" s="117">
        <f>IFERROR(__xludf.DUMMYFUNCTION("""COMPUTED_VALUE"""),2.0)</f>
        <v>2</v>
      </c>
      <c r="E80" s="117">
        <f>IFERROR(__xludf.DUMMYFUNCTION("""COMPUTED_VALUE"""),5.0)</f>
        <v>5</v>
      </c>
      <c r="F80" s="1"/>
    </row>
    <row r="81">
      <c r="A81" s="1"/>
      <c r="B81" s="33" t="str">
        <f>IFERROR(__xludf.DUMMYFUNCTION("""COMPUTED_VALUE"""),"Darren Wong")</f>
        <v>Darren Wong</v>
      </c>
      <c r="C81" s="117">
        <f>IFERROR(__xludf.DUMMYFUNCTION("""COMPUTED_VALUE"""),18.0)</f>
        <v>18</v>
      </c>
      <c r="D81" s="117">
        <f>IFERROR(__xludf.DUMMYFUNCTION("""COMPUTED_VALUE"""),3.0)</f>
        <v>3</v>
      </c>
      <c r="E81" s="117">
        <f>IFERROR(__xludf.DUMMYFUNCTION("""COMPUTED_VALUE"""),2.0)</f>
        <v>2</v>
      </c>
      <c r="F81" s="1"/>
      <c r="L81" s="51"/>
    </row>
    <row r="82">
      <c r="A82" s="1"/>
      <c r="B82" s="33" t="str">
        <f>IFERROR(__xludf.DUMMYFUNCTION("""COMPUTED_VALUE"""),"Tom Le")</f>
        <v>Tom Le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IFERROR(__xludf.DUMMYFUNCTION("""COMPUTED_VALUE"""),6.0)</f>
        <v>6</v>
      </c>
      <c r="F82" s="1"/>
      <c r="L82" s="51"/>
    </row>
    <row r="83">
      <c r="A83" s="1"/>
      <c r="B83" s="33" t="str">
        <f>IFERROR(__xludf.DUMMYFUNCTION("""COMPUTED_VALUE"""),"Herman Au")</f>
        <v>Herman Au</v>
      </c>
      <c r="C83" s="117">
        <f>IFERROR(__xludf.DUMMYFUNCTION("""COMPUTED_VALUE"""),18.0)</f>
        <v>18</v>
      </c>
      <c r="D83" s="117">
        <f>IFERROR(__xludf.DUMMYFUNCTION("""COMPUTED_VALUE"""),2.0)</f>
        <v>2</v>
      </c>
      <c r="E83" s="117">
        <f>IFERROR(__xludf.DUMMYFUNCTION("""COMPUTED_VALUE"""),5.0)</f>
        <v>5</v>
      </c>
      <c r="F83" s="1"/>
      <c r="L83" s="51"/>
    </row>
    <row r="84">
      <c r="A84" s="1"/>
      <c r="B84" s="33"/>
      <c r="C84" s="117"/>
      <c r="D84" s="117"/>
      <c r="E84" s="117"/>
      <c r="F84" s="1"/>
      <c r="L84" s="5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C87" s="1"/>
      <c r="D87" s="1"/>
      <c r="E87" s="1"/>
      <c r="F87" s="1"/>
    </row>
    <row r="88">
      <c r="A88" s="1"/>
      <c r="B88" s="51"/>
      <c r="C88" s="1"/>
      <c r="D88" s="1"/>
      <c r="E88" s="1"/>
      <c r="F88" s="1"/>
      <c r="G88" s="1"/>
      <c r="H88" s="1"/>
    </row>
    <row r="89">
      <c r="A89" s="1"/>
      <c r="B89" s="51"/>
      <c r="C89" s="1"/>
      <c r="D89" s="1"/>
      <c r="E89" s="1"/>
      <c r="F89" s="1"/>
    </row>
    <row r="90" ht="37.5" customHeight="1">
      <c r="A90" s="1"/>
      <c r="B90" s="119" t="s">
        <v>167</v>
      </c>
      <c r="C90" s="119" t="s">
        <v>168</v>
      </c>
      <c r="D90" s="133" t="s">
        <v>169</v>
      </c>
      <c r="E90" s="134" t="s">
        <v>170</v>
      </c>
      <c r="F90" s="135" t="s">
        <v>171</v>
      </c>
      <c r="G90" s="119" t="s">
        <v>172</v>
      </c>
      <c r="L90" s="119" t="s">
        <v>173</v>
      </c>
    </row>
    <row r="91">
      <c r="A91" s="1"/>
      <c r="B91" s="33" t="str">
        <f>IFERROR(__xludf.DUMMYFUNCTION("query(B5:W69,""select B, W order by W Desc Limit 10"")"),"Pulkit Mathur")</f>
        <v>Pulkit Mathur</v>
      </c>
      <c r="C91" s="117">
        <f>IFERROR(__xludf.DUMMYFUNCTION("""COMPUTED_VALUE"""),44.0)</f>
        <v>44</v>
      </c>
      <c r="D91" s="117">
        <f t="shared" ref="D91:D100" si="73">VLOOKUP(B91,indirect($AC$2&amp;"!B$5:X$69"),23, false)</f>
        <v>60</v>
      </c>
      <c r="E91" s="117">
        <f t="shared" ref="E91:E100" si="74">VLOOKUP(B91,B$5:X$69,23, false)</f>
        <v>16</v>
      </c>
      <c r="F91" s="117">
        <f t="shared" ref="F91:F100" si="75">VLOOKUP(B91,indirect($AC$2&amp;"!B$5:U$70"),11, false)</f>
        <v>18</v>
      </c>
      <c r="G91" s="117">
        <f t="shared" ref="G91:G100" si="76">VLOOKUP(B91,indirect($AC$2&amp;"!B$5:U$70"),6, false)</f>
        <v>10</v>
      </c>
      <c r="L91" s="117" t="str">
        <f t="shared" ref="L91:L100" si="77">if(D91-E91=C91,"ok","Error")</f>
        <v>ok</v>
      </c>
    </row>
    <row r="92">
      <c r="A92" s="1"/>
      <c r="B92" s="33" t="str">
        <f>IFERROR(__xludf.DUMMYFUNCTION("""COMPUTED_VALUE"""),"Lam Bui")</f>
        <v>Lam Bui</v>
      </c>
      <c r="C92" s="117">
        <f>IFERROR(__xludf.DUMMYFUNCTION("""COMPUTED_VALUE"""),32.0)</f>
        <v>32</v>
      </c>
      <c r="D92" s="117">
        <f t="shared" si="73"/>
        <v>50</v>
      </c>
      <c r="E92" s="117">
        <f t="shared" si="74"/>
        <v>18</v>
      </c>
      <c r="F92" s="117">
        <f t="shared" si="75"/>
        <v>18</v>
      </c>
      <c r="G92" s="117">
        <f t="shared" si="76"/>
        <v>8</v>
      </c>
      <c r="L92" s="117" t="str">
        <f t="shared" si="77"/>
        <v>ok</v>
      </c>
    </row>
    <row r="93">
      <c r="A93" s="1"/>
      <c r="B93" s="33" t="str">
        <f>IFERROR(__xludf.DUMMYFUNCTION("""COMPUTED_VALUE"""),"Jonathan Phan")</f>
        <v>Jonathan Phan</v>
      </c>
      <c r="C93" s="117">
        <f>IFERROR(__xludf.DUMMYFUNCTION("""COMPUTED_VALUE"""),27.0)</f>
        <v>27</v>
      </c>
      <c r="D93" s="117">
        <f t="shared" si="73"/>
        <v>49</v>
      </c>
      <c r="E93" s="117">
        <f t="shared" si="74"/>
        <v>22</v>
      </c>
      <c r="F93" s="117">
        <f t="shared" si="75"/>
        <v>17</v>
      </c>
      <c r="G93" s="117">
        <f t="shared" si="76"/>
        <v>8</v>
      </c>
      <c r="L93" s="117" t="str">
        <f t="shared" si="77"/>
        <v>ok</v>
      </c>
      <c r="Q93" s="136"/>
    </row>
    <row r="94">
      <c r="A94" s="1"/>
      <c r="B94" s="33" t="str">
        <f>IFERROR(__xludf.DUMMYFUNCTION("""COMPUTED_VALUE"""),"Suleman Alidina")</f>
        <v>Suleman Alidina</v>
      </c>
      <c r="C94" s="117">
        <f>IFERROR(__xludf.DUMMYFUNCTION("""COMPUTED_VALUE"""),23.0)</f>
        <v>23</v>
      </c>
      <c r="D94" s="117">
        <f t="shared" si="73"/>
        <v>54</v>
      </c>
      <c r="E94" s="117">
        <f t="shared" si="74"/>
        <v>31</v>
      </c>
      <c r="F94" s="117">
        <f t="shared" si="75"/>
        <v>14</v>
      </c>
      <c r="G94" s="117">
        <f t="shared" si="76"/>
        <v>8</v>
      </c>
      <c r="L94" s="117" t="str">
        <f t="shared" si="77"/>
        <v>ok</v>
      </c>
    </row>
    <row r="95">
      <c r="A95" s="1"/>
      <c r="B95" s="33" t="str">
        <f>IFERROR(__xludf.DUMMYFUNCTION("""COMPUTED_VALUE"""),"Trish Newlin")</f>
        <v>Trish Newlin</v>
      </c>
      <c r="C95" s="117">
        <f>IFERROR(__xludf.DUMMYFUNCTION("""COMPUTED_VALUE"""),21.0)</f>
        <v>21</v>
      </c>
      <c r="D95" s="117">
        <f t="shared" si="73"/>
        <v>31</v>
      </c>
      <c r="E95" s="117">
        <f t="shared" si="74"/>
        <v>10</v>
      </c>
      <c r="F95" s="117">
        <f t="shared" si="75"/>
        <v>19</v>
      </c>
      <c r="G95" s="117">
        <f t="shared" si="76"/>
        <v>5</v>
      </c>
      <c r="L95" s="117" t="str">
        <f t="shared" si="77"/>
        <v>ok</v>
      </c>
    </row>
    <row r="96">
      <c r="A96" s="1"/>
      <c r="B96" s="33" t="str">
        <f>IFERROR(__xludf.DUMMYFUNCTION("""COMPUTED_VALUE"""),"Basudev Thoppai Vidyasankar")</f>
        <v>Basudev Thoppai Vidyasankar</v>
      </c>
      <c r="C96" s="117">
        <f>IFERROR(__xludf.DUMMYFUNCTION("""COMPUTED_VALUE"""),20.0)</f>
        <v>20</v>
      </c>
      <c r="D96" s="117">
        <f t="shared" si="73"/>
        <v>28</v>
      </c>
      <c r="E96" s="117">
        <f t="shared" si="74"/>
        <v>8</v>
      </c>
      <c r="F96" s="117">
        <f t="shared" si="75"/>
        <v>18</v>
      </c>
      <c r="G96" s="117">
        <f t="shared" si="76"/>
        <v>4</v>
      </c>
      <c r="L96" s="117" t="str">
        <f t="shared" si="77"/>
        <v>ok</v>
      </c>
    </row>
    <row r="97">
      <c r="A97" s="1"/>
      <c r="B97" s="33" t="str">
        <f>IFERROR(__xludf.DUMMYFUNCTION("""COMPUTED_VALUE"""),"Eric Tan")</f>
        <v>Eric Tan</v>
      </c>
      <c r="C97" s="117">
        <f>IFERROR(__xludf.DUMMYFUNCTION("""COMPUTED_VALUE"""),18.0)</f>
        <v>18</v>
      </c>
      <c r="D97" s="117">
        <f t="shared" si="73"/>
        <v>48</v>
      </c>
      <c r="E97" s="117">
        <f t="shared" si="74"/>
        <v>30</v>
      </c>
      <c r="F97" s="117">
        <f t="shared" si="75"/>
        <v>14</v>
      </c>
      <c r="G97" s="117">
        <f t="shared" si="76"/>
        <v>7</v>
      </c>
      <c r="L97" s="117" t="str">
        <f t="shared" si="77"/>
        <v>ok</v>
      </c>
    </row>
    <row r="98">
      <c r="A98" s="1"/>
      <c r="B98" s="33" t="str">
        <f>IFERROR(__xludf.DUMMYFUNCTION("""COMPUTED_VALUE"""),"Nicole Ni")</f>
        <v>Nicole Ni</v>
      </c>
      <c r="C98" s="117">
        <f>IFERROR(__xludf.DUMMYFUNCTION("""COMPUTED_VALUE"""),17.0)</f>
        <v>17</v>
      </c>
      <c r="D98" s="117">
        <f t="shared" si="73"/>
        <v>64</v>
      </c>
      <c r="E98" s="117">
        <f t="shared" si="74"/>
        <v>47</v>
      </c>
      <c r="F98" s="117">
        <f t="shared" si="75"/>
        <v>11</v>
      </c>
      <c r="G98" s="117">
        <f t="shared" si="76"/>
        <v>10</v>
      </c>
      <c r="L98" s="117" t="str">
        <f t="shared" si="77"/>
        <v>ok</v>
      </c>
    </row>
    <row r="99">
      <c r="A99" s="1"/>
      <c r="B99" s="33" t="str">
        <f>IFERROR(__xludf.DUMMYFUNCTION("""COMPUTED_VALUE"""),"Sandeep Kamalon")</f>
        <v>Sandeep Kamalon</v>
      </c>
      <c r="C99" s="117">
        <f>IFERROR(__xludf.DUMMYFUNCTION("""COMPUTED_VALUE"""),16.0)</f>
        <v>16</v>
      </c>
      <c r="D99" s="117">
        <f t="shared" si="73"/>
        <v>20</v>
      </c>
      <c r="E99" s="117">
        <f t="shared" si="74"/>
        <v>4</v>
      </c>
      <c r="F99" s="117">
        <f t="shared" si="75"/>
        <v>18</v>
      </c>
      <c r="G99" s="117">
        <f t="shared" si="76"/>
        <v>9</v>
      </c>
      <c r="L99" s="117" t="str">
        <f t="shared" si="77"/>
        <v>ok</v>
      </c>
    </row>
    <row r="100">
      <c r="A100" s="1"/>
      <c r="B100" s="33" t="str">
        <f>IFERROR(__xludf.DUMMYFUNCTION("""COMPUTED_VALUE"""),"Scott Li")</f>
        <v>Scott Li</v>
      </c>
      <c r="C100" s="117">
        <f>IFERROR(__xludf.DUMMYFUNCTION("""COMPUTED_VALUE"""),15.0)</f>
        <v>15</v>
      </c>
      <c r="D100" s="117">
        <f t="shared" si="73"/>
        <v>44</v>
      </c>
      <c r="E100" s="117">
        <f t="shared" si="74"/>
        <v>29</v>
      </c>
      <c r="F100" s="117">
        <f t="shared" si="75"/>
        <v>14</v>
      </c>
      <c r="G100" s="117">
        <f t="shared" si="76"/>
        <v>7</v>
      </c>
      <c r="L100" s="117" t="str">
        <f t="shared" si="77"/>
        <v>ok</v>
      </c>
    </row>
    <row r="101">
      <c r="A101" s="1"/>
      <c r="B101" s="51"/>
      <c r="C101" s="1"/>
      <c r="E101" s="1"/>
      <c r="F101" s="1"/>
    </row>
    <row r="102">
      <c r="A102" s="1"/>
      <c r="B102" s="51"/>
      <c r="C102" s="1"/>
      <c r="E102" s="1"/>
      <c r="F102" s="1"/>
    </row>
    <row r="103">
      <c r="A103" s="1"/>
      <c r="B103" s="131" t="s">
        <v>181</v>
      </c>
      <c r="C103" s="131" t="s">
        <v>182</v>
      </c>
      <c r="D103" s="133" t="s">
        <v>169</v>
      </c>
      <c r="E103" s="134" t="s">
        <v>170</v>
      </c>
      <c r="F103" s="135" t="s">
        <v>171</v>
      </c>
      <c r="G103" s="119" t="s">
        <v>172</v>
      </c>
      <c r="L103" s="119" t="s">
        <v>173</v>
      </c>
    </row>
    <row r="104">
      <c r="A104" s="1"/>
      <c r="B104" s="33" t="str">
        <f>IFERROR(__xludf.DUMMYFUNCTION("query(B5:W69,""select B, W order by W asc Limit 10"")"),"Wayne Liu")</f>
        <v>Wayne Liu</v>
      </c>
      <c r="C104" s="117">
        <f>IFERROR(__xludf.DUMMYFUNCTION("""COMPUTED_VALUE"""),-20.0)</f>
        <v>-20</v>
      </c>
      <c r="D104" s="117">
        <f t="shared" ref="D104:D113" si="78">VLOOKUP(B104,indirect($AC$2&amp;"!B$5:X$69"),23, false)</f>
        <v>18</v>
      </c>
      <c r="E104" s="117">
        <f t="shared" ref="E104:E113" si="79">VLOOKUP(B104,B$5:X$69,23, false)</f>
        <v>38</v>
      </c>
      <c r="F104" s="117">
        <f t="shared" ref="F104:F113" si="80">VLOOKUP(B104,indirect($AC$2&amp;"!B$5:U$70"),11, false)</f>
        <v>7</v>
      </c>
      <c r="G104" s="117">
        <f t="shared" ref="G104:G113" si="81">VLOOKUP(B104,indirect($AC$2&amp;"!B$5:U$70"),6, false)</f>
        <v>9</v>
      </c>
      <c r="L104" s="117" t="str">
        <f t="shared" ref="L104:L113" si="82">if(D104-E104=C104,"ok","Error")</f>
        <v>ok</v>
      </c>
    </row>
    <row r="105">
      <c r="A105" s="1"/>
      <c r="B105" s="33" t="str">
        <f>IFERROR(__xludf.DUMMYFUNCTION("""COMPUTED_VALUE"""),"Chinna Ponnaganti")</f>
        <v>Chinna Ponnaganti</v>
      </c>
      <c r="C105" s="117">
        <f>IFERROR(__xludf.DUMMYFUNCTION("""COMPUTED_VALUE"""),-19.0)</f>
        <v>-19</v>
      </c>
      <c r="D105" s="117">
        <f t="shared" si="78"/>
        <v>24</v>
      </c>
      <c r="E105" s="117">
        <f t="shared" si="79"/>
        <v>43</v>
      </c>
      <c r="F105" s="117">
        <f t="shared" si="80"/>
        <v>7</v>
      </c>
      <c r="G105" s="117">
        <f t="shared" si="81"/>
        <v>9</v>
      </c>
      <c r="L105" s="117" t="str">
        <f t="shared" si="82"/>
        <v>ok</v>
      </c>
    </row>
    <row r="106">
      <c r="A106" s="1"/>
      <c r="B106" s="33" t="str">
        <f>IFERROR(__xludf.DUMMYFUNCTION("""COMPUTED_VALUE"""),"Barathi Sundaram")</f>
        <v>Barathi Sundaram</v>
      </c>
      <c r="C106" s="117">
        <f>IFERROR(__xludf.DUMMYFUNCTION("""COMPUTED_VALUE"""),-18.0)</f>
        <v>-18</v>
      </c>
      <c r="D106" s="117">
        <f t="shared" si="78"/>
        <v>47</v>
      </c>
      <c r="E106" s="117">
        <f t="shared" si="79"/>
        <v>65</v>
      </c>
      <c r="F106" s="117">
        <f t="shared" si="80"/>
        <v>4</v>
      </c>
      <c r="G106" s="117">
        <f t="shared" si="81"/>
        <v>7</v>
      </c>
      <c r="L106" s="117" t="str">
        <f t="shared" si="82"/>
        <v>ok</v>
      </c>
    </row>
    <row r="107">
      <c r="A107" s="1"/>
      <c r="B107" s="33" t="str">
        <f>IFERROR(__xludf.DUMMYFUNCTION("""COMPUTED_VALUE"""),"Vinaya Kajla")</f>
        <v>Vinaya Kajla</v>
      </c>
      <c r="C107" s="117">
        <f>IFERROR(__xludf.DUMMYFUNCTION("""COMPUTED_VALUE"""),-17.0)</f>
        <v>-17</v>
      </c>
      <c r="D107" s="117">
        <f t="shared" si="78"/>
        <v>22</v>
      </c>
      <c r="E107" s="117">
        <f t="shared" si="79"/>
        <v>39</v>
      </c>
      <c r="F107" s="117">
        <f t="shared" si="80"/>
        <v>8</v>
      </c>
      <c r="G107" s="117">
        <f t="shared" si="81"/>
        <v>9</v>
      </c>
      <c r="L107" s="117" t="str">
        <f t="shared" si="82"/>
        <v>ok</v>
      </c>
    </row>
    <row r="108">
      <c r="A108" s="1"/>
      <c r="B108" s="33" t="str">
        <f>IFERROR(__xludf.DUMMYFUNCTION("""COMPUTED_VALUE"""),"Ramesh Bandaru")</f>
        <v>Ramesh Bandaru</v>
      </c>
      <c r="C108" s="117">
        <f>IFERROR(__xludf.DUMMYFUNCTION("""COMPUTED_VALUE"""),-16.0)</f>
        <v>-16</v>
      </c>
      <c r="D108" s="117">
        <f t="shared" si="78"/>
        <v>8</v>
      </c>
      <c r="E108" s="117">
        <f t="shared" si="79"/>
        <v>24</v>
      </c>
      <c r="F108" s="117">
        <f t="shared" si="80"/>
        <v>9</v>
      </c>
      <c r="G108" s="117">
        <f t="shared" si="81"/>
        <v>0</v>
      </c>
      <c r="L108" s="117" t="str">
        <f t="shared" si="82"/>
        <v>ok</v>
      </c>
    </row>
    <row r="109">
      <c r="A109" s="1"/>
      <c r="B109" s="33" t="str">
        <f>IFERROR(__xludf.DUMMYFUNCTION("""COMPUTED_VALUE"""),"Ted Shen")</f>
        <v>Ted Shen</v>
      </c>
      <c r="C109" s="117">
        <f>IFERROR(__xludf.DUMMYFUNCTION("""COMPUTED_VALUE"""),-16.0)</f>
        <v>-16</v>
      </c>
      <c r="D109" s="117">
        <f t="shared" si="78"/>
        <v>11</v>
      </c>
      <c r="E109" s="117">
        <f t="shared" si="79"/>
        <v>27</v>
      </c>
      <c r="F109" s="117">
        <f t="shared" si="80"/>
        <v>8</v>
      </c>
      <c r="G109" s="117">
        <f t="shared" si="81"/>
        <v>2</v>
      </c>
      <c r="L109" s="117" t="str">
        <f t="shared" si="82"/>
        <v>ok</v>
      </c>
    </row>
    <row r="110">
      <c r="A110" s="1"/>
      <c r="B110" s="33" t="str">
        <f>IFERROR(__xludf.DUMMYFUNCTION("""COMPUTED_VALUE"""),"Saravanan Veerapandian")</f>
        <v>Saravanan Veerapandian</v>
      </c>
      <c r="C110" s="117">
        <f>IFERROR(__xludf.DUMMYFUNCTION("""COMPUTED_VALUE"""),-15.0)</f>
        <v>-15</v>
      </c>
      <c r="D110" s="117">
        <f t="shared" si="78"/>
        <v>27</v>
      </c>
      <c r="E110" s="117">
        <f t="shared" si="79"/>
        <v>42</v>
      </c>
      <c r="F110" s="117">
        <f t="shared" si="80"/>
        <v>8</v>
      </c>
      <c r="G110" s="117">
        <f t="shared" si="81"/>
        <v>4</v>
      </c>
      <c r="L110" s="117" t="str">
        <f t="shared" si="82"/>
        <v>ok</v>
      </c>
    </row>
    <row r="111">
      <c r="A111" s="1"/>
      <c r="B111" s="33" t="str">
        <f>IFERROR(__xludf.DUMMYFUNCTION("""COMPUTED_VALUE"""),"Cid Macaraeg")</f>
        <v>Cid Macaraeg</v>
      </c>
      <c r="C111" s="117">
        <f>IFERROR(__xludf.DUMMYFUNCTION("""COMPUTED_VALUE"""),-13.0)</f>
        <v>-13</v>
      </c>
      <c r="D111" s="117">
        <f t="shared" si="78"/>
        <v>13</v>
      </c>
      <c r="E111" s="117">
        <f t="shared" si="79"/>
        <v>26</v>
      </c>
      <c r="F111" s="117">
        <f t="shared" si="80"/>
        <v>9</v>
      </c>
      <c r="G111" s="117">
        <f t="shared" si="81"/>
        <v>0</v>
      </c>
      <c r="L111" s="117" t="str">
        <f t="shared" si="82"/>
        <v>ok</v>
      </c>
    </row>
    <row r="112">
      <c r="A112" s="1"/>
      <c r="B112" s="33" t="str">
        <f>IFERROR(__xludf.DUMMYFUNCTION("""COMPUTED_VALUE"""),"Troy Wong")</f>
        <v>Troy Wong</v>
      </c>
      <c r="C112" s="117">
        <f>IFERROR(__xludf.DUMMYFUNCTION("""COMPUTED_VALUE"""),-13.0)</f>
        <v>-13</v>
      </c>
      <c r="D112" s="117">
        <f t="shared" si="78"/>
        <v>19</v>
      </c>
      <c r="E112" s="117">
        <f t="shared" si="79"/>
        <v>32</v>
      </c>
      <c r="F112" s="117">
        <f t="shared" si="80"/>
        <v>9</v>
      </c>
      <c r="G112" s="117">
        <f t="shared" si="81"/>
        <v>0</v>
      </c>
      <c r="L112" s="117" t="str">
        <f t="shared" si="82"/>
        <v>ok</v>
      </c>
    </row>
    <row r="113">
      <c r="A113" s="1"/>
      <c r="B113" s="33" t="str">
        <f>IFERROR(__xludf.DUMMYFUNCTION("""COMPUTED_VALUE"""),"Herman Au")</f>
        <v>Herman Au</v>
      </c>
      <c r="C113" s="117">
        <f>IFERROR(__xludf.DUMMYFUNCTION("""COMPUTED_VALUE"""),-13.0)</f>
        <v>-13</v>
      </c>
      <c r="D113" s="117">
        <f t="shared" si="78"/>
        <v>23</v>
      </c>
      <c r="E113" s="117">
        <f t="shared" si="79"/>
        <v>36</v>
      </c>
      <c r="F113" s="117">
        <f t="shared" si="80"/>
        <v>9</v>
      </c>
      <c r="G113" s="117">
        <f t="shared" si="81"/>
        <v>0</v>
      </c>
      <c r="L113" s="117" t="str">
        <f t="shared" si="82"/>
        <v>ok</v>
      </c>
    </row>
    <row r="114">
      <c r="A114" s="1"/>
      <c r="B114" s="51"/>
      <c r="C114" s="1"/>
      <c r="E114" s="1"/>
      <c r="F114" s="1"/>
    </row>
    <row r="115">
      <c r="A115" s="1"/>
      <c r="B115" s="51"/>
      <c r="C115" s="1"/>
      <c r="E115" s="1"/>
      <c r="F115" s="1"/>
    </row>
    <row r="116">
      <c r="A116" s="1"/>
      <c r="B116" s="51"/>
      <c r="C116" s="1"/>
      <c r="E116" s="1"/>
      <c r="F116" s="1"/>
    </row>
    <row r="117">
      <c r="A117" s="1"/>
      <c r="B117" s="51"/>
      <c r="C117" s="1"/>
      <c r="E117" s="1"/>
      <c r="F117" s="1"/>
    </row>
    <row r="118">
      <c r="A118" s="1"/>
      <c r="B118" s="51"/>
      <c r="C118" s="1"/>
      <c r="D118" s="1"/>
      <c r="E118" s="1"/>
      <c r="F118" s="1"/>
    </row>
    <row r="119">
      <c r="A119" s="137" t="s">
        <v>183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6"/>
    </row>
    <row r="120">
      <c r="A120" s="64"/>
      <c r="B120" s="131" t="s">
        <v>184</v>
      </c>
      <c r="C120" s="138" t="s">
        <v>185</v>
      </c>
      <c r="D120" s="25"/>
      <c r="E120" s="26"/>
      <c r="F120" s="138" t="s">
        <v>186</v>
      </c>
      <c r="G120" s="25"/>
      <c r="H120" s="26"/>
      <c r="I120" s="139" t="s">
        <v>187</v>
      </c>
      <c r="J120" s="25"/>
      <c r="K120" s="25"/>
      <c r="L120" s="25"/>
      <c r="M120" s="26"/>
    </row>
    <row r="121">
      <c r="A121" s="140">
        <v>1.0</v>
      </c>
      <c r="B121" s="33" t="str">
        <f>IFERROR(__xludf.DUMMYFUNCTION("query(B5:W69,""select B where R = 'X' order by B asc"")"),"#N/A")</f>
        <v>#N/A</v>
      </c>
      <c r="C121" s="141" t="str">
        <f>IFERROR(__xludf.DUMMYFUNCTION("query(B5:W69,""select B where R = '' order by B asc"")"),"Adrian Tay")</f>
        <v>Adrian Tay</v>
      </c>
      <c r="D121" s="25"/>
      <c r="E121" s="26"/>
      <c r="F121" s="141" t="str">
        <f>IFERROR(__xludf.DUMMYFUNCTION("query(B5:W69,""select B where R = 'N' order by B asc"")"),"#N/A")</f>
        <v>#N/A</v>
      </c>
      <c r="G121" s="25"/>
      <c r="H121" s="26"/>
      <c r="I121" s="141"/>
      <c r="J121" s="25"/>
      <c r="K121" s="25"/>
      <c r="L121" s="25"/>
      <c r="M121" s="26"/>
    </row>
    <row r="122">
      <c r="A122" s="140">
        <f t="shared" ref="A122:A185" si="83">A121+1</f>
        <v>2</v>
      </c>
      <c r="B122" s="33"/>
      <c r="C122" s="141" t="str">
        <f>IFERROR(__xludf.DUMMYFUNCTION("""COMPUTED_VALUE"""),"Alejandro Mejia")</f>
        <v>Alejandro Mejia</v>
      </c>
      <c r="D122" s="25"/>
      <c r="E122" s="26"/>
      <c r="F122" s="141"/>
      <c r="G122" s="25"/>
      <c r="H122" s="26"/>
      <c r="I122" s="141"/>
      <c r="J122" s="25"/>
      <c r="K122" s="25"/>
      <c r="L122" s="25"/>
      <c r="M122" s="26"/>
    </row>
    <row r="123">
      <c r="A123" s="140">
        <f t="shared" si="83"/>
        <v>3</v>
      </c>
      <c r="B123" s="33"/>
      <c r="C123" s="141" t="str">
        <f>IFERROR(__xludf.DUMMYFUNCTION("""COMPUTED_VALUE"""),"Alex Hou")</f>
        <v>Alex Hou</v>
      </c>
      <c r="D123" s="25"/>
      <c r="E123" s="26"/>
      <c r="F123" s="141"/>
      <c r="G123" s="25"/>
      <c r="H123" s="26"/>
      <c r="I123" s="141"/>
      <c r="J123" s="25"/>
      <c r="K123" s="25"/>
      <c r="L123" s="25"/>
      <c r="M123" s="26"/>
    </row>
    <row r="124">
      <c r="A124" s="140">
        <f t="shared" si="83"/>
        <v>4</v>
      </c>
      <c r="B124" s="33"/>
      <c r="C124" s="141" t="str">
        <f>IFERROR(__xludf.DUMMYFUNCTION("""COMPUTED_VALUE"""),"Allen Zhang")</f>
        <v>Allen Zhang</v>
      </c>
      <c r="D124" s="25"/>
      <c r="E124" s="26"/>
      <c r="F124" s="141"/>
      <c r="G124" s="25"/>
      <c r="H124" s="26"/>
      <c r="I124" s="141"/>
      <c r="J124" s="25"/>
      <c r="K124" s="25"/>
      <c r="L124" s="25"/>
      <c r="M124" s="26"/>
    </row>
    <row r="125">
      <c r="A125" s="140">
        <f t="shared" si="83"/>
        <v>5</v>
      </c>
      <c r="B125" s="33"/>
      <c r="C125" s="141" t="str">
        <f>IFERROR(__xludf.DUMMYFUNCTION("""COMPUTED_VALUE"""),"Andrew Wen")</f>
        <v>Andrew Wen</v>
      </c>
      <c r="D125" s="25"/>
      <c r="E125" s="26"/>
      <c r="F125" s="141"/>
      <c r="G125" s="25"/>
      <c r="H125" s="26"/>
      <c r="I125" s="141"/>
      <c r="J125" s="25"/>
      <c r="K125" s="25"/>
      <c r="L125" s="25"/>
      <c r="M125" s="26"/>
    </row>
    <row r="126">
      <c r="A126" s="140">
        <f t="shared" si="83"/>
        <v>6</v>
      </c>
      <c r="B126" s="33"/>
      <c r="C126" s="141" t="str">
        <f>IFERROR(__xludf.DUMMYFUNCTION("""COMPUTED_VALUE"""),"Balaji Alahari")</f>
        <v>Balaji Alahari</v>
      </c>
      <c r="D126" s="25"/>
      <c r="E126" s="26"/>
      <c r="F126" s="141"/>
      <c r="G126" s="25"/>
      <c r="H126" s="26"/>
      <c r="I126" s="141"/>
      <c r="J126" s="25"/>
      <c r="K126" s="25"/>
      <c r="L126" s="25"/>
      <c r="M126" s="26"/>
    </row>
    <row r="127">
      <c r="A127" s="140">
        <f t="shared" si="83"/>
        <v>7</v>
      </c>
      <c r="B127" s="33"/>
      <c r="C127" s="141" t="str">
        <f>IFERROR(__xludf.DUMMYFUNCTION("""COMPUTED_VALUE"""),"Barathi Sundaram")</f>
        <v>Barathi Sundaram</v>
      </c>
      <c r="D127" s="25"/>
      <c r="E127" s="26"/>
      <c r="F127" s="141"/>
      <c r="G127" s="25"/>
      <c r="H127" s="26"/>
      <c r="I127" s="141"/>
      <c r="J127" s="25"/>
      <c r="K127" s="25"/>
      <c r="L127" s="25"/>
      <c r="M127" s="26"/>
    </row>
    <row r="128">
      <c r="A128" s="140">
        <f t="shared" si="83"/>
        <v>8</v>
      </c>
      <c r="B128" s="33"/>
      <c r="C128" s="141" t="str">
        <f>IFERROR(__xludf.DUMMYFUNCTION("""COMPUTED_VALUE"""),"Basudev Thoppai Vidyasankar")</f>
        <v>Basudev Thoppai Vidyasankar</v>
      </c>
      <c r="D128" s="25"/>
      <c r="E128" s="26"/>
      <c r="F128" s="141"/>
      <c r="G128" s="25"/>
      <c r="H128" s="26"/>
      <c r="I128" s="141"/>
      <c r="J128" s="25"/>
      <c r="K128" s="25"/>
      <c r="L128" s="25"/>
      <c r="M128" s="26"/>
    </row>
    <row r="129">
      <c r="A129" s="140">
        <f t="shared" si="83"/>
        <v>9</v>
      </c>
      <c r="B129" s="33"/>
      <c r="C129" s="141" t="str">
        <f>IFERROR(__xludf.DUMMYFUNCTION("""COMPUTED_VALUE"""),"Chinna Ponnaganti")</f>
        <v>Chinna Ponnaganti</v>
      </c>
      <c r="D129" s="25"/>
      <c r="E129" s="26"/>
      <c r="F129" s="141"/>
      <c r="G129" s="25"/>
      <c r="H129" s="26"/>
      <c r="I129" s="141"/>
      <c r="J129" s="25"/>
      <c r="K129" s="25"/>
      <c r="L129" s="25"/>
      <c r="M129" s="26"/>
    </row>
    <row r="130">
      <c r="A130" s="140">
        <f t="shared" si="83"/>
        <v>10</v>
      </c>
      <c r="B130" s="33"/>
      <c r="C130" s="141" t="str">
        <f>IFERROR(__xludf.DUMMYFUNCTION("""COMPUTED_VALUE"""),"Cid Macaraeg")</f>
        <v>Cid Macaraeg</v>
      </c>
      <c r="D130" s="25"/>
      <c r="E130" s="26"/>
      <c r="F130" s="141"/>
      <c r="G130" s="25"/>
      <c r="H130" s="26"/>
      <c r="I130" s="141"/>
      <c r="J130" s="25"/>
      <c r="K130" s="25"/>
      <c r="L130" s="25"/>
      <c r="M130" s="26"/>
    </row>
    <row r="131">
      <c r="A131" s="140">
        <f t="shared" si="83"/>
        <v>11</v>
      </c>
      <c r="B131" s="33"/>
      <c r="C131" s="141" t="str">
        <f>IFERROR(__xludf.DUMMYFUNCTION("""COMPUTED_VALUE"""),"Coco Yan")</f>
        <v>Coco Yan</v>
      </c>
      <c r="D131" s="25"/>
      <c r="E131" s="26"/>
      <c r="F131" s="141"/>
      <c r="G131" s="25"/>
      <c r="H131" s="26"/>
      <c r="I131" s="141"/>
      <c r="J131" s="25"/>
      <c r="K131" s="25"/>
      <c r="L131" s="25"/>
      <c r="M131" s="26"/>
    </row>
    <row r="132">
      <c r="A132" s="140">
        <f t="shared" si="83"/>
        <v>12</v>
      </c>
      <c r="B132" s="33"/>
      <c r="C132" s="141" t="str">
        <f>IFERROR(__xludf.DUMMYFUNCTION("""COMPUTED_VALUE"""),"Darren Wong")</f>
        <v>Darren Wong</v>
      </c>
      <c r="D132" s="25"/>
      <c r="E132" s="26"/>
      <c r="F132" s="141"/>
      <c r="G132" s="25"/>
      <c r="H132" s="26"/>
      <c r="I132" s="141"/>
      <c r="J132" s="25"/>
      <c r="K132" s="25"/>
      <c r="L132" s="25"/>
      <c r="M132" s="26"/>
    </row>
    <row r="133">
      <c r="A133" s="140">
        <f t="shared" si="83"/>
        <v>13</v>
      </c>
      <c r="B133" s="33"/>
      <c r="C133" s="141" t="str">
        <f>IFERROR(__xludf.DUMMYFUNCTION("""COMPUTED_VALUE"""),"David Shin")</f>
        <v>David Shin</v>
      </c>
      <c r="D133" s="25"/>
      <c r="E133" s="26"/>
      <c r="F133" s="141"/>
      <c r="G133" s="25"/>
      <c r="H133" s="26"/>
      <c r="I133" s="141"/>
      <c r="J133" s="25"/>
      <c r="K133" s="25"/>
      <c r="L133" s="25"/>
      <c r="M133" s="26"/>
    </row>
    <row r="134">
      <c r="A134" s="140">
        <f t="shared" si="83"/>
        <v>14</v>
      </c>
      <c r="B134" s="33"/>
      <c r="C134" s="141" t="str">
        <f>IFERROR(__xludf.DUMMYFUNCTION("""COMPUTED_VALUE"""),"Elayaraja Thangaraj")</f>
        <v>Elayaraja Thangaraj</v>
      </c>
      <c r="D134" s="25"/>
      <c r="E134" s="26"/>
      <c r="F134" s="141"/>
      <c r="G134" s="25"/>
      <c r="H134" s="26"/>
      <c r="I134" s="141"/>
      <c r="J134" s="25"/>
      <c r="K134" s="25"/>
      <c r="L134" s="25"/>
      <c r="M134" s="26"/>
    </row>
    <row r="135">
      <c r="A135" s="140">
        <f t="shared" si="83"/>
        <v>15</v>
      </c>
      <c r="B135" s="33"/>
      <c r="C135" s="141" t="str">
        <f>IFERROR(__xludf.DUMMYFUNCTION("""COMPUTED_VALUE"""),"Eric Pan")</f>
        <v>Eric Pan</v>
      </c>
      <c r="D135" s="25"/>
      <c r="E135" s="26"/>
      <c r="F135" s="141"/>
      <c r="G135" s="25"/>
      <c r="H135" s="26"/>
      <c r="I135" s="141"/>
      <c r="J135" s="25"/>
      <c r="K135" s="25"/>
      <c r="L135" s="25"/>
      <c r="M135" s="26"/>
    </row>
    <row r="136">
      <c r="A136" s="140">
        <f t="shared" si="83"/>
        <v>16</v>
      </c>
      <c r="B136" s="33"/>
      <c r="C136" s="141" t="str">
        <f>IFERROR(__xludf.DUMMYFUNCTION("""COMPUTED_VALUE"""),"Eric Tan")</f>
        <v>Eric Tan</v>
      </c>
      <c r="D136" s="25"/>
      <c r="E136" s="26"/>
      <c r="F136" s="141"/>
      <c r="G136" s="25"/>
      <c r="H136" s="26"/>
    </row>
    <row r="137">
      <c r="A137" s="140">
        <f t="shared" si="83"/>
        <v>17</v>
      </c>
      <c r="B137" s="33"/>
      <c r="C137" s="141" t="str">
        <f>IFERROR(__xludf.DUMMYFUNCTION("""COMPUTED_VALUE"""),"Erik Hoeckmann")</f>
        <v>Erik Hoeckmann</v>
      </c>
      <c r="D137" s="25"/>
      <c r="E137" s="26"/>
      <c r="F137" s="141"/>
      <c r="G137" s="25"/>
      <c r="H137" s="26"/>
    </row>
    <row r="138">
      <c r="A138" s="140">
        <f t="shared" si="83"/>
        <v>18</v>
      </c>
      <c r="B138" s="33"/>
      <c r="C138" s="141" t="str">
        <f>IFERROR(__xludf.DUMMYFUNCTION("""COMPUTED_VALUE"""),"Ethan Gu")</f>
        <v>Ethan Gu</v>
      </c>
      <c r="D138" s="25"/>
      <c r="E138" s="26"/>
      <c r="F138" s="141"/>
      <c r="G138" s="25"/>
      <c r="H138" s="26"/>
    </row>
    <row r="139">
      <c r="A139" s="140">
        <f t="shared" si="83"/>
        <v>19</v>
      </c>
      <c r="B139" s="33"/>
      <c r="C139" s="141" t="str">
        <f>IFERROR(__xludf.DUMMYFUNCTION("""COMPUTED_VALUE"""),"Frank Moon")</f>
        <v>Frank Moon</v>
      </c>
      <c r="D139" s="25"/>
      <c r="E139" s="26"/>
      <c r="F139" s="141"/>
      <c r="G139" s="25"/>
      <c r="H139" s="26"/>
    </row>
    <row r="140">
      <c r="A140" s="140">
        <f t="shared" si="83"/>
        <v>20</v>
      </c>
      <c r="B140" s="33"/>
      <c r="C140" s="141" t="str">
        <f>IFERROR(__xludf.DUMMYFUNCTION("""COMPUTED_VALUE"""),"Herman Au")</f>
        <v>Herman Au</v>
      </c>
      <c r="D140" s="25"/>
      <c r="E140" s="26"/>
      <c r="F140" s="141"/>
      <c r="G140" s="25"/>
      <c r="H140" s="26"/>
    </row>
    <row r="141">
      <c r="A141" s="140">
        <f t="shared" si="83"/>
        <v>21</v>
      </c>
      <c r="B141" s="33"/>
      <c r="C141" s="141" t="str">
        <f>IFERROR(__xludf.DUMMYFUNCTION("""COMPUTED_VALUE"""),"Hongyuan Wen")</f>
        <v>Hongyuan Wen</v>
      </c>
      <c r="D141" s="25"/>
      <c r="E141" s="26"/>
      <c r="F141" s="141"/>
      <c r="G141" s="25"/>
      <c r="H141" s="26"/>
    </row>
    <row r="142">
      <c r="A142" s="140">
        <f t="shared" si="83"/>
        <v>22</v>
      </c>
      <c r="B142" s="33"/>
      <c r="C142" s="141" t="str">
        <f>IFERROR(__xludf.DUMMYFUNCTION("""COMPUTED_VALUE"""),"Hubert J Sung")</f>
        <v>Hubert J Sung</v>
      </c>
      <c r="D142" s="25"/>
      <c r="E142" s="26"/>
      <c r="F142" s="141"/>
      <c r="G142" s="25"/>
      <c r="H142" s="26"/>
    </row>
    <row r="143">
      <c r="A143" s="140">
        <f t="shared" si="83"/>
        <v>23</v>
      </c>
      <c r="B143" s="33"/>
      <c r="C143" s="141" t="str">
        <f>IFERROR(__xludf.DUMMYFUNCTION("""COMPUTED_VALUE"""),"James Phan")</f>
        <v>James Phan</v>
      </c>
      <c r="D143" s="25"/>
      <c r="E143" s="26"/>
      <c r="F143" s="141"/>
      <c r="G143" s="25"/>
      <c r="H143" s="26"/>
    </row>
    <row r="144">
      <c r="A144" s="140">
        <f t="shared" si="83"/>
        <v>24</v>
      </c>
      <c r="B144" s="33"/>
      <c r="C144" s="141" t="str">
        <f>IFERROR(__xludf.DUMMYFUNCTION("""COMPUTED_VALUE"""),"Jim Miao")</f>
        <v>Jim Miao</v>
      </c>
      <c r="D144" s="25"/>
      <c r="E144" s="26"/>
      <c r="F144" s="141"/>
      <c r="G144" s="25"/>
      <c r="H144" s="26"/>
    </row>
    <row r="145">
      <c r="A145" s="140">
        <f t="shared" si="83"/>
        <v>25</v>
      </c>
      <c r="B145" s="33"/>
      <c r="C145" s="141" t="str">
        <f>IFERROR(__xludf.DUMMYFUNCTION("""COMPUTED_VALUE"""),"Jimmy Awolesi")</f>
        <v>Jimmy Awolesi</v>
      </c>
      <c r="D145" s="25"/>
      <c r="E145" s="26"/>
      <c r="F145" s="141"/>
      <c r="G145" s="25"/>
      <c r="H145" s="26"/>
    </row>
    <row r="146">
      <c r="A146" s="140">
        <f t="shared" si="83"/>
        <v>26</v>
      </c>
      <c r="B146" s="33"/>
      <c r="C146" s="141" t="str">
        <f>IFERROR(__xludf.DUMMYFUNCTION("""COMPUTED_VALUE"""),"Joe Luzzi")</f>
        <v>Joe Luzzi</v>
      </c>
      <c r="D146" s="25"/>
      <c r="E146" s="26"/>
      <c r="F146" s="141"/>
      <c r="G146" s="25"/>
      <c r="H146" s="26"/>
    </row>
    <row r="147">
      <c r="A147" s="140">
        <f t="shared" si="83"/>
        <v>27</v>
      </c>
      <c r="B147" s="33"/>
      <c r="C147" s="141" t="str">
        <f>IFERROR(__xludf.DUMMYFUNCTION("""COMPUTED_VALUE"""),"Jonathan Phan")</f>
        <v>Jonathan Phan</v>
      </c>
      <c r="D147" s="25"/>
      <c r="E147" s="26"/>
      <c r="F147" s="141"/>
      <c r="G147" s="25"/>
      <c r="H147" s="26"/>
    </row>
    <row r="148">
      <c r="A148" s="140">
        <f t="shared" si="83"/>
        <v>28</v>
      </c>
      <c r="B148" s="33"/>
      <c r="C148" s="141" t="str">
        <f>IFERROR(__xludf.DUMMYFUNCTION("""COMPUTED_VALUE"""),"Joyce Zhu")</f>
        <v>Joyce Zhu</v>
      </c>
      <c r="D148" s="25"/>
      <c r="E148" s="26"/>
      <c r="F148" s="141"/>
      <c r="G148" s="25"/>
      <c r="H148" s="26"/>
    </row>
    <row r="149">
      <c r="A149" s="140">
        <f t="shared" si="83"/>
        <v>29</v>
      </c>
      <c r="B149" s="33"/>
      <c r="C149" s="141" t="str">
        <f>IFERROR(__xludf.DUMMYFUNCTION("""COMPUTED_VALUE"""),"Kumar Palakeel")</f>
        <v>Kumar Palakeel</v>
      </c>
      <c r="D149" s="25"/>
      <c r="E149" s="26"/>
      <c r="F149" s="141"/>
      <c r="G149" s="25"/>
      <c r="H149" s="26"/>
    </row>
    <row r="150">
      <c r="A150" s="140">
        <f t="shared" si="83"/>
        <v>30</v>
      </c>
      <c r="B150" s="33"/>
      <c r="C150" s="141" t="str">
        <f>IFERROR(__xludf.DUMMYFUNCTION("""COMPUTED_VALUE"""),"Lam Bui")</f>
        <v>Lam Bui</v>
      </c>
      <c r="D150" s="25"/>
      <c r="E150" s="26"/>
      <c r="F150" s="141"/>
      <c r="G150" s="25"/>
      <c r="H150" s="26"/>
    </row>
    <row r="151">
      <c r="A151" s="140">
        <f t="shared" si="83"/>
        <v>31</v>
      </c>
      <c r="B151" s="33"/>
      <c r="C151" s="141" t="str">
        <f>IFERROR(__xludf.DUMMYFUNCTION("""COMPUTED_VALUE"""),"Leigh-Anh Nguyen")</f>
        <v>Leigh-Anh Nguyen</v>
      </c>
      <c r="D151" s="25"/>
      <c r="E151" s="26"/>
      <c r="F151" s="141"/>
      <c r="G151" s="25"/>
      <c r="H151" s="26"/>
    </row>
    <row r="152">
      <c r="A152" s="140">
        <f t="shared" si="83"/>
        <v>32</v>
      </c>
      <c r="B152" s="33"/>
      <c r="C152" s="141" t="str">
        <f>IFERROR(__xludf.DUMMYFUNCTION("""COMPUTED_VALUE"""),"Lloyd Sagar")</f>
        <v>Lloyd Sagar</v>
      </c>
      <c r="D152" s="25"/>
      <c r="E152" s="26"/>
      <c r="F152" s="141"/>
      <c r="G152" s="25"/>
      <c r="H152" s="26"/>
    </row>
    <row r="153">
      <c r="A153" s="140">
        <f t="shared" si="83"/>
        <v>33</v>
      </c>
      <c r="B153" s="33"/>
      <c r="C153" s="141" t="str">
        <f>IFERROR(__xludf.DUMMYFUNCTION("""COMPUTED_VALUE"""),"Luis Hsu")</f>
        <v>Luis Hsu</v>
      </c>
      <c r="D153" s="25"/>
      <c r="E153" s="26"/>
      <c r="F153" s="141"/>
      <c r="G153" s="25"/>
      <c r="H153" s="26"/>
    </row>
    <row r="154">
      <c r="A154" s="140">
        <f t="shared" si="83"/>
        <v>34</v>
      </c>
      <c r="B154" s="33"/>
      <c r="C154" s="141" t="str">
        <f>IFERROR(__xludf.DUMMYFUNCTION("""COMPUTED_VALUE"""),"Manish Anand")</f>
        <v>Manish Anand</v>
      </c>
      <c r="D154" s="25"/>
      <c r="E154" s="26"/>
      <c r="F154" s="141"/>
      <c r="G154" s="25"/>
      <c r="H154" s="26"/>
    </row>
    <row r="155">
      <c r="A155" s="140">
        <f t="shared" si="83"/>
        <v>35</v>
      </c>
      <c r="B155" s="33"/>
      <c r="C155" s="141" t="str">
        <f>IFERROR(__xludf.DUMMYFUNCTION("""COMPUTED_VALUE"""),"Manuel Rivera")</f>
        <v>Manuel Rivera</v>
      </c>
      <c r="D155" s="25"/>
      <c r="E155" s="26"/>
      <c r="F155" s="141"/>
      <c r="G155" s="25"/>
      <c r="H155" s="26"/>
    </row>
    <row r="156">
      <c r="A156" s="140">
        <f t="shared" si="83"/>
        <v>36</v>
      </c>
      <c r="B156" s="33"/>
      <c r="C156" s="141" t="str">
        <f>IFERROR(__xludf.DUMMYFUNCTION("""COMPUTED_VALUE"""),"Matthew Huang")</f>
        <v>Matthew Huang</v>
      </c>
      <c r="D156" s="25"/>
      <c r="E156" s="26"/>
      <c r="F156" s="141"/>
      <c r="G156" s="25"/>
      <c r="H156" s="26"/>
    </row>
    <row r="157">
      <c r="A157" s="140">
        <f t="shared" si="83"/>
        <v>37</v>
      </c>
      <c r="B157" s="33"/>
      <c r="C157" s="141" t="str">
        <f>IFERROR(__xludf.DUMMYFUNCTION("""COMPUTED_VALUE"""),"Mauricio Palacios")</f>
        <v>Mauricio Palacios</v>
      </c>
      <c r="D157" s="25"/>
      <c r="E157" s="26"/>
      <c r="F157" s="141"/>
      <c r="G157" s="25"/>
      <c r="H157" s="26"/>
    </row>
    <row r="158">
      <c r="A158" s="140">
        <f t="shared" si="83"/>
        <v>38</v>
      </c>
      <c r="B158" s="33"/>
      <c r="C158" s="141" t="str">
        <f>IFERROR(__xludf.DUMMYFUNCTION("""COMPUTED_VALUE"""),"Naveen Raj")</f>
        <v>Naveen Raj</v>
      </c>
      <c r="D158" s="25"/>
      <c r="E158" s="26"/>
      <c r="F158" s="141"/>
      <c r="G158" s="25"/>
      <c r="H158" s="26"/>
    </row>
    <row r="159">
      <c r="A159" s="140">
        <f t="shared" si="83"/>
        <v>39</v>
      </c>
      <c r="B159" s="33"/>
      <c r="C159" s="141" t="str">
        <f>IFERROR(__xludf.DUMMYFUNCTION("""COMPUTED_VALUE"""),"Nicole Ni")</f>
        <v>Nicole Ni</v>
      </c>
      <c r="D159" s="25"/>
      <c r="E159" s="26"/>
      <c r="F159" s="141"/>
      <c r="G159" s="25"/>
      <c r="H159" s="26"/>
    </row>
    <row r="160">
      <c r="A160" s="140">
        <f t="shared" si="83"/>
        <v>40</v>
      </c>
      <c r="B160" s="33"/>
      <c r="C160" s="141" t="str">
        <f>IFERROR(__xludf.DUMMYFUNCTION("""COMPUTED_VALUE"""),"Oscar Bonilla")</f>
        <v>Oscar Bonilla</v>
      </c>
      <c r="D160" s="25"/>
      <c r="E160" s="26"/>
      <c r="F160" s="141"/>
      <c r="G160" s="25"/>
      <c r="H160" s="26"/>
    </row>
    <row r="161">
      <c r="A161" s="140">
        <f t="shared" si="83"/>
        <v>41</v>
      </c>
      <c r="B161" s="33"/>
      <c r="C161" s="141" t="str">
        <f>IFERROR(__xludf.DUMMYFUNCTION("""COMPUTED_VALUE"""),"Pavan Akkimsetty")</f>
        <v>Pavan Akkimsetty</v>
      </c>
      <c r="D161" s="25"/>
      <c r="E161" s="26"/>
      <c r="F161" s="141"/>
      <c r="G161" s="25"/>
      <c r="H161" s="26"/>
    </row>
    <row r="162">
      <c r="A162" s="140">
        <f t="shared" si="83"/>
        <v>42</v>
      </c>
      <c r="B162" s="33"/>
      <c r="C162" s="141" t="str">
        <f>IFERROR(__xludf.DUMMYFUNCTION("""COMPUTED_VALUE"""),"Pulkit Mathur")</f>
        <v>Pulkit Mathur</v>
      </c>
      <c r="D162" s="25"/>
      <c r="E162" s="26"/>
      <c r="F162" s="141"/>
      <c r="G162" s="25"/>
      <c r="H162" s="26"/>
    </row>
    <row r="163">
      <c r="A163" s="140">
        <f t="shared" si="83"/>
        <v>43</v>
      </c>
      <c r="B163" s="33"/>
      <c r="C163" s="141" t="str">
        <f>IFERROR(__xludf.DUMMYFUNCTION("""COMPUTED_VALUE"""),"Rajasekar Ramasamy")</f>
        <v>Rajasekar Ramasamy</v>
      </c>
      <c r="D163" s="25"/>
      <c r="E163" s="26"/>
      <c r="F163" s="141"/>
      <c r="G163" s="25"/>
      <c r="H163" s="26"/>
    </row>
    <row r="164">
      <c r="A164" s="140">
        <f t="shared" si="83"/>
        <v>44</v>
      </c>
      <c r="B164" s="33"/>
      <c r="C164" s="141" t="str">
        <f>IFERROR(__xludf.DUMMYFUNCTION("""COMPUTED_VALUE"""),"Rajesh Dorairaj")</f>
        <v>Rajesh Dorairaj</v>
      </c>
      <c r="D164" s="25"/>
      <c r="E164" s="26"/>
      <c r="F164" s="141"/>
      <c r="G164" s="25"/>
      <c r="H164" s="26"/>
    </row>
    <row r="165">
      <c r="A165" s="140">
        <f t="shared" si="83"/>
        <v>45</v>
      </c>
      <c r="B165" s="33"/>
      <c r="C165" s="141" t="str">
        <f>IFERROR(__xludf.DUMMYFUNCTION("""COMPUTED_VALUE"""),"Ramesh Bandaru")</f>
        <v>Ramesh Bandaru</v>
      </c>
      <c r="D165" s="25"/>
      <c r="E165" s="26"/>
      <c r="F165" s="141"/>
      <c r="G165" s="25"/>
      <c r="H165" s="26"/>
    </row>
    <row r="166">
      <c r="A166" s="140">
        <f t="shared" si="83"/>
        <v>46</v>
      </c>
      <c r="B166" s="33"/>
      <c r="C166" s="141" t="str">
        <f>IFERROR(__xludf.DUMMYFUNCTION("""COMPUTED_VALUE"""),"Robert Chang")</f>
        <v>Robert Chang</v>
      </c>
      <c r="D166" s="25"/>
      <c r="E166" s="26"/>
      <c r="F166" s="141"/>
      <c r="G166" s="25"/>
      <c r="H166" s="26"/>
    </row>
    <row r="167">
      <c r="A167" s="140">
        <f t="shared" si="83"/>
        <v>47</v>
      </c>
      <c r="B167" s="33"/>
      <c r="C167" s="141" t="str">
        <f>IFERROR(__xludf.DUMMYFUNCTION("""COMPUTED_VALUE"""),"Sandeep Kamalon")</f>
        <v>Sandeep Kamalon</v>
      </c>
      <c r="D167" s="25"/>
      <c r="E167" s="26"/>
      <c r="F167" s="141"/>
      <c r="G167" s="25"/>
      <c r="H167" s="26"/>
    </row>
    <row r="168">
      <c r="A168" s="140">
        <f t="shared" si="83"/>
        <v>48</v>
      </c>
      <c r="B168" s="33"/>
      <c r="C168" s="141" t="str">
        <f>IFERROR(__xludf.DUMMYFUNCTION("""COMPUTED_VALUE"""),"Sandy Weyant")</f>
        <v>Sandy Weyant</v>
      </c>
      <c r="D168" s="25"/>
      <c r="E168" s="26"/>
      <c r="F168" s="141"/>
      <c r="G168" s="25"/>
      <c r="H168" s="26"/>
    </row>
    <row r="169">
      <c r="A169" s="140">
        <f t="shared" si="83"/>
        <v>49</v>
      </c>
      <c r="B169" s="33"/>
      <c r="C169" s="141" t="str">
        <f>IFERROR(__xludf.DUMMYFUNCTION("""COMPUTED_VALUE"""),"Sanjaye Elayattu")</f>
        <v>Sanjaye Elayattu</v>
      </c>
      <c r="D169" s="25"/>
      <c r="E169" s="26"/>
      <c r="F169" s="141"/>
      <c r="G169" s="25"/>
      <c r="H169" s="26"/>
    </row>
    <row r="170">
      <c r="A170" s="140">
        <f t="shared" si="83"/>
        <v>50</v>
      </c>
      <c r="B170" s="33"/>
      <c r="C170" s="141" t="str">
        <f>IFERROR(__xludf.DUMMYFUNCTION("""COMPUTED_VALUE"""),"Santosh Sundaresan")</f>
        <v>Santosh Sundaresan</v>
      </c>
      <c r="D170" s="25"/>
      <c r="E170" s="26"/>
      <c r="F170" s="141"/>
      <c r="G170" s="25"/>
      <c r="H170" s="26"/>
    </row>
    <row r="171">
      <c r="A171" s="140">
        <f t="shared" si="83"/>
        <v>51</v>
      </c>
      <c r="B171" s="33"/>
      <c r="C171" s="141" t="str">
        <f>IFERROR(__xludf.DUMMYFUNCTION("""COMPUTED_VALUE"""),"Saravanan Veerapandian")</f>
        <v>Saravanan Veerapandian</v>
      </c>
      <c r="D171" s="25"/>
      <c r="E171" s="26"/>
      <c r="F171" s="141"/>
      <c r="G171" s="25"/>
      <c r="H171" s="26"/>
    </row>
    <row r="172">
      <c r="A172" s="140">
        <f t="shared" si="83"/>
        <v>52</v>
      </c>
      <c r="B172" s="33"/>
      <c r="C172" s="141" t="str">
        <f>IFERROR(__xludf.DUMMYFUNCTION("""COMPUTED_VALUE"""),"Scott Li")</f>
        <v>Scott Li</v>
      </c>
      <c r="D172" s="25"/>
      <c r="E172" s="26"/>
      <c r="F172" s="141"/>
      <c r="G172" s="25"/>
      <c r="H172" s="26"/>
    </row>
    <row r="173">
      <c r="A173" s="140">
        <f t="shared" si="83"/>
        <v>53</v>
      </c>
      <c r="B173" s="33"/>
      <c r="C173" s="141" t="str">
        <f>IFERROR(__xludf.DUMMYFUNCTION("""COMPUTED_VALUE"""),"Sean Chang")</f>
        <v>Sean Chang</v>
      </c>
      <c r="D173" s="25"/>
      <c r="E173" s="26"/>
      <c r="F173" s="141"/>
      <c r="G173" s="25"/>
      <c r="H173" s="26"/>
    </row>
    <row r="174">
      <c r="A174" s="140">
        <f t="shared" si="83"/>
        <v>54</v>
      </c>
      <c r="B174" s="33"/>
      <c r="C174" s="141" t="str">
        <f>IFERROR(__xludf.DUMMYFUNCTION("""COMPUTED_VALUE"""),"Suleman Alidina")</f>
        <v>Suleman Alidina</v>
      </c>
      <c r="D174" s="25"/>
      <c r="E174" s="26"/>
      <c r="F174" s="141"/>
      <c r="G174" s="25"/>
      <c r="H174" s="26"/>
    </row>
    <row r="175">
      <c r="A175" s="140">
        <f t="shared" si="83"/>
        <v>55</v>
      </c>
      <c r="B175" s="33"/>
      <c r="C175" s="141" t="str">
        <f>IFERROR(__xludf.DUMMYFUNCTION("""COMPUTED_VALUE"""),"Susanta Mishra")</f>
        <v>Susanta Mishra</v>
      </c>
      <c r="D175" s="25"/>
      <c r="E175" s="26"/>
      <c r="F175" s="141"/>
      <c r="G175" s="25"/>
      <c r="H175" s="26"/>
    </row>
    <row r="176">
      <c r="A176" s="140">
        <f t="shared" si="83"/>
        <v>56</v>
      </c>
      <c r="B176" s="33"/>
      <c r="C176" s="141" t="str">
        <f>IFERROR(__xludf.DUMMYFUNCTION("""COMPUTED_VALUE"""),"Ted Shen")</f>
        <v>Ted Shen</v>
      </c>
      <c r="D176" s="25"/>
      <c r="E176" s="26"/>
      <c r="F176" s="141"/>
      <c r="G176" s="25"/>
      <c r="H176" s="26"/>
    </row>
    <row r="177">
      <c r="A177" s="140">
        <f t="shared" si="83"/>
        <v>57</v>
      </c>
      <c r="B177" s="33"/>
      <c r="C177" s="141" t="str">
        <f>IFERROR(__xludf.DUMMYFUNCTION("""COMPUTED_VALUE"""),"Tina Hanson")</f>
        <v>Tina Hanson</v>
      </c>
      <c r="D177" s="25"/>
      <c r="E177" s="26"/>
      <c r="F177" s="141"/>
      <c r="G177" s="25"/>
      <c r="H177" s="26"/>
    </row>
    <row r="178">
      <c r="A178" s="140">
        <f t="shared" si="83"/>
        <v>58</v>
      </c>
      <c r="B178" s="33"/>
      <c r="C178" s="141" t="str">
        <f>IFERROR(__xludf.DUMMYFUNCTION("""COMPUTED_VALUE"""),"Tom Le")</f>
        <v>Tom Le</v>
      </c>
      <c r="D178" s="25"/>
      <c r="E178" s="26"/>
      <c r="F178" s="141"/>
      <c r="G178" s="25"/>
      <c r="H178" s="26"/>
    </row>
    <row r="179">
      <c r="A179" s="140">
        <f t="shared" si="83"/>
        <v>59</v>
      </c>
      <c r="B179" s="33"/>
      <c r="C179" s="141" t="str">
        <f>IFERROR(__xludf.DUMMYFUNCTION("""COMPUTED_VALUE"""),"Trish Newlin")</f>
        <v>Trish Newlin</v>
      </c>
      <c r="D179" s="25"/>
      <c r="E179" s="26"/>
      <c r="F179" s="141"/>
      <c r="G179" s="25"/>
      <c r="H179" s="26"/>
    </row>
    <row r="180">
      <c r="A180" s="140">
        <f t="shared" si="83"/>
        <v>60</v>
      </c>
      <c r="B180" s="33"/>
      <c r="C180" s="141" t="str">
        <f>IFERROR(__xludf.DUMMYFUNCTION("""COMPUTED_VALUE"""),"Troy Wong")</f>
        <v>Troy Wong</v>
      </c>
      <c r="D180" s="25"/>
      <c r="E180" s="26"/>
      <c r="F180" s="141"/>
      <c r="G180" s="25"/>
      <c r="H180" s="26"/>
    </row>
    <row r="181">
      <c r="A181" s="140">
        <f t="shared" si="83"/>
        <v>61</v>
      </c>
      <c r="B181" s="33"/>
      <c r="C181" s="141" t="str">
        <f>IFERROR(__xludf.DUMMYFUNCTION("""COMPUTED_VALUE"""),"Tyler Leong")</f>
        <v>Tyler Leong</v>
      </c>
      <c r="D181" s="25"/>
      <c r="E181" s="26"/>
      <c r="F181" s="141"/>
      <c r="G181" s="25"/>
      <c r="H181" s="26"/>
    </row>
    <row r="182">
      <c r="A182" s="140">
        <f t="shared" si="83"/>
        <v>62</v>
      </c>
      <c r="B182" s="33"/>
      <c r="C182" s="141" t="str">
        <f>IFERROR(__xludf.DUMMYFUNCTION("""COMPUTED_VALUE"""),"Vicki Martinet")</f>
        <v>Vicki Martinet</v>
      </c>
      <c r="D182" s="25"/>
      <c r="E182" s="26"/>
      <c r="F182" s="141"/>
      <c r="G182" s="25"/>
      <c r="H182" s="26"/>
    </row>
    <row r="183">
      <c r="A183" s="140">
        <f t="shared" si="83"/>
        <v>63</v>
      </c>
      <c r="B183" s="33"/>
      <c r="C183" s="141" t="str">
        <f>IFERROR(__xludf.DUMMYFUNCTION("""COMPUTED_VALUE"""),"Vinaya Kajla")</f>
        <v>Vinaya Kajla</v>
      </c>
      <c r="D183" s="25"/>
      <c r="E183" s="26"/>
      <c r="F183" s="141"/>
      <c r="G183" s="25"/>
      <c r="H183" s="26"/>
    </row>
    <row r="184">
      <c r="A184" s="140">
        <f t="shared" si="83"/>
        <v>64</v>
      </c>
      <c r="B184" s="33"/>
      <c r="C184" s="141" t="str">
        <f>IFERROR(__xludf.DUMMYFUNCTION("""COMPUTED_VALUE"""),"Vishnu Amarnath")</f>
        <v>Vishnu Amarnath</v>
      </c>
      <c r="D184" s="25"/>
      <c r="E184" s="26"/>
      <c r="F184" s="141"/>
      <c r="G184" s="25"/>
      <c r="H184" s="26"/>
    </row>
    <row r="185">
      <c r="A185" s="140">
        <f t="shared" si="83"/>
        <v>65</v>
      </c>
      <c r="B185" s="33"/>
      <c r="C185" s="141" t="str">
        <f>IFERROR(__xludf.DUMMYFUNCTION("""COMPUTED_VALUE"""),"Wayne Liu")</f>
        <v>Wayne Liu</v>
      </c>
      <c r="D185" s="25"/>
      <c r="E185" s="26"/>
      <c r="F185" s="141"/>
      <c r="G185" s="25"/>
      <c r="H185" s="26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45850.0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2.0</v>
      </c>
      <c r="E2" s="1"/>
      <c r="F2" s="1"/>
      <c r="R2" s="17"/>
      <c r="AC2" s="21" t="str">
        <f>text(C1-7,"mm/dd/yy")</f>
        <v>07/05/25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178</v>
      </c>
      <c r="R3" s="17" t="s">
        <v>29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</row>
    <row r="5">
      <c r="A5" s="32">
        <v>1.0</v>
      </c>
      <c r="B5" s="33" t="s">
        <v>67</v>
      </c>
      <c r="C5" s="34">
        <v>19.0</v>
      </c>
      <c r="D5" s="34">
        <v>3.0</v>
      </c>
      <c r="E5" s="35"/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28</v>
      </c>
      <c r="O5" s="34">
        <f t="shared" si="1"/>
        <v>3</v>
      </c>
      <c r="P5" s="49" t="s">
        <v>58</v>
      </c>
      <c r="Q5" s="49" t="s">
        <v>58</v>
      </c>
      <c r="R5" s="49" t="s">
        <v>58</v>
      </c>
      <c r="S5" s="52">
        <f t="shared" ref="S5:S69" si="3">if(sum(I5:K5)&gt;0,1,0)+vlookup(B5,indirect("'" &amp; AC$2 &amp; "'!B5:W69"),18,false)</f>
        <v>1</v>
      </c>
      <c r="T5" s="52">
        <f t="shared" ref="T5:T69" si="4">if(H5=13,1,0)</f>
        <v>0</v>
      </c>
      <c r="U5" s="52"/>
      <c r="V5" s="52">
        <f t="shared" ref="V5:V69" si="5">if(H5=9,1,0)+vlookup(B5,indirect("'" &amp; AC$2 &amp; "'!B5:W69"),21,false)</f>
        <v>1</v>
      </c>
      <c r="W5" s="52">
        <f t="shared" ref="W5:W69" si="6">vlookup(B5,indirect("'" &amp; AC$2 &amp; "'!B5:x69"),23,false)-X5</f>
        <v>29</v>
      </c>
      <c r="X5" s="32">
        <v>1.0</v>
      </c>
    </row>
    <row r="6">
      <c r="A6" s="32">
        <f t="shared" ref="A6:A69" si="7">A5+1</f>
        <v>2</v>
      </c>
      <c r="B6" s="33" t="s">
        <v>106</v>
      </c>
      <c r="C6" s="34">
        <v>19.0</v>
      </c>
      <c r="D6" s="34">
        <v>3.0</v>
      </c>
      <c r="E6" s="35"/>
      <c r="F6" s="95">
        <v>2.0</v>
      </c>
      <c r="G6" s="96">
        <v>1.0</v>
      </c>
      <c r="H6" s="97">
        <v>0.0</v>
      </c>
      <c r="I6" s="96">
        <v>3.0</v>
      </c>
      <c r="J6" s="96">
        <v>6.0</v>
      </c>
      <c r="K6" s="96">
        <v>2.0</v>
      </c>
      <c r="L6" s="98">
        <v>11.0</v>
      </c>
      <c r="M6" s="96">
        <v>1.0</v>
      </c>
      <c r="N6" s="34">
        <f t="shared" ref="N6:O6" si="2">C6+L6</f>
        <v>30</v>
      </c>
      <c r="O6" s="34">
        <f t="shared" si="2"/>
        <v>4</v>
      </c>
      <c r="P6" s="49" t="s">
        <v>58</v>
      </c>
      <c r="Q6" s="49" t="s">
        <v>58</v>
      </c>
      <c r="R6" s="49" t="s">
        <v>58</v>
      </c>
      <c r="S6" s="52">
        <f t="shared" si="3"/>
        <v>2</v>
      </c>
      <c r="T6" s="52">
        <f t="shared" si="4"/>
        <v>0</v>
      </c>
      <c r="U6" s="52"/>
      <c r="V6" s="52">
        <f t="shared" si="5"/>
        <v>0</v>
      </c>
      <c r="W6" s="52">
        <f t="shared" si="6"/>
        <v>16</v>
      </c>
      <c r="X6" s="32">
        <f t="shared" ref="X6:X69" si="9">X5+1</f>
        <v>2</v>
      </c>
    </row>
    <row r="7">
      <c r="A7" s="32">
        <f t="shared" si="7"/>
        <v>3</v>
      </c>
      <c r="B7" s="33" t="s">
        <v>134</v>
      </c>
      <c r="C7" s="34">
        <v>18.0</v>
      </c>
      <c r="D7" s="34">
        <v>3.0</v>
      </c>
      <c r="E7" s="35"/>
      <c r="F7" s="95">
        <v>3.0</v>
      </c>
      <c r="G7" s="96">
        <v>0.0</v>
      </c>
      <c r="H7" s="97">
        <v>9.0</v>
      </c>
      <c r="I7" s="96">
        <v>0.0</v>
      </c>
      <c r="J7" s="96">
        <v>0.0</v>
      </c>
      <c r="K7" s="96">
        <v>0.0</v>
      </c>
      <c r="L7" s="98">
        <v>9.0</v>
      </c>
      <c r="M7" s="96">
        <v>0.0</v>
      </c>
      <c r="N7" s="34">
        <f t="shared" ref="N7:O7" si="8">C7+L7</f>
        <v>27</v>
      </c>
      <c r="O7" s="34">
        <f t="shared" si="8"/>
        <v>3</v>
      </c>
      <c r="P7" s="49" t="s">
        <v>58</v>
      </c>
      <c r="Q7" s="49" t="s">
        <v>58</v>
      </c>
      <c r="R7" s="49" t="s">
        <v>58</v>
      </c>
      <c r="S7" s="52">
        <f t="shared" si="3"/>
        <v>1</v>
      </c>
      <c r="T7" s="52">
        <f t="shared" si="4"/>
        <v>0</v>
      </c>
      <c r="U7" s="52"/>
      <c r="V7" s="52">
        <f t="shared" si="5"/>
        <v>1</v>
      </c>
      <c r="W7" s="52">
        <f t="shared" si="6"/>
        <v>9</v>
      </c>
      <c r="X7" s="32">
        <f t="shared" si="9"/>
        <v>3</v>
      </c>
    </row>
    <row r="8">
      <c r="A8" s="32">
        <f t="shared" si="7"/>
        <v>4</v>
      </c>
      <c r="B8" s="33" t="s">
        <v>105</v>
      </c>
      <c r="C8" s="34">
        <v>18.0</v>
      </c>
      <c r="D8" s="34">
        <v>3.0</v>
      </c>
      <c r="E8" s="35"/>
      <c r="F8" s="95">
        <v>2.0</v>
      </c>
      <c r="G8" s="96">
        <v>1.0</v>
      </c>
      <c r="H8" s="97">
        <v>0.0</v>
      </c>
      <c r="I8" s="96">
        <v>6.0</v>
      </c>
      <c r="J8" s="96">
        <v>6.0</v>
      </c>
      <c r="K8" s="96">
        <v>6.0</v>
      </c>
      <c r="L8" s="98">
        <v>18.0</v>
      </c>
      <c r="M8" s="96">
        <v>3.0</v>
      </c>
      <c r="N8" s="34">
        <f t="shared" ref="N8:O8" si="10">C8+L8</f>
        <v>36</v>
      </c>
      <c r="O8" s="34">
        <f t="shared" si="10"/>
        <v>6</v>
      </c>
      <c r="P8" s="49" t="s">
        <v>58</v>
      </c>
      <c r="Q8" s="49" t="s">
        <v>58</v>
      </c>
      <c r="R8" s="49" t="s">
        <v>58</v>
      </c>
      <c r="S8" s="52">
        <f t="shared" si="3"/>
        <v>2</v>
      </c>
      <c r="T8" s="52">
        <f t="shared" si="4"/>
        <v>0</v>
      </c>
      <c r="U8" s="52"/>
      <c r="V8" s="52">
        <f t="shared" si="5"/>
        <v>0</v>
      </c>
      <c r="W8" s="52">
        <f t="shared" si="6"/>
        <v>39</v>
      </c>
      <c r="X8" s="32">
        <f t="shared" si="9"/>
        <v>4</v>
      </c>
    </row>
    <row r="9">
      <c r="A9" s="32">
        <f t="shared" si="7"/>
        <v>5</v>
      </c>
      <c r="B9" s="33" t="s">
        <v>113</v>
      </c>
      <c r="C9" s="34">
        <v>18.0</v>
      </c>
      <c r="D9" s="34">
        <v>2.0</v>
      </c>
      <c r="E9" s="35"/>
      <c r="F9" s="95">
        <v>1.0</v>
      </c>
      <c r="G9" s="96">
        <v>1.0</v>
      </c>
      <c r="H9" s="97">
        <v>0.0</v>
      </c>
      <c r="I9" s="96">
        <v>6.0</v>
      </c>
      <c r="J9" s="96">
        <v>2.0</v>
      </c>
      <c r="K9" s="96">
        <v>2.0</v>
      </c>
      <c r="L9" s="98">
        <v>10.0</v>
      </c>
      <c r="M9" s="96">
        <v>1.0</v>
      </c>
      <c r="N9" s="34">
        <f t="shared" ref="N9:O9" si="11">C9+L9</f>
        <v>28</v>
      </c>
      <c r="O9" s="34">
        <f t="shared" si="11"/>
        <v>3</v>
      </c>
      <c r="P9" s="49" t="s">
        <v>58</v>
      </c>
      <c r="Q9" s="49" t="s">
        <v>58</v>
      </c>
      <c r="R9" s="49" t="s">
        <v>58</v>
      </c>
      <c r="S9" s="52">
        <f t="shared" si="3"/>
        <v>2</v>
      </c>
      <c r="T9" s="52">
        <f t="shared" si="4"/>
        <v>0</v>
      </c>
      <c r="U9" s="52"/>
      <c r="V9" s="52">
        <f t="shared" si="5"/>
        <v>0</v>
      </c>
      <c r="W9" s="52">
        <f t="shared" si="6"/>
        <v>8</v>
      </c>
      <c r="X9" s="32">
        <f t="shared" si="9"/>
        <v>5</v>
      </c>
    </row>
    <row r="10">
      <c r="A10" s="32">
        <f t="shared" si="7"/>
        <v>6</v>
      </c>
      <c r="B10" s="33" t="s">
        <v>125</v>
      </c>
      <c r="C10" s="34">
        <v>18.0</v>
      </c>
      <c r="D10" s="34">
        <v>2.0</v>
      </c>
      <c r="E10" s="35"/>
      <c r="F10" s="95">
        <v>1.0</v>
      </c>
      <c r="G10" s="96">
        <v>1.0</v>
      </c>
      <c r="H10" s="97">
        <v>0.0</v>
      </c>
      <c r="I10" s="96">
        <v>3.0</v>
      </c>
      <c r="J10" s="96">
        <v>2.0</v>
      </c>
      <c r="K10" s="96">
        <v>6.0</v>
      </c>
      <c r="L10" s="98">
        <v>11.0</v>
      </c>
      <c r="M10" s="96">
        <v>1.0</v>
      </c>
      <c r="N10" s="34">
        <f t="shared" ref="N10:O10" si="12">C10+L10</f>
        <v>29</v>
      </c>
      <c r="O10" s="34">
        <f t="shared" si="12"/>
        <v>3</v>
      </c>
      <c r="P10" s="49" t="s">
        <v>58</v>
      </c>
      <c r="Q10" s="49" t="s">
        <v>58</v>
      </c>
      <c r="R10" s="49" t="s">
        <v>58</v>
      </c>
      <c r="S10" s="52">
        <f t="shared" si="3"/>
        <v>2</v>
      </c>
      <c r="T10" s="52">
        <f t="shared" si="4"/>
        <v>0</v>
      </c>
      <c r="U10" s="52"/>
      <c r="V10" s="52">
        <f t="shared" si="5"/>
        <v>0</v>
      </c>
      <c r="W10" s="52">
        <f t="shared" si="6"/>
        <v>27</v>
      </c>
      <c r="X10" s="32">
        <f t="shared" si="9"/>
        <v>6</v>
      </c>
    </row>
    <row r="11">
      <c r="A11" s="32">
        <f t="shared" si="7"/>
        <v>7</v>
      </c>
      <c r="B11" s="33" t="s">
        <v>45</v>
      </c>
      <c r="C11" s="34">
        <v>17.0</v>
      </c>
      <c r="D11" s="34">
        <v>2.0</v>
      </c>
      <c r="E11" s="35"/>
      <c r="F11" s="95">
        <v>3.0</v>
      </c>
      <c r="G11" s="96">
        <v>0.0</v>
      </c>
      <c r="H11" s="97">
        <v>9.0</v>
      </c>
      <c r="I11" s="96">
        <v>0.0</v>
      </c>
      <c r="J11" s="96">
        <v>0.0</v>
      </c>
      <c r="K11" s="96">
        <v>0.0</v>
      </c>
      <c r="L11" s="98">
        <v>9.0</v>
      </c>
      <c r="M11" s="96">
        <v>0.0</v>
      </c>
      <c r="N11" s="34">
        <f t="shared" ref="N11:O11" si="13">C11+L11</f>
        <v>26</v>
      </c>
      <c r="O11" s="34">
        <f t="shared" si="13"/>
        <v>2</v>
      </c>
      <c r="P11" s="49" t="s">
        <v>58</v>
      </c>
      <c r="Q11" s="49" t="s">
        <v>58</v>
      </c>
      <c r="R11" s="49" t="s">
        <v>58</v>
      </c>
      <c r="S11" s="52">
        <f t="shared" si="3"/>
        <v>1</v>
      </c>
      <c r="T11" s="52">
        <f t="shared" si="4"/>
        <v>0</v>
      </c>
      <c r="U11" s="52"/>
      <c r="V11" s="52">
        <f t="shared" si="5"/>
        <v>1</v>
      </c>
      <c r="W11" s="52">
        <f t="shared" si="6"/>
        <v>54</v>
      </c>
      <c r="X11" s="32">
        <f t="shared" si="9"/>
        <v>7</v>
      </c>
    </row>
    <row r="12">
      <c r="A12" s="32">
        <f t="shared" si="7"/>
        <v>8</v>
      </c>
      <c r="B12" s="33" t="s">
        <v>138</v>
      </c>
      <c r="C12" s="34">
        <v>16.0</v>
      </c>
      <c r="D12" s="34">
        <v>2.0</v>
      </c>
      <c r="E12" s="35"/>
      <c r="F12" s="95">
        <v>3.0</v>
      </c>
      <c r="G12" s="96">
        <v>0.0</v>
      </c>
      <c r="H12" s="97">
        <v>9.0</v>
      </c>
      <c r="I12" s="96">
        <v>0.0</v>
      </c>
      <c r="J12" s="96">
        <v>0.0</v>
      </c>
      <c r="K12" s="96">
        <v>0.0</v>
      </c>
      <c r="L12" s="98">
        <v>9.0</v>
      </c>
      <c r="M12" s="96">
        <v>0.0</v>
      </c>
      <c r="N12" s="34">
        <f t="shared" ref="N12:O12" si="14">C12+L12</f>
        <v>25</v>
      </c>
      <c r="O12" s="34">
        <f t="shared" si="14"/>
        <v>2</v>
      </c>
      <c r="P12" s="49" t="s">
        <v>58</v>
      </c>
      <c r="Q12" s="49" t="s">
        <v>58</v>
      </c>
      <c r="R12" s="49" t="s">
        <v>58</v>
      </c>
      <c r="S12" s="52">
        <f t="shared" si="3"/>
        <v>1</v>
      </c>
      <c r="T12" s="52">
        <f t="shared" si="4"/>
        <v>0</v>
      </c>
      <c r="U12" s="52"/>
      <c r="V12" s="52">
        <f t="shared" si="5"/>
        <v>1</v>
      </c>
      <c r="W12" s="52">
        <f t="shared" si="6"/>
        <v>0</v>
      </c>
      <c r="X12" s="32">
        <f t="shared" si="9"/>
        <v>8</v>
      </c>
    </row>
    <row r="13">
      <c r="A13" s="32">
        <f t="shared" si="7"/>
        <v>9</v>
      </c>
      <c r="B13" s="33" t="s">
        <v>98</v>
      </c>
      <c r="C13" s="34">
        <v>15.0</v>
      </c>
      <c r="D13" s="34">
        <v>2.0</v>
      </c>
      <c r="E13" s="35"/>
      <c r="F13" s="95">
        <v>1.0</v>
      </c>
      <c r="G13" s="96">
        <v>2.0</v>
      </c>
      <c r="H13" s="97">
        <v>0.0</v>
      </c>
      <c r="I13" s="96">
        <v>6.0</v>
      </c>
      <c r="J13" s="96">
        <v>4.0</v>
      </c>
      <c r="K13" s="96">
        <v>6.0</v>
      </c>
      <c r="L13" s="98">
        <v>16.0</v>
      </c>
      <c r="M13" s="96">
        <v>2.0</v>
      </c>
      <c r="N13" s="34">
        <f t="shared" ref="N13:O13" si="15">C13+L13</f>
        <v>31</v>
      </c>
      <c r="O13" s="34">
        <f t="shared" si="15"/>
        <v>4</v>
      </c>
      <c r="P13" s="49" t="s">
        <v>58</v>
      </c>
      <c r="Q13" s="49" t="s">
        <v>58</v>
      </c>
      <c r="R13" s="49" t="s">
        <v>58</v>
      </c>
      <c r="S13" s="52">
        <f t="shared" si="3"/>
        <v>2</v>
      </c>
      <c r="T13" s="52">
        <f t="shared" si="4"/>
        <v>0</v>
      </c>
      <c r="U13" s="52"/>
      <c r="V13" s="52">
        <f t="shared" si="5"/>
        <v>0</v>
      </c>
      <c r="W13" s="52">
        <f t="shared" si="6"/>
        <v>18</v>
      </c>
      <c r="X13" s="32">
        <f t="shared" si="9"/>
        <v>9</v>
      </c>
    </row>
    <row r="14">
      <c r="A14" s="32">
        <f t="shared" si="7"/>
        <v>10</v>
      </c>
      <c r="B14" s="33" t="s">
        <v>103</v>
      </c>
      <c r="C14" s="34">
        <v>15.0</v>
      </c>
      <c r="D14" s="34">
        <v>2.0</v>
      </c>
      <c r="E14" s="35"/>
      <c r="F14" s="95">
        <v>2.0</v>
      </c>
      <c r="G14" s="96">
        <v>2.0</v>
      </c>
      <c r="H14" s="97">
        <v>0.0</v>
      </c>
      <c r="I14" s="96">
        <v>1.0</v>
      </c>
      <c r="J14" s="96">
        <v>6.0</v>
      </c>
      <c r="K14" s="96">
        <v>6.0</v>
      </c>
      <c r="L14" s="98">
        <v>13.0</v>
      </c>
      <c r="M14" s="96">
        <v>2.0</v>
      </c>
      <c r="N14" s="34">
        <f t="shared" ref="N14:O14" si="16">C14+L14</f>
        <v>28</v>
      </c>
      <c r="O14" s="34">
        <f t="shared" si="16"/>
        <v>4</v>
      </c>
      <c r="P14" s="49" t="s">
        <v>58</v>
      </c>
      <c r="Q14" s="49" t="s">
        <v>58</v>
      </c>
      <c r="R14" s="49" t="s">
        <v>58</v>
      </c>
      <c r="S14" s="52">
        <f t="shared" si="3"/>
        <v>2</v>
      </c>
      <c r="T14" s="52">
        <f t="shared" si="4"/>
        <v>0</v>
      </c>
      <c r="U14" s="52"/>
      <c r="V14" s="52">
        <f t="shared" si="5"/>
        <v>0</v>
      </c>
      <c r="W14" s="52">
        <f t="shared" si="6"/>
        <v>24</v>
      </c>
      <c r="X14" s="32">
        <f t="shared" si="9"/>
        <v>10</v>
      </c>
    </row>
    <row r="15">
      <c r="A15" s="32">
        <f t="shared" si="7"/>
        <v>11</v>
      </c>
      <c r="B15" s="33" t="s">
        <v>97</v>
      </c>
      <c r="C15" s="34">
        <v>15.0</v>
      </c>
      <c r="D15" s="34">
        <v>2.0</v>
      </c>
      <c r="E15" s="35"/>
      <c r="F15" s="95">
        <v>1.0</v>
      </c>
      <c r="G15" s="96">
        <v>2.0</v>
      </c>
      <c r="H15" s="97">
        <v>0.0</v>
      </c>
      <c r="I15" s="96">
        <v>1.0</v>
      </c>
      <c r="J15" s="96">
        <v>4.0</v>
      </c>
      <c r="K15" s="96">
        <v>3.0</v>
      </c>
      <c r="L15" s="98">
        <v>8.0</v>
      </c>
      <c r="M15" s="96">
        <v>0.0</v>
      </c>
      <c r="N15" s="34">
        <f t="shared" ref="N15:O15" si="17">C15+L15</f>
        <v>23</v>
      </c>
      <c r="O15" s="34">
        <f t="shared" si="17"/>
        <v>2</v>
      </c>
      <c r="P15" s="49" t="s">
        <v>58</v>
      </c>
      <c r="Q15" s="49" t="s">
        <v>58</v>
      </c>
      <c r="R15" s="49" t="s">
        <v>58</v>
      </c>
      <c r="S15" s="52">
        <f t="shared" si="3"/>
        <v>2</v>
      </c>
      <c r="T15" s="52">
        <f t="shared" si="4"/>
        <v>0</v>
      </c>
      <c r="U15" s="52"/>
      <c r="V15" s="52">
        <f t="shared" si="5"/>
        <v>0</v>
      </c>
      <c r="W15" s="52">
        <f t="shared" si="6"/>
        <v>41</v>
      </c>
      <c r="X15" s="32">
        <f t="shared" si="9"/>
        <v>11</v>
      </c>
    </row>
    <row r="16">
      <c r="A16" s="32">
        <f t="shared" si="7"/>
        <v>12</v>
      </c>
      <c r="B16" s="33" t="s">
        <v>91</v>
      </c>
      <c r="C16" s="34">
        <v>15.0</v>
      </c>
      <c r="D16" s="34">
        <v>2.0</v>
      </c>
      <c r="E16" s="35"/>
      <c r="F16" s="95">
        <v>1.0</v>
      </c>
      <c r="G16" s="96">
        <v>2.0</v>
      </c>
      <c r="H16" s="97">
        <v>0.0</v>
      </c>
      <c r="I16" s="96">
        <v>6.0</v>
      </c>
      <c r="J16" s="96">
        <v>6.0</v>
      </c>
      <c r="K16" s="96">
        <v>3.0</v>
      </c>
      <c r="L16" s="98">
        <v>15.0</v>
      </c>
      <c r="M16" s="96">
        <v>2.0</v>
      </c>
      <c r="N16" s="34">
        <f t="shared" ref="N16:O16" si="18">C16+L16</f>
        <v>30</v>
      </c>
      <c r="O16" s="34">
        <f t="shared" si="18"/>
        <v>4</v>
      </c>
      <c r="P16" s="49" t="s">
        <v>58</v>
      </c>
      <c r="Q16" s="49" t="s">
        <v>58</v>
      </c>
      <c r="R16" s="49" t="s">
        <v>58</v>
      </c>
      <c r="S16" s="52">
        <f t="shared" si="3"/>
        <v>2</v>
      </c>
      <c r="T16" s="52">
        <f t="shared" si="4"/>
        <v>0</v>
      </c>
      <c r="U16" s="52"/>
      <c r="V16" s="52">
        <f t="shared" si="5"/>
        <v>0</v>
      </c>
      <c r="W16" s="52">
        <f t="shared" si="6"/>
        <v>41</v>
      </c>
      <c r="X16" s="32">
        <f t="shared" si="9"/>
        <v>12</v>
      </c>
    </row>
    <row r="17">
      <c r="A17" s="32">
        <f t="shared" si="7"/>
        <v>13</v>
      </c>
      <c r="B17" s="33" t="s">
        <v>93</v>
      </c>
      <c r="C17" s="34">
        <v>15.0</v>
      </c>
      <c r="D17" s="34">
        <v>2.0</v>
      </c>
      <c r="E17" s="35"/>
      <c r="F17" s="95">
        <v>3.0</v>
      </c>
      <c r="G17" s="96">
        <v>0.0</v>
      </c>
      <c r="H17" s="97">
        <v>9.0</v>
      </c>
      <c r="I17" s="96">
        <v>0.0</v>
      </c>
      <c r="J17" s="96">
        <v>0.0</v>
      </c>
      <c r="K17" s="96">
        <v>0.0</v>
      </c>
      <c r="L17" s="98">
        <v>9.0</v>
      </c>
      <c r="M17" s="96">
        <v>0.0</v>
      </c>
      <c r="N17" s="34">
        <f t="shared" ref="N17:O17" si="19">C17+L17</f>
        <v>24</v>
      </c>
      <c r="O17" s="34">
        <f t="shared" si="19"/>
        <v>2</v>
      </c>
      <c r="P17" s="49" t="s">
        <v>58</v>
      </c>
      <c r="Q17" s="49" t="s">
        <v>58</v>
      </c>
      <c r="R17" s="49" t="s">
        <v>58</v>
      </c>
      <c r="S17" s="52">
        <f t="shared" si="3"/>
        <v>1</v>
      </c>
      <c r="T17" s="52">
        <f t="shared" si="4"/>
        <v>0</v>
      </c>
      <c r="U17" s="52"/>
      <c r="V17" s="52">
        <f t="shared" si="5"/>
        <v>1</v>
      </c>
      <c r="W17" s="52">
        <f t="shared" si="6"/>
        <v>41</v>
      </c>
      <c r="X17" s="32">
        <f t="shared" si="9"/>
        <v>13</v>
      </c>
    </row>
    <row r="18">
      <c r="A18" s="32">
        <f t="shared" si="7"/>
        <v>14</v>
      </c>
      <c r="B18" s="33" t="s">
        <v>137</v>
      </c>
      <c r="C18" s="34">
        <v>15.0</v>
      </c>
      <c r="D18" s="34">
        <v>2.0</v>
      </c>
      <c r="E18" s="35"/>
      <c r="F18" s="95">
        <v>1.0</v>
      </c>
      <c r="G18" s="96">
        <v>3.0</v>
      </c>
      <c r="H18" s="97">
        <v>0.0</v>
      </c>
      <c r="I18" s="96">
        <v>6.0</v>
      </c>
      <c r="J18" s="96">
        <v>5.0</v>
      </c>
      <c r="K18" s="96">
        <v>1.0</v>
      </c>
      <c r="L18" s="98">
        <v>12.0</v>
      </c>
      <c r="M18" s="96">
        <v>0.0</v>
      </c>
      <c r="N18" s="34">
        <f t="shared" ref="N18:O18" si="20">C18+L18</f>
        <v>27</v>
      </c>
      <c r="O18" s="34">
        <f t="shared" si="20"/>
        <v>2</v>
      </c>
      <c r="P18" s="49" t="s">
        <v>58</v>
      </c>
      <c r="Q18" s="49" t="s">
        <v>58</v>
      </c>
      <c r="R18" s="49" t="s">
        <v>58</v>
      </c>
      <c r="S18" s="52">
        <f t="shared" si="3"/>
        <v>2</v>
      </c>
      <c r="T18" s="52">
        <f t="shared" si="4"/>
        <v>0</v>
      </c>
      <c r="U18" s="52"/>
      <c r="V18" s="52">
        <f t="shared" si="5"/>
        <v>0</v>
      </c>
      <c r="W18" s="52">
        <f t="shared" si="6"/>
        <v>49</v>
      </c>
      <c r="X18" s="32">
        <f t="shared" si="9"/>
        <v>14</v>
      </c>
    </row>
    <row r="19">
      <c r="A19" s="32">
        <f t="shared" si="7"/>
        <v>15</v>
      </c>
      <c r="B19" s="33" t="s">
        <v>94</v>
      </c>
      <c r="C19" s="34">
        <v>15.0</v>
      </c>
      <c r="D19" s="34">
        <v>1.0</v>
      </c>
      <c r="E19" s="35"/>
      <c r="F19" s="95">
        <v>1.0</v>
      </c>
      <c r="G19" s="96">
        <v>3.0</v>
      </c>
      <c r="H19" s="97">
        <v>0.0</v>
      </c>
      <c r="I19" s="96">
        <v>6.0</v>
      </c>
      <c r="J19" s="96">
        <v>7.0</v>
      </c>
      <c r="K19" s="96">
        <v>6.0</v>
      </c>
      <c r="L19" s="98">
        <v>19.0</v>
      </c>
      <c r="M19" s="96">
        <v>2.0</v>
      </c>
      <c r="N19" s="34">
        <f t="shared" ref="N19:O19" si="21">C19+L19</f>
        <v>34</v>
      </c>
      <c r="O19" s="34">
        <f t="shared" si="21"/>
        <v>3</v>
      </c>
      <c r="P19" s="49" t="s">
        <v>58</v>
      </c>
      <c r="Q19" s="49" t="s">
        <v>58</v>
      </c>
      <c r="R19" s="49" t="s">
        <v>58</v>
      </c>
      <c r="S19" s="52">
        <f t="shared" si="3"/>
        <v>2</v>
      </c>
      <c r="T19" s="52">
        <f t="shared" si="4"/>
        <v>0</v>
      </c>
      <c r="U19" s="52"/>
      <c r="V19" s="52">
        <f t="shared" si="5"/>
        <v>0</v>
      </c>
      <c r="W19" s="52">
        <f t="shared" si="6"/>
        <v>2</v>
      </c>
      <c r="X19" s="32">
        <f t="shared" si="9"/>
        <v>15</v>
      </c>
    </row>
    <row r="20">
      <c r="A20" s="32">
        <f t="shared" si="7"/>
        <v>16</v>
      </c>
      <c r="B20" s="33" t="s">
        <v>100</v>
      </c>
      <c r="C20" s="34">
        <v>14.0</v>
      </c>
      <c r="D20" s="34">
        <v>2.0</v>
      </c>
      <c r="E20" s="35"/>
      <c r="F20" s="95">
        <v>2.0</v>
      </c>
      <c r="G20" s="96">
        <v>3.0</v>
      </c>
      <c r="H20" s="97">
        <v>0.0</v>
      </c>
      <c r="I20" s="96">
        <v>7.0</v>
      </c>
      <c r="J20" s="96">
        <v>7.0</v>
      </c>
      <c r="K20" s="96">
        <v>1.0</v>
      </c>
      <c r="L20" s="98">
        <v>15.0</v>
      </c>
      <c r="M20" s="96">
        <v>2.0</v>
      </c>
      <c r="N20" s="34">
        <f t="shared" ref="N20:O20" si="22">C20+L20</f>
        <v>29</v>
      </c>
      <c r="O20" s="34">
        <f t="shared" si="22"/>
        <v>4</v>
      </c>
      <c r="P20" s="49" t="s">
        <v>58</v>
      </c>
      <c r="Q20" s="49" t="s">
        <v>58</v>
      </c>
      <c r="R20" s="49" t="s">
        <v>58</v>
      </c>
      <c r="S20" s="52">
        <f t="shared" si="3"/>
        <v>2</v>
      </c>
      <c r="T20" s="52">
        <f t="shared" si="4"/>
        <v>0</v>
      </c>
      <c r="U20" s="52"/>
      <c r="V20" s="52">
        <f t="shared" si="5"/>
        <v>0</v>
      </c>
      <c r="W20" s="52">
        <f t="shared" si="6"/>
        <v>-1</v>
      </c>
      <c r="X20" s="32">
        <f t="shared" si="9"/>
        <v>16</v>
      </c>
    </row>
    <row r="21">
      <c r="A21" s="32">
        <f t="shared" si="7"/>
        <v>17</v>
      </c>
      <c r="B21" s="33" t="s">
        <v>110</v>
      </c>
      <c r="C21" s="34">
        <v>14.0</v>
      </c>
      <c r="D21" s="34">
        <v>2.0</v>
      </c>
      <c r="E21" s="35"/>
      <c r="F21" s="95">
        <v>1.0</v>
      </c>
      <c r="G21" s="96">
        <v>3.0</v>
      </c>
      <c r="H21" s="97">
        <v>0.0</v>
      </c>
      <c r="I21" s="96">
        <v>7.0</v>
      </c>
      <c r="J21" s="96">
        <v>5.0</v>
      </c>
      <c r="K21" s="96">
        <v>6.0</v>
      </c>
      <c r="L21" s="98">
        <v>18.0</v>
      </c>
      <c r="M21" s="96">
        <v>2.0</v>
      </c>
      <c r="N21" s="34">
        <f t="shared" ref="N21:O21" si="23">C21+L21</f>
        <v>32</v>
      </c>
      <c r="O21" s="34">
        <f t="shared" si="23"/>
        <v>4</v>
      </c>
      <c r="P21" s="49" t="s">
        <v>58</v>
      </c>
      <c r="Q21" s="49" t="s">
        <v>58</v>
      </c>
      <c r="R21" s="49" t="s">
        <v>58</v>
      </c>
      <c r="S21" s="52">
        <f t="shared" si="3"/>
        <v>2</v>
      </c>
      <c r="T21" s="52">
        <f t="shared" si="4"/>
        <v>0</v>
      </c>
      <c r="U21" s="52"/>
      <c r="V21" s="52">
        <f t="shared" si="5"/>
        <v>0</v>
      </c>
      <c r="W21" s="52">
        <f t="shared" si="6"/>
        <v>47</v>
      </c>
      <c r="X21" s="32">
        <f t="shared" si="9"/>
        <v>17</v>
      </c>
    </row>
    <row r="22">
      <c r="A22" s="32">
        <f t="shared" si="7"/>
        <v>18</v>
      </c>
      <c r="B22" s="33" t="s">
        <v>145</v>
      </c>
      <c r="C22" s="34">
        <v>14.0</v>
      </c>
      <c r="D22" s="34">
        <v>1.0</v>
      </c>
      <c r="E22" s="35"/>
      <c r="F22" s="95">
        <v>1.0</v>
      </c>
      <c r="G22" s="96">
        <v>9.0</v>
      </c>
      <c r="H22" s="97">
        <v>0.0</v>
      </c>
      <c r="I22" s="96">
        <v>1.0</v>
      </c>
      <c r="J22" s="96">
        <v>6.0</v>
      </c>
      <c r="K22" s="96">
        <v>0.0</v>
      </c>
      <c r="L22" s="98">
        <v>7.0</v>
      </c>
      <c r="M22" s="96">
        <v>1.0</v>
      </c>
      <c r="N22" s="34">
        <f t="shared" ref="N22:O22" si="24">C22+L22</f>
        <v>21</v>
      </c>
      <c r="O22" s="34">
        <f t="shared" si="24"/>
        <v>2</v>
      </c>
      <c r="P22" s="49" t="s">
        <v>58</v>
      </c>
      <c r="Q22" s="49" t="s">
        <v>58</v>
      </c>
      <c r="R22" s="49" t="s">
        <v>58</v>
      </c>
      <c r="S22" s="52">
        <f t="shared" si="3"/>
        <v>2</v>
      </c>
      <c r="T22" s="52">
        <f t="shared" si="4"/>
        <v>0</v>
      </c>
      <c r="U22" s="52"/>
      <c r="V22" s="52">
        <f t="shared" si="5"/>
        <v>0</v>
      </c>
      <c r="W22" s="52">
        <f t="shared" si="6"/>
        <v>2</v>
      </c>
      <c r="X22" s="32">
        <f t="shared" si="9"/>
        <v>18</v>
      </c>
    </row>
    <row r="23">
      <c r="A23" s="32">
        <f t="shared" si="7"/>
        <v>19</v>
      </c>
      <c r="B23" s="33" t="s">
        <v>143</v>
      </c>
      <c r="C23" s="34">
        <v>14.0</v>
      </c>
      <c r="D23" s="34">
        <v>1.0</v>
      </c>
      <c r="E23" s="35"/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5">C23+L23</f>
        <v>23</v>
      </c>
      <c r="O23" s="34">
        <f t="shared" si="25"/>
        <v>1</v>
      </c>
      <c r="P23" s="49" t="s">
        <v>58</v>
      </c>
      <c r="Q23" s="49" t="s">
        <v>58</v>
      </c>
      <c r="R23" s="49" t="s">
        <v>58</v>
      </c>
      <c r="S23" s="52">
        <f t="shared" si="3"/>
        <v>1</v>
      </c>
      <c r="T23" s="52">
        <f t="shared" si="4"/>
        <v>0</v>
      </c>
      <c r="U23" s="52"/>
      <c r="V23" s="52">
        <f t="shared" si="5"/>
        <v>1</v>
      </c>
      <c r="W23" s="52">
        <f t="shared" si="6"/>
        <v>28</v>
      </c>
      <c r="X23" s="32">
        <f t="shared" si="9"/>
        <v>19</v>
      </c>
    </row>
    <row r="24">
      <c r="A24" s="32">
        <f t="shared" si="7"/>
        <v>20</v>
      </c>
      <c r="B24" s="33" t="s">
        <v>90</v>
      </c>
      <c r="C24" s="34">
        <v>13.0</v>
      </c>
      <c r="D24" s="34">
        <v>2.0</v>
      </c>
      <c r="E24" s="35"/>
      <c r="F24" s="95">
        <v>1.0</v>
      </c>
      <c r="G24" s="96">
        <v>9.0</v>
      </c>
      <c r="H24" s="97">
        <v>0.0</v>
      </c>
      <c r="I24" s="96">
        <v>6.0</v>
      </c>
      <c r="J24" s="96">
        <v>6.0</v>
      </c>
      <c r="K24" s="96">
        <v>6.0</v>
      </c>
      <c r="L24" s="98">
        <v>18.0</v>
      </c>
      <c r="M24" s="96">
        <v>3.0</v>
      </c>
      <c r="N24" s="34">
        <f t="shared" ref="N24:O24" si="26">C24+L24</f>
        <v>31</v>
      </c>
      <c r="O24" s="34">
        <f t="shared" si="26"/>
        <v>5</v>
      </c>
      <c r="P24" s="49" t="s">
        <v>58</v>
      </c>
      <c r="Q24" s="49" t="s">
        <v>58</v>
      </c>
      <c r="R24" s="49" t="s">
        <v>58</v>
      </c>
      <c r="S24" s="52">
        <f t="shared" si="3"/>
        <v>2</v>
      </c>
      <c r="T24" s="52">
        <f t="shared" si="4"/>
        <v>0</v>
      </c>
      <c r="U24" s="52"/>
      <c r="V24" s="52">
        <f t="shared" si="5"/>
        <v>0</v>
      </c>
      <c r="W24" s="52">
        <f t="shared" si="6"/>
        <v>30</v>
      </c>
      <c r="X24" s="32">
        <f t="shared" si="9"/>
        <v>20</v>
      </c>
    </row>
    <row r="25">
      <c r="A25" s="32">
        <f t="shared" si="7"/>
        <v>21</v>
      </c>
      <c r="B25" s="33" t="s">
        <v>83</v>
      </c>
      <c r="C25" s="34">
        <v>13.0</v>
      </c>
      <c r="D25" s="34">
        <v>2.0</v>
      </c>
      <c r="E25" s="35"/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27">C25+L25</f>
        <v>22</v>
      </c>
      <c r="O25" s="34">
        <f t="shared" si="27"/>
        <v>2</v>
      </c>
      <c r="P25" s="49" t="s">
        <v>58</v>
      </c>
      <c r="Q25" s="49" t="s">
        <v>58</v>
      </c>
      <c r="R25" s="49" t="s">
        <v>58</v>
      </c>
      <c r="S25" s="52">
        <f t="shared" si="3"/>
        <v>1</v>
      </c>
      <c r="T25" s="52">
        <f t="shared" si="4"/>
        <v>0</v>
      </c>
      <c r="U25" s="52"/>
      <c r="V25" s="52">
        <f t="shared" si="5"/>
        <v>1</v>
      </c>
      <c r="W25" s="52">
        <f t="shared" si="6"/>
        <v>35</v>
      </c>
      <c r="X25" s="32">
        <f t="shared" si="9"/>
        <v>21</v>
      </c>
    </row>
    <row r="26">
      <c r="A26" s="32">
        <f t="shared" si="7"/>
        <v>22</v>
      </c>
      <c r="B26" s="33" t="s">
        <v>54</v>
      </c>
      <c r="C26" s="34">
        <v>13.0</v>
      </c>
      <c r="D26" s="34">
        <v>1.0</v>
      </c>
      <c r="E26" s="35"/>
      <c r="F26" s="95">
        <v>1.0</v>
      </c>
      <c r="G26" s="96">
        <v>9.0</v>
      </c>
      <c r="H26" s="97">
        <v>0.0</v>
      </c>
      <c r="I26" s="96">
        <v>1.0</v>
      </c>
      <c r="J26" s="96">
        <v>1.0</v>
      </c>
      <c r="K26" s="96">
        <v>6.0</v>
      </c>
      <c r="L26" s="98">
        <v>8.0</v>
      </c>
      <c r="M26" s="96">
        <v>1.0</v>
      </c>
      <c r="N26" s="34">
        <f t="shared" ref="N26:O26" si="28">C26+L26</f>
        <v>21</v>
      </c>
      <c r="O26" s="34">
        <f t="shared" si="28"/>
        <v>2</v>
      </c>
      <c r="P26" s="49" t="s">
        <v>58</v>
      </c>
      <c r="Q26" s="49" t="s">
        <v>58</v>
      </c>
      <c r="R26" s="49" t="s">
        <v>58</v>
      </c>
      <c r="S26" s="52">
        <f t="shared" si="3"/>
        <v>2</v>
      </c>
      <c r="T26" s="52">
        <f t="shared" si="4"/>
        <v>0</v>
      </c>
      <c r="U26" s="52"/>
      <c r="V26" s="52">
        <f t="shared" si="5"/>
        <v>0</v>
      </c>
      <c r="W26" s="52">
        <f t="shared" si="6"/>
        <v>-19</v>
      </c>
      <c r="X26" s="32">
        <f t="shared" si="9"/>
        <v>22</v>
      </c>
    </row>
    <row r="27">
      <c r="A27" s="32">
        <f t="shared" si="7"/>
        <v>23</v>
      </c>
      <c r="B27" s="33" t="s">
        <v>111</v>
      </c>
      <c r="C27" s="34">
        <v>13.0</v>
      </c>
      <c r="D27" s="34">
        <v>1.0</v>
      </c>
      <c r="E27" s="35"/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29">C27+L27</f>
        <v>22</v>
      </c>
      <c r="O27" s="34">
        <f t="shared" si="29"/>
        <v>1</v>
      </c>
      <c r="P27" s="49" t="s">
        <v>58</v>
      </c>
      <c r="Q27" s="49" t="s">
        <v>58</v>
      </c>
      <c r="R27" s="49" t="s">
        <v>58</v>
      </c>
      <c r="S27" s="52">
        <f t="shared" si="3"/>
        <v>1</v>
      </c>
      <c r="T27" s="52">
        <f t="shared" si="4"/>
        <v>0</v>
      </c>
      <c r="U27" s="52"/>
      <c r="V27" s="52">
        <f t="shared" si="5"/>
        <v>1</v>
      </c>
      <c r="W27" s="52">
        <f t="shared" si="6"/>
        <v>-19</v>
      </c>
      <c r="X27" s="32">
        <f t="shared" si="9"/>
        <v>23</v>
      </c>
    </row>
    <row r="28">
      <c r="A28" s="32">
        <f t="shared" si="7"/>
        <v>24</v>
      </c>
      <c r="B28" s="33" t="s">
        <v>50</v>
      </c>
      <c r="C28" s="34">
        <v>13.0</v>
      </c>
      <c r="D28" s="34">
        <v>1.0</v>
      </c>
      <c r="E28" s="35"/>
      <c r="F28" s="95">
        <v>2.0</v>
      </c>
      <c r="G28" s="96">
        <v>9.0</v>
      </c>
      <c r="H28" s="97">
        <v>0.0</v>
      </c>
      <c r="I28" s="96">
        <v>6.0</v>
      </c>
      <c r="J28" s="96">
        <v>1.0</v>
      </c>
      <c r="K28" s="96">
        <v>0.0</v>
      </c>
      <c r="L28" s="98">
        <v>7.0</v>
      </c>
      <c r="M28" s="96">
        <v>1.0</v>
      </c>
      <c r="N28" s="34">
        <f t="shared" ref="N28:O28" si="30">C28+L28</f>
        <v>20</v>
      </c>
      <c r="O28" s="34">
        <f t="shared" si="30"/>
        <v>2</v>
      </c>
      <c r="P28" s="49" t="s">
        <v>58</v>
      </c>
      <c r="Q28" s="49" t="s">
        <v>58</v>
      </c>
      <c r="R28" s="49" t="s">
        <v>58</v>
      </c>
      <c r="S28" s="52">
        <f t="shared" si="3"/>
        <v>2</v>
      </c>
      <c r="T28" s="52">
        <f t="shared" si="4"/>
        <v>0</v>
      </c>
      <c r="U28" s="52"/>
      <c r="V28" s="52">
        <f t="shared" si="5"/>
        <v>0</v>
      </c>
      <c r="W28" s="52">
        <f t="shared" si="6"/>
        <v>-13</v>
      </c>
      <c r="X28" s="32">
        <f t="shared" si="9"/>
        <v>24</v>
      </c>
    </row>
    <row r="29">
      <c r="A29" s="32">
        <f t="shared" si="7"/>
        <v>25</v>
      </c>
      <c r="B29" s="33" t="s">
        <v>133</v>
      </c>
      <c r="C29" s="34">
        <v>13.0</v>
      </c>
      <c r="D29" s="34">
        <v>1.0</v>
      </c>
      <c r="E29" s="35"/>
      <c r="F29" s="95">
        <v>1.0</v>
      </c>
      <c r="G29" s="96">
        <v>4.0</v>
      </c>
      <c r="H29" s="97">
        <v>0.0</v>
      </c>
      <c r="I29" s="96">
        <v>6.0</v>
      </c>
      <c r="J29" s="96">
        <v>0.0</v>
      </c>
      <c r="K29" s="96">
        <v>3.0</v>
      </c>
      <c r="L29" s="98">
        <v>9.0</v>
      </c>
      <c r="M29" s="96">
        <v>1.0</v>
      </c>
      <c r="N29" s="34">
        <f t="shared" ref="N29:O29" si="31">C29+L29</f>
        <v>22</v>
      </c>
      <c r="O29" s="34">
        <f t="shared" si="31"/>
        <v>2</v>
      </c>
      <c r="P29" s="49" t="s">
        <v>58</v>
      </c>
      <c r="Q29" s="49" t="s">
        <v>58</v>
      </c>
      <c r="R29" s="49" t="s">
        <v>58</v>
      </c>
      <c r="S29" s="52">
        <f t="shared" si="3"/>
        <v>2</v>
      </c>
      <c r="T29" s="52">
        <f t="shared" si="4"/>
        <v>0</v>
      </c>
      <c r="U29" s="52"/>
      <c r="V29" s="52">
        <f t="shared" si="5"/>
        <v>0</v>
      </c>
      <c r="W29" s="52">
        <f t="shared" si="6"/>
        <v>-3</v>
      </c>
      <c r="X29" s="32">
        <f t="shared" si="9"/>
        <v>25</v>
      </c>
    </row>
    <row r="30">
      <c r="A30" s="32">
        <f t="shared" si="7"/>
        <v>26</v>
      </c>
      <c r="B30" s="33" t="s">
        <v>107</v>
      </c>
      <c r="C30" s="34">
        <v>13.0</v>
      </c>
      <c r="D30" s="34">
        <v>1.0</v>
      </c>
      <c r="E30" s="35"/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2">C30+L30</f>
        <v>22</v>
      </c>
      <c r="O30" s="34">
        <f t="shared" si="32"/>
        <v>1</v>
      </c>
      <c r="P30" s="49" t="s">
        <v>58</v>
      </c>
      <c r="Q30" s="49" t="s">
        <v>58</v>
      </c>
      <c r="R30" s="49" t="s">
        <v>58</v>
      </c>
      <c r="S30" s="52">
        <f t="shared" si="3"/>
        <v>1</v>
      </c>
      <c r="T30" s="52">
        <f t="shared" si="4"/>
        <v>0</v>
      </c>
      <c r="U30" s="52"/>
      <c r="V30" s="52">
        <f t="shared" si="5"/>
        <v>1</v>
      </c>
      <c r="W30" s="52">
        <f t="shared" si="6"/>
        <v>32</v>
      </c>
      <c r="X30" s="32">
        <f t="shared" si="9"/>
        <v>26</v>
      </c>
    </row>
    <row r="31">
      <c r="A31" s="32">
        <f t="shared" si="7"/>
        <v>27</v>
      </c>
      <c r="B31" s="33" t="s">
        <v>142</v>
      </c>
      <c r="C31" s="34">
        <v>12.0</v>
      </c>
      <c r="D31" s="34">
        <v>2.0</v>
      </c>
      <c r="E31" s="35"/>
      <c r="F31" s="95">
        <v>1.0</v>
      </c>
      <c r="G31" s="96">
        <v>4.0</v>
      </c>
      <c r="H31" s="97">
        <v>0.0</v>
      </c>
      <c r="I31" s="96">
        <v>2.0</v>
      </c>
      <c r="J31" s="96">
        <v>0.0</v>
      </c>
      <c r="K31" s="96">
        <v>6.0</v>
      </c>
      <c r="L31" s="98">
        <v>8.0</v>
      </c>
      <c r="M31" s="96">
        <v>1.0</v>
      </c>
      <c r="N31" s="34">
        <f t="shared" ref="N31:O31" si="33">C31+L31</f>
        <v>20</v>
      </c>
      <c r="O31" s="34">
        <f t="shared" si="33"/>
        <v>3</v>
      </c>
      <c r="P31" s="49" t="s">
        <v>58</v>
      </c>
      <c r="Q31" s="49" t="s">
        <v>58</v>
      </c>
      <c r="R31" s="49" t="s">
        <v>58</v>
      </c>
      <c r="S31" s="52">
        <f t="shared" si="3"/>
        <v>2</v>
      </c>
      <c r="T31" s="52">
        <f t="shared" si="4"/>
        <v>0</v>
      </c>
      <c r="U31" s="52"/>
      <c r="V31" s="52">
        <f t="shared" si="5"/>
        <v>0</v>
      </c>
      <c r="W31" s="52">
        <f t="shared" si="6"/>
        <v>13</v>
      </c>
      <c r="X31" s="32">
        <f t="shared" si="9"/>
        <v>27</v>
      </c>
    </row>
    <row r="32">
      <c r="A32" s="32">
        <f t="shared" si="7"/>
        <v>28</v>
      </c>
      <c r="B32" s="33" t="s">
        <v>89</v>
      </c>
      <c r="C32" s="34">
        <v>12.0</v>
      </c>
      <c r="D32" s="34">
        <v>1.0</v>
      </c>
      <c r="E32" s="35"/>
      <c r="F32" s="95">
        <v>1.0</v>
      </c>
      <c r="G32" s="96">
        <v>4.0</v>
      </c>
      <c r="H32" s="97">
        <v>0.0</v>
      </c>
      <c r="I32" s="96">
        <v>6.0</v>
      </c>
      <c r="J32" s="96">
        <v>6.0</v>
      </c>
      <c r="K32" s="96">
        <v>6.0</v>
      </c>
      <c r="L32" s="98">
        <v>18.0</v>
      </c>
      <c r="M32" s="96">
        <v>3.0</v>
      </c>
      <c r="N32" s="34">
        <f t="shared" ref="N32:O32" si="34">C32+L32</f>
        <v>30</v>
      </c>
      <c r="O32" s="34">
        <f t="shared" si="34"/>
        <v>4</v>
      </c>
      <c r="P32" s="49" t="s">
        <v>58</v>
      </c>
      <c r="Q32" s="49" t="s">
        <v>58</v>
      </c>
      <c r="R32" s="49" t="s">
        <v>58</v>
      </c>
      <c r="S32" s="52">
        <f t="shared" si="3"/>
        <v>2</v>
      </c>
      <c r="T32" s="52">
        <f t="shared" si="4"/>
        <v>0</v>
      </c>
      <c r="U32" s="52"/>
      <c r="V32" s="52">
        <f t="shared" si="5"/>
        <v>0</v>
      </c>
      <c r="W32" s="52">
        <f t="shared" si="6"/>
        <v>3</v>
      </c>
      <c r="X32" s="32">
        <f t="shared" si="9"/>
        <v>28</v>
      </c>
    </row>
    <row r="33">
      <c r="A33" s="32">
        <f t="shared" si="7"/>
        <v>29</v>
      </c>
      <c r="B33" s="33" t="s">
        <v>60</v>
      </c>
      <c r="C33" s="34">
        <v>11.0</v>
      </c>
      <c r="D33" s="34">
        <v>1.0</v>
      </c>
      <c r="E33" s="35"/>
      <c r="F33" s="95">
        <v>1.0</v>
      </c>
      <c r="G33" s="96">
        <v>4.0</v>
      </c>
      <c r="H33" s="97">
        <v>0.0</v>
      </c>
      <c r="I33" s="96">
        <v>2.0</v>
      </c>
      <c r="J33" s="96">
        <v>6.0</v>
      </c>
      <c r="K33" s="96">
        <v>3.0</v>
      </c>
      <c r="L33" s="98">
        <v>11.0</v>
      </c>
      <c r="M33" s="96">
        <v>1.0</v>
      </c>
      <c r="N33" s="34">
        <f t="shared" ref="N33:O33" si="35">C33+L33</f>
        <v>22</v>
      </c>
      <c r="O33" s="34">
        <f t="shared" si="35"/>
        <v>2</v>
      </c>
      <c r="P33" s="49" t="s">
        <v>58</v>
      </c>
      <c r="Q33" s="49" t="s">
        <v>58</v>
      </c>
      <c r="R33" s="49" t="s">
        <v>58</v>
      </c>
      <c r="S33" s="52">
        <f t="shared" si="3"/>
        <v>2</v>
      </c>
      <c r="T33" s="52">
        <f t="shared" si="4"/>
        <v>0</v>
      </c>
      <c r="U33" s="52"/>
      <c r="V33" s="52">
        <f t="shared" si="5"/>
        <v>0</v>
      </c>
      <c r="W33" s="52">
        <f t="shared" si="6"/>
        <v>20</v>
      </c>
      <c r="X33" s="32">
        <f t="shared" si="9"/>
        <v>29</v>
      </c>
    </row>
    <row r="34">
      <c r="A34" s="32">
        <f t="shared" si="7"/>
        <v>30</v>
      </c>
      <c r="B34" s="33" t="s">
        <v>148</v>
      </c>
      <c r="C34" s="34">
        <v>11.0</v>
      </c>
      <c r="D34" s="34">
        <v>0.0</v>
      </c>
      <c r="E34" s="35"/>
      <c r="F34" s="95">
        <v>1.0</v>
      </c>
      <c r="G34" s="96">
        <v>5.0</v>
      </c>
      <c r="H34" s="97">
        <v>0.0</v>
      </c>
      <c r="I34" s="96">
        <v>6.0</v>
      </c>
      <c r="J34" s="96">
        <v>2.0</v>
      </c>
      <c r="K34" s="96">
        <v>6.0</v>
      </c>
      <c r="L34" s="98">
        <v>14.0</v>
      </c>
      <c r="M34" s="96">
        <v>1.0</v>
      </c>
      <c r="N34" s="34">
        <f t="shared" ref="N34:O34" si="36">C34+L34</f>
        <v>25</v>
      </c>
      <c r="O34" s="34">
        <f t="shared" si="36"/>
        <v>1</v>
      </c>
      <c r="P34" s="49" t="s">
        <v>58</v>
      </c>
      <c r="Q34" s="49" t="s">
        <v>58</v>
      </c>
      <c r="R34" s="49" t="s">
        <v>58</v>
      </c>
      <c r="S34" s="52">
        <f t="shared" si="3"/>
        <v>2</v>
      </c>
      <c r="T34" s="52">
        <f t="shared" si="4"/>
        <v>0</v>
      </c>
      <c r="U34" s="52"/>
      <c r="V34" s="52">
        <f t="shared" si="5"/>
        <v>0</v>
      </c>
      <c r="W34" s="52">
        <f t="shared" si="6"/>
        <v>21</v>
      </c>
      <c r="X34" s="32">
        <f t="shared" si="9"/>
        <v>30</v>
      </c>
    </row>
    <row r="35">
      <c r="A35" s="32">
        <f t="shared" si="7"/>
        <v>31</v>
      </c>
      <c r="B35" s="33" t="s">
        <v>144</v>
      </c>
      <c r="C35" s="34">
        <v>10.0</v>
      </c>
      <c r="D35" s="34">
        <v>1.0</v>
      </c>
      <c r="E35" s="35"/>
      <c r="F35" s="95">
        <v>2.0</v>
      </c>
      <c r="G35" s="96">
        <v>5.0</v>
      </c>
      <c r="H35" s="97">
        <v>0.0</v>
      </c>
      <c r="I35" s="96">
        <v>6.0</v>
      </c>
      <c r="J35" s="96">
        <v>6.0</v>
      </c>
      <c r="K35" s="96">
        <v>7.0</v>
      </c>
      <c r="L35" s="98">
        <v>19.0</v>
      </c>
      <c r="M35" s="96">
        <v>3.0</v>
      </c>
      <c r="N35" s="34">
        <f t="shared" ref="N35:O35" si="37">C35+L35</f>
        <v>29</v>
      </c>
      <c r="O35" s="34">
        <f t="shared" si="37"/>
        <v>4</v>
      </c>
      <c r="P35" s="49" t="s">
        <v>58</v>
      </c>
      <c r="Q35" s="49" t="s">
        <v>58</v>
      </c>
      <c r="R35" s="49" t="s">
        <v>58</v>
      </c>
      <c r="S35" s="52">
        <f t="shared" si="3"/>
        <v>2</v>
      </c>
      <c r="T35" s="52">
        <f t="shared" si="4"/>
        <v>0</v>
      </c>
      <c r="U35" s="52"/>
      <c r="V35" s="52">
        <f t="shared" si="5"/>
        <v>0</v>
      </c>
      <c r="W35" s="52">
        <f t="shared" si="6"/>
        <v>14</v>
      </c>
      <c r="X35" s="32">
        <f t="shared" si="9"/>
        <v>31</v>
      </c>
    </row>
    <row r="36">
      <c r="A36" s="32">
        <f t="shared" si="7"/>
        <v>32</v>
      </c>
      <c r="B36" s="33" t="s">
        <v>147</v>
      </c>
      <c r="C36" s="34">
        <v>9.0</v>
      </c>
      <c r="D36" s="34">
        <v>0.0</v>
      </c>
      <c r="E36" s="35"/>
      <c r="F36" s="95">
        <v>1.0</v>
      </c>
      <c r="G36" s="96">
        <v>5.0</v>
      </c>
      <c r="H36" s="97">
        <v>0.0</v>
      </c>
      <c r="I36" s="96">
        <v>4.0</v>
      </c>
      <c r="J36" s="96">
        <v>2.0</v>
      </c>
      <c r="K36" s="96">
        <v>6.0</v>
      </c>
      <c r="L36" s="98">
        <v>12.0</v>
      </c>
      <c r="M36" s="96">
        <v>1.0</v>
      </c>
      <c r="N36" s="34">
        <f t="shared" ref="N36:O36" si="38">C36+L36</f>
        <v>21</v>
      </c>
      <c r="O36" s="34">
        <f t="shared" si="38"/>
        <v>1</v>
      </c>
      <c r="P36" s="49" t="s">
        <v>58</v>
      </c>
      <c r="Q36" s="49" t="s">
        <v>58</v>
      </c>
      <c r="R36" s="49" t="s">
        <v>58</v>
      </c>
      <c r="S36" s="52">
        <f t="shared" si="3"/>
        <v>1</v>
      </c>
      <c r="T36" s="52">
        <f t="shared" si="4"/>
        <v>0</v>
      </c>
      <c r="U36" s="52"/>
      <c r="V36" s="52">
        <f t="shared" si="5"/>
        <v>1</v>
      </c>
      <c r="W36" s="52">
        <f t="shared" si="6"/>
        <v>-31</v>
      </c>
      <c r="X36" s="32">
        <f t="shared" si="9"/>
        <v>32</v>
      </c>
    </row>
    <row r="37">
      <c r="A37" s="32">
        <f t="shared" si="7"/>
        <v>33</v>
      </c>
      <c r="B37" s="33" t="s">
        <v>66</v>
      </c>
      <c r="C37" s="34">
        <v>9.0</v>
      </c>
      <c r="D37" s="34">
        <v>0.0</v>
      </c>
      <c r="E37" s="35"/>
      <c r="F37" s="95">
        <v>1.0</v>
      </c>
      <c r="G37" s="96">
        <v>5.0</v>
      </c>
      <c r="H37" s="97">
        <v>0.0</v>
      </c>
      <c r="I37" s="96">
        <v>4.0</v>
      </c>
      <c r="J37" s="96">
        <v>6.0</v>
      </c>
      <c r="K37" s="96">
        <v>7.0</v>
      </c>
      <c r="L37" s="98">
        <v>17.0</v>
      </c>
      <c r="M37" s="96">
        <v>1.0</v>
      </c>
      <c r="N37" s="34">
        <f t="shared" ref="N37:O37" si="39">C37+L37</f>
        <v>26</v>
      </c>
      <c r="O37" s="34">
        <f t="shared" si="39"/>
        <v>1</v>
      </c>
      <c r="P37" s="49" t="s">
        <v>58</v>
      </c>
      <c r="Q37" s="49" t="s">
        <v>58</v>
      </c>
      <c r="R37" s="49" t="s">
        <v>58</v>
      </c>
      <c r="S37" s="52">
        <f t="shared" si="3"/>
        <v>2</v>
      </c>
      <c r="T37" s="52">
        <f t="shared" si="4"/>
        <v>0</v>
      </c>
      <c r="U37" s="52"/>
      <c r="V37" s="52">
        <f t="shared" si="5"/>
        <v>0</v>
      </c>
      <c r="W37" s="52">
        <f t="shared" si="6"/>
        <v>-31</v>
      </c>
      <c r="X37" s="32">
        <f t="shared" si="9"/>
        <v>33</v>
      </c>
    </row>
    <row r="38">
      <c r="A38" s="32">
        <f t="shared" si="7"/>
        <v>34</v>
      </c>
      <c r="B38" s="33" t="s">
        <v>109</v>
      </c>
      <c r="C38" s="34">
        <v>9.0</v>
      </c>
      <c r="D38" s="34">
        <v>0.0</v>
      </c>
      <c r="E38" s="35"/>
      <c r="F38" s="95">
        <v>1.0</v>
      </c>
      <c r="G38" s="96">
        <v>6.0</v>
      </c>
      <c r="H38" s="97">
        <v>0.0</v>
      </c>
      <c r="I38" s="96">
        <v>6.0</v>
      </c>
      <c r="J38" s="96">
        <v>5.0</v>
      </c>
      <c r="K38" s="96">
        <v>6.0</v>
      </c>
      <c r="L38" s="98">
        <v>17.0</v>
      </c>
      <c r="M38" s="96">
        <v>2.0</v>
      </c>
      <c r="N38" s="34">
        <f t="shared" ref="N38:O38" si="40">C38+L38</f>
        <v>26</v>
      </c>
      <c r="O38" s="34">
        <f t="shared" si="40"/>
        <v>2</v>
      </c>
      <c r="P38" s="49" t="s">
        <v>58</v>
      </c>
      <c r="Q38" s="49" t="s">
        <v>58</v>
      </c>
      <c r="R38" s="49" t="s">
        <v>58</v>
      </c>
      <c r="S38" s="52">
        <f t="shared" si="3"/>
        <v>1</v>
      </c>
      <c r="T38" s="52">
        <f t="shared" si="4"/>
        <v>0</v>
      </c>
      <c r="U38" s="52"/>
      <c r="V38" s="52">
        <f t="shared" si="5"/>
        <v>1</v>
      </c>
      <c r="W38" s="52">
        <f t="shared" si="6"/>
        <v>-29</v>
      </c>
      <c r="X38" s="32">
        <f t="shared" si="9"/>
        <v>34</v>
      </c>
    </row>
    <row r="39">
      <c r="A39" s="32">
        <f t="shared" si="7"/>
        <v>35</v>
      </c>
      <c r="B39" s="33" t="s">
        <v>132</v>
      </c>
      <c r="C39" s="34">
        <v>9.0</v>
      </c>
      <c r="D39" s="34">
        <v>0.0</v>
      </c>
      <c r="E39" s="35"/>
      <c r="F39" s="95">
        <v>1.0</v>
      </c>
      <c r="G39" s="96">
        <v>6.0</v>
      </c>
      <c r="H39" s="97">
        <v>0.0</v>
      </c>
      <c r="I39" s="96">
        <v>6.0</v>
      </c>
      <c r="J39" s="96">
        <v>7.0</v>
      </c>
      <c r="K39" s="96">
        <v>4.0</v>
      </c>
      <c r="L39" s="98">
        <v>17.0</v>
      </c>
      <c r="M39" s="96">
        <v>2.0</v>
      </c>
      <c r="N39" s="34">
        <f t="shared" ref="N39:O39" si="41">C39+L39</f>
        <v>26</v>
      </c>
      <c r="O39" s="34">
        <f t="shared" si="41"/>
        <v>2</v>
      </c>
      <c r="P39" s="49" t="s">
        <v>58</v>
      </c>
      <c r="Q39" s="49" t="s">
        <v>58</v>
      </c>
      <c r="R39" s="49" t="s">
        <v>58</v>
      </c>
      <c r="S39" s="52">
        <f t="shared" si="3"/>
        <v>1</v>
      </c>
      <c r="T39" s="52">
        <f t="shared" si="4"/>
        <v>0</v>
      </c>
      <c r="U39" s="52"/>
      <c r="V39" s="52">
        <f t="shared" si="5"/>
        <v>1</v>
      </c>
      <c r="W39" s="52">
        <f t="shared" si="6"/>
        <v>-29</v>
      </c>
      <c r="X39" s="32">
        <f t="shared" si="9"/>
        <v>35</v>
      </c>
    </row>
    <row r="40">
      <c r="A40" s="32">
        <f t="shared" si="7"/>
        <v>36</v>
      </c>
      <c r="B40" s="33" t="s">
        <v>122</v>
      </c>
      <c r="C40" s="34">
        <v>9.0</v>
      </c>
      <c r="D40" s="34">
        <v>0.0</v>
      </c>
      <c r="E40" s="35"/>
      <c r="F40" s="95">
        <v>1.0</v>
      </c>
      <c r="G40" s="96">
        <v>6.0</v>
      </c>
      <c r="H40" s="97">
        <v>0.0</v>
      </c>
      <c r="I40" s="96">
        <v>1.0</v>
      </c>
      <c r="J40" s="96">
        <v>5.0</v>
      </c>
      <c r="K40" s="96">
        <v>4.0</v>
      </c>
      <c r="L40" s="98">
        <v>10.0</v>
      </c>
      <c r="M40" s="96">
        <v>0.0</v>
      </c>
      <c r="N40" s="34">
        <f t="shared" ref="N40:O40" si="42">C40+L40</f>
        <v>19</v>
      </c>
      <c r="O40" s="34">
        <f t="shared" si="42"/>
        <v>0</v>
      </c>
      <c r="P40" s="49" t="s">
        <v>58</v>
      </c>
      <c r="Q40" s="49" t="s">
        <v>58</v>
      </c>
      <c r="R40" s="49" t="s">
        <v>58</v>
      </c>
      <c r="S40" s="52">
        <f t="shared" si="3"/>
        <v>1</v>
      </c>
      <c r="T40" s="52">
        <f t="shared" si="4"/>
        <v>0</v>
      </c>
      <c r="U40" s="52"/>
      <c r="V40" s="52">
        <f t="shared" si="5"/>
        <v>1</v>
      </c>
      <c r="W40" s="52">
        <f t="shared" si="6"/>
        <v>-27</v>
      </c>
      <c r="X40" s="32">
        <f t="shared" si="9"/>
        <v>36</v>
      </c>
    </row>
    <row r="41">
      <c r="A41" s="32">
        <f t="shared" si="7"/>
        <v>37</v>
      </c>
      <c r="B41" s="33" t="s">
        <v>130</v>
      </c>
      <c r="C41" s="34">
        <v>9.0</v>
      </c>
      <c r="D41" s="34">
        <v>0.0</v>
      </c>
      <c r="E41" s="35"/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3">C41+L41</f>
        <v>18</v>
      </c>
      <c r="O41" s="34">
        <f t="shared" si="43"/>
        <v>0</v>
      </c>
      <c r="P41" s="49" t="s">
        <v>58</v>
      </c>
      <c r="Q41" s="49" t="s">
        <v>58</v>
      </c>
      <c r="R41" s="49" t="s">
        <v>58</v>
      </c>
      <c r="S41" s="52">
        <f t="shared" si="3"/>
        <v>0</v>
      </c>
      <c r="T41" s="52">
        <f t="shared" si="4"/>
        <v>0</v>
      </c>
      <c r="U41" s="52"/>
      <c r="V41" s="52">
        <f t="shared" si="5"/>
        <v>2</v>
      </c>
      <c r="W41" s="52">
        <f t="shared" si="6"/>
        <v>-27</v>
      </c>
      <c r="X41" s="32">
        <f t="shared" si="9"/>
        <v>37</v>
      </c>
    </row>
    <row r="42">
      <c r="A42" s="32">
        <f t="shared" si="7"/>
        <v>38</v>
      </c>
      <c r="B42" s="33" t="s">
        <v>47</v>
      </c>
      <c r="C42" s="34">
        <v>9.0</v>
      </c>
      <c r="D42" s="34">
        <v>0.0</v>
      </c>
      <c r="E42" s="35"/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4">C42+L42</f>
        <v>18</v>
      </c>
      <c r="O42" s="34">
        <f t="shared" si="44"/>
        <v>0</v>
      </c>
      <c r="P42" s="49" t="s">
        <v>58</v>
      </c>
      <c r="Q42" s="49" t="s">
        <v>58</v>
      </c>
      <c r="R42" s="49" t="s">
        <v>58</v>
      </c>
      <c r="S42" s="52">
        <f t="shared" si="3"/>
        <v>0</v>
      </c>
      <c r="T42" s="52">
        <f t="shared" si="4"/>
        <v>0</v>
      </c>
      <c r="U42" s="52"/>
      <c r="V42" s="52">
        <f t="shared" si="5"/>
        <v>2</v>
      </c>
      <c r="W42" s="52">
        <f t="shared" si="6"/>
        <v>-24</v>
      </c>
      <c r="X42" s="32">
        <f t="shared" si="9"/>
        <v>38</v>
      </c>
    </row>
    <row r="43">
      <c r="A43" s="32">
        <f t="shared" si="7"/>
        <v>39</v>
      </c>
      <c r="B43" s="33" t="s">
        <v>96</v>
      </c>
      <c r="C43" s="34">
        <v>9.0</v>
      </c>
      <c r="D43" s="34">
        <v>0.0</v>
      </c>
      <c r="E43" s="35"/>
      <c r="F43" s="95">
        <v>2.0</v>
      </c>
      <c r="G43" s="96">
        <v>6.0</v>
      </c>
      <c r="H43" s="97">
        <v>0.0</v>
      </c>
      <c r="I43" s="96">
        <v>1.0</v>
      </c>
      <c r="J43" s="96">
        <v>7.0</v>
      </c>
      <c r="K43" s="96">
        <v>6.0</v>
      </c>
      <c r="L43" s="98">
        <v>14.0</v>
      </c>
      <c r="M43" s="96">
        <v>2.0</v>
      </c>
      <c r="N43" s="34">
        <f t="shared" ref="N43:O43" si="45">C43+L43</f>
        <v>23</v>
      </c>
      <c r="O43" s="34">
        <f t="shared" si="45"/>
        <v>2</v>
      </c>
      <c r="P43" s="49" t="s">
        <v>58</v>
      </c>
      <c r="Q43" s="49" t="s">
        <v>58</v>
      </c>
      <c r="R43" s="49" t="s">
        <v>58</v>
      </c>
      <c r="S43" s="52">
        <f t="shared" si="3"/>
        <v>1</v>
      </c>
      <c r="T43" s="52">
        <f t="shared" si="4"/>
        <v>0</v>
      </c>
      <c r="U43" s="52"/>
      <c r="V43" s="52">
        <f t="shared" si="5"/>
        <v>1</v>
      </c>
      <c r="W43" s="52">
        <f t="shared" si="6"/>
        <v>-23</v>
      </c>
      <c r="X43" s="32">
        <f t="shared" si="9"/>
        <v>39</v>
      </c>
    </row>
    <row r="44">
      <c r="A44" s="32">
        <f t="shared" si="7"/>
        <v>40</v>
      </c>
      <c r="B44" s="33" t="s">
        <v>140</v>
      </c>
      <c r="C44" s="34">
        <v>9.0</v>
      </c>
      <c r="D44" s="34">
        <v>0.0</v>
      </c>
      <c r="E44" s="35"/>
      <c r="F44" s="95">
        <v>3.0</v>
      </c>
      <c r="G44" s="96">
        <v>0.0</v>
      </c>
      <c r="H44" s="97">
        <v>9.0</v>
      </c>
      <c r="I44" s="96">
        <v>0.0</v>
      </c>
      <c r="J44" s="96">
        <v>0.0</v>
      </c>
      <c r="K44" s="96">
        <v>0.0</v>
      </c>
      <c r="L44" s="98">
        <v>9.0</v>
      </c>
      <c r="M44" s="96">
        <v>0.0</v>
      </c>
      <c r="N44" s="34">
        <f t="shared" ref="N44:O44" si="46">C44+L44</f>
        <v>18</v>
      </c>
      <c r="O44" s="34">
        <f t="shared" si="46"/>
        <v>0</v>
      </c>
      <c r="P44" s="49" t="s">
        <v>58</v>
      </c>
      <c r="Q44" s="49" t="s">
        <v>58</v>
      </c>
      <c r="R44" s="49" t="s">
        <v>58</v>
      </c>
      <c r="S44" s="52">
        <f t="shared" si="3"/>
        <v>0</v>
      </c>
      <c r="T44" s="52">
        <f t="shared" si="4"/>
        <v>0</v>
      </c>
      <c r="U44" s="52"/>
      <c r="V44" s="52">
        <f t="shared" si="5"/>
        <v>2</v>
      </c>
      <c r="W44" s="52">
        <f t="shared" si="6"/>
        <v>-21</v>
      </c>
      <c r="X44" s="32">
        <f t="shared" si="9"/>
        <v>40</v>
      </c>
    </row>
    <row r="45">
      <c r="A45" s="32">
        <f t="shared" si="7"/>
        <v>41</v>
      </c>
      <c r="B45" s="33" t="s">
        <v>49</v>
      </c>
      <c r="C45" s="34">
        <v>9.0</v>
      </c>
      <c r="D45" s="34">
        <v>0.0</v>
      </c>
      <c r="E45" s="35"/>
      <c r="F45" s="95">
        <v>1.0</v>
      </c>
      <c r="G45" s="96">
        <v>7.0</v>
      </c>
      <c r="H45" s="97">
        <v>0.0</v>
      </c>
      <c r="I45" s="96">
        <v>6.0</v>
      </c>
      <c r="J45" s="96">
        <v>6.0</v>
      </c>
      <c r="K45" s="96">
        <v>0.0</v>
      </c>
      <c r="L45" s="98">
        <v>12.0</v>
      </c>
      <c r="M45" s="96">
        <v>2.0</v>
      </c>
      <c r="N45" s="34">
        <f t="shared" ref="N45:O45" si="47">C45+L45</f>
        <v>21</v>
      </c>
      <c r="O45" s="34">
        <f t="shared" si="47"/>
        <v>2</v>
      </c>
      <c r="P45" s="49" t="s">
        <v>58</v>
      </c>
      <c r="Q45" s="49" t="s">
        <v>58</v>
      </c>
      <c r="R45" s="49" t="s">
        <v>58</v>
      </c>
      <c r="S45" s="52">
        <f t="shared" si="3"/>
        <v>1</v>
      </c>
      <c r="T45" s="52">
        <f t="shared" si="4"/>
        <v>0</v>
      </c>
      <c r="U45" s="52"/>
      <c r="V45" s="52">
        <f t="shared" si="5"/>
        <v>1</v>
      </c>
      <c r="W45" s="52">
        <f t="shared" si="6"/>
        <v>-20</v>
      </c>
      <c r="X45" s="32">
        <f t="shared" si="9"/>
        <v>41</v>
      </c>
    </row>
    <row r="46">
      <c r="A46" s="32">
        <f t="shared" si="7"/>
        <v>42</v>
      </c>
      <c r="B46" s="33" t="s">
        <v>75</v>
      </c>
      <c r="C46" s="34">
        <v>9.0</v>
      </c>
      <c r="D46" s="34">
        <v>0.0</v>
      </c>
      <c r="E46" s="35"/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48">C46+L46</f>
        <v>18</v>
      </c>
      <c r="O46" s="34">
        <f t="shared" si="48"/>
        <v>0</v>
      </c>
      <c r="P46" s="49" t="s">
        <v>58</v>
      </c>
      <c r="Q46" s="49" t="s">
        <v>58</v>
      </c>
      <c r="R46" s="49" t="s">
        <v>58</v>
      </c>
      <c r="S46" s="52">
        <f t="shared" si="3"/>
        <v>0</v>
      </c>
      <c r="T46" s="52">
        <f t="shared" si="4"/>
        <v>0</v>
      </c>
      <c r="U46" s="52"/>
      <c r="V46" s="52">
        <f t="shared" si="5"/>
        <v>2</v>
      </c>
      <c r="W46" s="52">
        <f t="shared" si="6"/>
        <v>-19</v>
      </c>
      <c r="X46" s="32">
        <f t="shared" si="9"/>
        <v>42</v>
      </c>
    </row>
    <row r="47">
      <c r="A47" s="32">
        <f t="shared" si="7"/>
        <v>43</v>
      </c>
      <c r="B47" s="33" t="s">
        <v>121</v>
      </c>
      <c r="C47" s="34">
        <v>9.0</v>
      </c>
      <c r="D47" s="34">
        <v>0.0</v>
      </c>
      <c r="E47" s="35"/>
      <c r="F47" s="95">
        <v>3.0</v>
      </c>
      <c r="G47" s="96">
        <v>0.0</v>
      </c>
      <c r="H47" s="97">
        <v>9.0</v>
      </c>
      <c r="I47" s="96">
        <v>0.0</v>
      </c>
      <c r="J47" s="96">
        <v>0.0</v>
      </c>
      <c r="K47" s="96">
        <v>0.0</v>
      </c>
      <c r="L47" s="98">
        <v>9.0</v>
      </c>
      <c r="M47" s="96">
        <v>0.0</v>
      </c>
      <c r="N47" s="34">
        <f t="shared" ref="N47:O47" si="49">C47+L47</f>
        <v>18</v>
      </c>
      <c r="O47" s="34">
        <f t="shared" si="49"/>
        <v>0</v>
      </c>
      <c r="P47" s="49" t="s">
        <v>58</v>
      </c>
      <c r="Q47" s="49" t="s">
        <v>58</v>
      </c>
      <c r="R47" s="49" t="s">
        <v>58</v>
      </c>
      <c r="S47" s="52">
        <f t="shared" si="3"/>
        <v>0</v>
      </c>
      <c r="T47" s="52">
        <f t="shared" si="4"/>
        <v>0</v>
      </c>
      <c r="U47" s="52"/>
      <c r="V47" s="52">
        <f t="shared" si="5"/>
        <v>2</v>
      </c>
      <c r="W47" s="52">
        <f t="shared" si="6"/>
        <v>-18</v>
      </c>
      <c r="X47" s="32">
        <f t="shared" si="9"/>
        <v>43</v>
      </c>
    </row>
    <row r="48">
      <c r="A48" s="32">
        <f t="shared" si="7"/>
        <v>44</v>
      </c>
      <c r="B48" s="33" t="s">
        <v>87</v>
      </c>
      <c r="C48" s="34">
        <v>9.0</v>
      </c>
      <c r="D48" s="34">
        <v>0.0</v>
      </c>
      <c r="E48" s="35"/>
      <c r="F48" s="95">
        <v>1.0</v>
      </c>
      <c r="G48" s="96">
        <v>7.0</v>
      </c>
      <c r="H48" s="97">
        <v>0.0</v>
      </c>
      <c r="I48" s="96">
        <v>2.0</v>
      </c>
      <c r="J48" s="96">
        <v>6.0</v>
      </c>
      <c r="K48" s="96">
        <v>6.0</v>
      </c>
      <c r="L48" s="98">
        <v>14.0</v>
      </c>
      <c r="M48" s="96">
        <v>2.0</v>
      </c>
      <c r="N48" s="34">
        <f t="shared" ref="N48:O48" si="50">C48+L48</f>
        <v>23</v>
      </c>
      <c r="O48" s="34">
        <f t="shared" si="50"/>
        <v>2</v>
      </c>
      <c r="P48" s="49" t="s">
        <v>58</v>
      </c>
      <c r="Q48" s="49" t="s">
        <v>58</v>
      </c>
      <c r="R48" s="49" t="s">
        <v>58</v>
      </c>
      <c r="S48" s="52">
        <f t="shared" si="3"/>
        <v>1</v>
      </c>
      <c r="T48" s="52">
        <f t="shared" si="4"/>
        <v>0</v>
      </c>
      <c r="U48" s="52"/>
      <c r="V48" s="52">
        <f t="shared" si="5"/>
        <v>1</v>
      </c>
      <c r="W48" s="52">
        <f t="shared" si="6"/>
        <v>-18</v>
      </c>
      <c r="X48" s="32">
        <f t="shared" si="9"/>
        <v>44</v>
      </c>
    </row>
    <row r="49">
      <c r="A49" s="32">
        <f t="shared" si="7"/>
        <v>45</v>
      </c>
      <c r="B49" s="33" t="s">
        <v>141</v>
      </c>
      <c r="C49" s="34">
        <v>9.0</v>
      </c>
      <c r="D49" s="34">
        <v>0.0</v>
      </c>
      <c r="E49" s="35"/>
      <c r="F49" s="95">
        <v>3.0</v>
      </c>
      <c r="G49" s="96">
        <v>0.0</v>
      </c>
      <c r="H49" s="97">
        <v>9.0</v>
      </c>
      <c r="I49" s="96">
        <v>0.0</v>
      </c>
      <c r="J49" s="96">
        <v>0.0</v>
      </c>
      <c r="K49" s="96">
        <v>0.0</v>
      </c>
      <c r="L49" s="98">
        <v>9.0</v>
      </c>
      <c r="M49" s="96">
        <v>0.0</v>
      </c>
      <c r="N49" s="34">
        <f t="shared" ref="N49:O49" si="51">C49+L49</f>
        <v>18</v>
      </c>
      <c r="O49" s="34">
        <f t="shared" si="51"/>
        <v>0</v>
      </c>
      <c r="P49" s="49" t="s">
        <v>58</v>
      </c>
      <c r="Q49" s="49" t="s">
        <v>58</v>
      </c>
      <c r="R49" s="49" t="s">
        <v>58</v>
      </c>
      <c r="S49" s="52">
        <f t="shared" si="3"/>
        <v>0</v>
      </c>
      <c r="T49" s="52">
        <f t="shared" si="4"/>
        <v>0</v>
      </c>
      <c r="U49" s="52"/>
      <c r="V49" s="52">
        <f t="shared" si="5"/>
        <v>2</v>
      </c>
      <c r="W49" s="52">
        <f t="shared" si="6"/>
        <v>-17</v>
      </c>
      <c r="X49" s="32">
        <f t="shared" si="9"/>
        <v>45</v>
      </c>
    </row>
    <row r="50">
      <c r="A50" s="32">
        <f t="shared" si="7"/>
        <v>46</v>
      </c>
      <c r="B50" s="33" t="s">
        <v>101</v>
      </c>
      <c r="C50" s="34">
        <v>9.0</v>
      </c>
      <c r="D50" s="34">
        <v>0.0</v>
      </c>
      <c r="E50" s="35"/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2">C50+L50</f>
        <v>18</v>
      </c>
      <c r="O50" s="34">
        <f t="shared" si="52"/>
        <v>0</v>
      </c>
      <c r="P50" s="49" t="s">
        <v>58</v>
      </c>
      <c r="Q50" s="49" t="s">
        <v>58</v>
      </c>
      <c r="R50" s="49" t="s">
        <v>58</v>
      </c>
      <c r="S50" s="52">
        <f t="shared" si="3"/>
        <v>0</v>
      </c>
      <c r="T50" s="52">
        <f t="shared" si="4"/>
        <v>0</v>
      </c>
      <c r="U50" s="52"/>
      <c r="V50" s="52">
        <f t="shared" si="5"/>
        <v>2</v>
      </c>
      <c r="W50" s="52">
        <f t="shared" si="6"/>
        <v>-17</v>
      </c>
      <c r="X50" s="32">
        <f t="shared" si="9"/>
        <v>46</v>
      </c>
    </row>
    <row r="51">
      <c r="A51" s="32">
        <f t="shared" si="7"/>
        <v>47</v>
      </c>
      <c r="B51" s="33" t="s">
        <v>86</v>
      </c>
      <c r="C51" s="34">
        <v>9.0</v>
      </c>
      <c r="D51" s="34">
        <v>0.0</v>
      </c>
      <c r="E51" s="35"/>
      <c r="F51" s="95">
        <v>1.0</v>
      </c>
      <c r="G51" s="96">
        <v>7.0</v>
      </c>
      <c r="H51" s="97">
        <v>0.0</v>
      </c>
      <c r="I51" s="96">
        <v>2.0</v>
      </c>
      <c r="J51" s="96">
        <v>2.0</v>
      </c>
      <c r="K51" s="96">
        <v>0.0</v>
      </c>
      <c r="L51" s="98">
        <v>4.0</v>
      </c>
      <c r="M51" s="96">
        <v>0.0</v>
      </c>
      <c r="N51" s="34">
        <f t="shared" ref="N51:O51" si="53">C51+L51</f>
        <v>13</v>
      </c>
      <c r="O51" s="34">
        <f t="shared" si="53"/>
        <v>0</v>
      </c>
      <c r="P51" s="49" t="s">
        <v>58</v>
      </c>
      <c r="Q51" s="49" t="s">
        <v>58</v>
      </c>
      <c r="R51" s="49" t="s">
        <v>58</v>
      </c>
      <c r="S51" s="52">
        <f t="shared" si="3"/>
        <v>1</v>
      </c>
      <c r="T51" s="52">
        <f t="shared" si="4"/>
        <v>0</v>
      </c>
      <c r="U51" s="52"/>
      <c r="V51" s="52">
        <f t="shared" si="5"/>
        <v>1</v>
      </c>
      <c r="W51" s="52">
        <f t="shared" si="6"/>
        <v>-15</v>
      </c>
      <c r="X51" s="32">
        <f t="shared" si="9"/>
        <v>47</v>
      </c>
    </row>
    <row r="52">
      <c r="A52" s="32">
        <f t="shared" si="7"/>
        <v>48</v>
      </c>
      <c r="B52" s="33" t="s">
        <v>108</v>
      </c>
      <c r="C52" s="34">
        <v>9.0</v>
      </c>
      <c r="D52" s="34">
        <v>0.0</v>
      </c>
      <c r="E52" s="35"/>
      <c r="F52" s="95">
        <v>1.0</v>
      </c>
      <c r="G52" s="96">
        <v>7.0</v>
      </c>
      <c r="H52" s="97">
        <v>0.0</v>
      </c>
      <c r="I52" s="96">
        <v>6.0</v>
      </c>
      <c r="J52" s="96">
        <v>2.0</v>
      </c>
      <c r="K52" s="96">
        <v>6.0</v>
      </c>
      <c r="L52" s="98">
        <v>14.0</v>
      </c>
      <c r="M52" s="96">
        <v>2.0</v>
      </c>
      <c r="N52" s="34">
        <f t="shared" ref="N52:O52" si="54">C52+L52</f>
        <v>23</v>
      </c>
      <c r="O52" s="34">
        <f t="shared" si="54"/>
        <v>2</v>
      </c>
      <c r="P52" s="49" t="s">
        <v>58</v>
      </c>
      <c r="Q52" s="49" t="s">
        <v>58</v>
      </c>
      <c r="R52" s="49" t="s">
        <v>58</v>
      </c>
      <c r="S52" s="52">
        <f t="shared" si="3"/>
        <v>1</v>
      </c>
      <c r="T52" s="52">
        <f t="shared" si="4"/>
        <v>0</v>
      </c>
      <c r="U52" s="52"/>
      <c r="V52" s="52">
        <f t="shared" si="5"/>
        <v>1</v>
      </c>
      <c r="W52" s="52">
        <f t="shared" si="6"/>
        <v>-12</v>
      </c>
      <c r="X52" s="32">
        <f t="shared" si="9"/>
        <v>48</v>
      </c>
    </row>
    <row r="53">
      <c r="A53" s="32">
        <f t="shared" si="7"/>
        <v>49</v>
      </c>
      <c r="B53" s="33" t="s">
        <v>128</v>
      </c>
      <c r="C53" s="34">
        <v>9.0</v>
      </c>
      <c r="D53" s="34">
        <v>0.0</v>
      </c>
      <c r="E53" s="35"/>
      <c r="F53" s="95">
        <v>1.0</v>
      </c>
      <c r="G53" s="96">
        <v>8.0</v>
      </c>
      <c r="H53" s="97">
        <v>0.0</v>
      </c>
      <c r="I53" s="96">
        <v>6.0</v>
      </c>
      <c r="J53" s="96">
        <v>4.0</v>
      </c>
      <c r="K53" s="96">
        <v>7.0</v>
      </c>
      <c r="L53" s="98">
        <v>17.0</v>
      </c>
      <c r="M53" s="96">
        <v>2.0</v>
      </c>
      <c r="N53" s="34">
        <f t="shared" ref="N53:O53" si="55">C53+L53</f>
        <v>26</v>
      </c>
      <c r="O53" s="34">
        <f t="shared" si="55"/>
        <v>2</v>
      </c>
      <c r="P53" s="49" t="s">
        <v>58</v>
      </c>
      <c r="Q53" s="49" t="s">
        <v>58</v>
      </c>
      <c r="R53" s="49" t="s">
        <v>58</v>
      </c>
      <c r="S53" s="52">
        <f t="shared" si="3"/>
        <v>1</v>
      </c>
      <c r="T53" s="52">
        <f t="shared" si="4"/>
        <v>0</v>
      </c>
      <c r="U53" s="52"/>
      <c r="V53" s="52">
        <f t="shared" si="5"/>
        <v>1</v>
      </c>
      <c r="W53" s="52">
        <f t="shared" si="6"/>
        <v>-12</v>
      </c>
      <c r="X53" s="32">
        <f t="shared" si="9"/>
        <v>49</v>
      </c>
    </row>
    <row r="54">
      <c r="A54" s="32">
        <f t="shared" si="7"/>
        <v>50</v>
      </c>
      <c r="B54" s="33" t="s">
        <v>73</v>
      </c>
      <c r="C54" s="34">
        <v>9.0</v>
      </c>
      <c r="D54" s="34">
        <v>0.0</v>
      </c>
      <c r="E54" s="35"/>
      <c r="F54" s="95">
        <v>2.0</v>
      </c>
      <c r="G54" s="96">
        <v>8.0</v>
      </c>
      <c r="H54" s="97">
        <v>0.0</v>
      </c>
      <c r="I54" s="96">
        <v>6.0</v>
      </c>
      <c r="J54" s="96">
        <v>6.0</v>
      </c>
      <c r="K54" s="96">
        <v>6.0</v>
      </c>
      <c r="L54" s="98">
        <v>18.0</v>
      </c>
      <c r="M54" s="96">
        <v>2.0</v>
      </c>
      <c r="N54" s="34">
        <f t="shared" ref="N54:O54" si="56">C54+L54</f>
        <v>27</v>
      </c>
      <c r="O54" s="34">
        <f t="shared" si="56"/>
        <v>2</v>
      </c>
      <c r="P54" s="49" t="s">
        <v>58</v>
      </c>
      <c r="Q54" s="49" t="s">
        <v>58</v>
      </c>
      <c r="R54" s="49" t="s">
        <v>58</v>
      </c>
      <c r="S54" s="52">
        <f t="shared" si="3"/>
        <v>1</v>
      </c>
      <c r="T54" s="52">
        <f t="shared" si="4"/>
        <v>0</v>
      </c>
      <c r="U54" s="52"/>
      <c r="V54" s="52">
        <f t="shared" si="5"/>
        <v>1</v>
      </c>
      <c r="W54" s="52">
        <f t="shared" si="6"/>
        <v>-12</v>
      </c>
      <c r="X54" s="32">
        <f t="shared" si="9"/>
        <v>50</v>
      </c>
    </row>
    <row r="55">
      <c r="A55" s="32">
        <f t="shared" si="7"/>
        <v>51</v>
      </c>
      <c r="B55" s="33" t="s">
        <v>139</v>
      </c>
      <c r="C55" s="34">
        <v>9.0</v>
      </c>
      <c r="D55" s="34">
        <v>0.0</v>
      </c>
      <c r="E55" s="35"/>
      <c r="F55" s="95">
        <v>3.0</v>
      </c>
      <c r="G55" s="96">
        <v>0.0</v>
      </c>
      <c r="H55" s="97">
        <v>9.0</v>
      </c>
      <c r="I55" s="96">
        <v>0.0</v>
      </c>
      <c r="J55" s="96">
        <v>0.0</v>
      </c>
      <c r="K55" s="96">
        <v>0.0</v>
      </c>
      <c r="L55" s="98">
        <v>9.0</v>
      </c>
      <c r="M55" s="96">
        <v>0.0</v>
      </c>
      <c r="N55" s="34">
        <f t="shared" ref="N55:O55" si="57">C55+L55</f>
        <v>18</v>
      </c>
      <c r="O55" s="34">
        <f t="shared" si="57"/>
        <v>0</v>
      </c>
      <c r="P55" s="49" t="s">
        <v>58</v>
      </c>
      <c r="Q55" s="49" t="s">
        <v>58</v>
      </c>
      <c r="R55" s="49" t="s">
        <v>58</v>
      </c>
      <c r="S55" s="52">
        <f t="shared" si="3"/>
        <v>0</v>
      </c>
      <c r="T55" s="52">
        <f t="shared" si="4"/>
        <v>0</v>
      </c>
      <c r="U55" s="52"/>
      <c r="V55" s="52">
        <f t="shared" si="5"/>
        <v>2</v>
      </c>
      <c r="W55" s="52">
        <f t="shared" si="6"/>
        <v>-12</v>
      </c>
      <c r="X55" s="32">
        <f t="shared" si="9"/>
        <v>51</v>
      </c>
    </row>
    <row r="56">
      <c r="A56" s="32">
        <f t="shared" si="7"/>
        <v>52</v>
      </c>
      <c r="B56" s="33" t="s">
        <v>114</v>
      </c>
      <c r="C56" s="34">
        <v>9.0</v>
      </c>
      <c r="D56" s="34">
        <v>0.0</v>
      </c>
      <c r="E56" s="35"/>
      <c r="F56" s="95">
        <v>1.0</v>
      </c>
      <c r="G56" s="96">
        <v>8.0</v>
      </c>
      <c r="H56" s="97">
        <v>0.0</v>
      </c>
      <c r="I56" s="96">
        <v>1.0</v>
      </c>
      <c r="J56" s="96">
        <v>4.0</v>
      </c>
      <c r="K56" s="96">
        <v>6.0</v>
      </c>
      <c r="L56" s="98">
        <v>11.0</v>
      </c>
      <c r="M56" s="96">
        <v>0.0</v>
      </c>
      <c r="N56" s="34">
        <f t="shared" ref="N56:O56" si="58">C56+L56</f>
        <v>20</v>
      </c>
      <c r="O56" s="34">
        <f t="shared" si="58"/>
        <v>0</v>
      </c>
      <c r="P56" s="49" t="s">
        <v>58</v>
      </c>
      <c r="Q56" s="49" t="s">
        <v>58</v>
      </c>
      <c r="R56" s="49" t="s">
        <v>58</v>
      </c>
      <c r="S56" s="52">
        <f t="shared" si="3"/>
        <v>1</v>
      </c>
      <c r="T56" s="52">
        <f t="shared" si="4"/>
        <v>0</v>
      </c>
      <c r="U56" s="52"/>
      <c r="V56" s="52">
        <f t="shared" si="5"/>
        <v>1</v>
      </c>
      <c r="W56" s="52">
        <f t="shared" si="6"/>
        <v>-11</v>
      </c>
      <c r="X56" s="32">
        <f t="shared" si="9"/>
        <v>52</v>
      </c>
    </row>
    <row r="57">
      <c r="A57" s="32">
        <f t="shared" si="7"/>
        <v>53</v>
      </c>
      <c r="B57" s="33" t="s">
        <v>95</v>
      </c>
      <c r="C57" s="34">
        <v>9.0</v>
      </c>
      <c r="D57" s="34">
        <v>0.0</v>
      </c>
      <c r="E57" s="35"/>
      <c r="F57" s="95">
        <v>3.0</v>
      </c>
      <c r="G57" s="96">
        <v>0.0</v>
      </c>
      <c r="H57" s="97">
        <v>9.0</v>
      </c>
      <c r="I57" s="96">
        <v>0.0</v>
      </c>
      <c r="J57" s="96">
        <v>0.0</v>
      </c>
      <c r="K57" s="96">
        <v>0.0</v>
      </c>
      <c r="L57" s="98">
        <v>9.0</v>
      </c>
      <c r="M57" s="96">
        <v>0.0</v>
      </c>
      <c r="N57" s="34">
        <f t="shared" ref="N57:O57" si="59">C57+L57</f>
        <v>18</v>
      </c>
      <c r="O57" s="34">
        <f t="shared" si="59"/>
        <v>0</v>
      </c>
      <c r="P57" s="49" t="s">
        <v>58</v>
      </c>
      <c r="Q57" s="49" t="s">
        <v>58</v>
      </c>
      <c r="R57" s="49" t="s">
        <v>58</v>
      </c>
      <c r="S57" s="52">
        <f t="shared" si="3"/>
        <v>0</v>
      </c>
      <c r="T57" s="52">
        <f t="shared" si="4"/>
        <v>0</v>
      </c>
      <c r="U57" s="52"/>
      <c r="V57" s="52">
        <f t="shared" si="5"/>
        <v>2</v>
      </c>
      <c r="W57" s="52">
        <f t="shared" si="6"/>
        <v>-11</v>
      </c>
      <c r="X57" s="32">
        <f t="shared" si="9"/>
        <v>53</v>
      </c>
    </row>
    <row r="58">
      <c r="A58" s="32">
        <f t="shared" si="7"/>
        <v>54</v>
      </c>
      <c r="B58" s="33" t="s">
        <v>65</v>
      </c>
      <c r="C58" s="34">
        <v>9.0</v>
      </c>
      <c r="D58" s="34">
        <v>0.0</v>
      </c>
      <c r="E58" s="35"/>
      <c r="F58" s="95">
        <v>1.0</v>
      </c>
      <c r="G58" s="96">
        <v>8.0</v>
      </c>
      <c r="H58" s="97">
        <v>0.0</v>
      </c>
      <c r="I58" s="96">
        <v>1.0</v>
      </c>
      <c r="J58" s="96">
        <v>6.0</v>
      </c>
      <c r="K58" s="96">
        <v>7.0</v>
      </c>
      <c r="L58" s="98">
        <v>14.0</v>
      </c>
      <c r="M58" s="96">
        <v>2.0</v>
      </c>
      <c r="N58" s="34">
        <f t="shared" ref="N58:O58" si="60">C58+L58</f>
        <v>23</v>
      </c>
      <c r="O58" s="34">
        <f t="shared" si="60"/>
        <v>2</v>
      </c>
      <c r="P58" s="49" t="s">
        <v>58</v>
      </c>
      <c r="Q58" s="49" t="s">
        <v>58</v>
      </c>
      <c r="R58" s="49" t="s">
        <v>58</v>
      </c>
      <c r="S58" s="52">
        <f t="shared" si="3"/>
        <v>1</v>
      </c>
      <c r="T58" s="52">
        <f t="shared" si="4"/>
        <v>0</v>
      </c>
      <c r="U58" s="52"/>
      <c r="V58" s="52">
        <f t="shared" si="5"/>
        <v>1</v>
      </c>
      <c r="W58" s="52">
        <f t="shared" si="6"/>
        <v>-10</v>
      </c>
      <c r="X58" s="32">
        <f t="shared" si="9"/>
        <v>54</v>
      </c>
    </row>
    <row r="59">
      <c r="A59" s="32">
        <f t="shared" si="7"/>
        <v>55</v>
      </c>
      <c r="B59" s="33" t="s">
        <v>146</v>
      </c>
      <c r="C59" s="34">
        <v>9.0</v>
      </c>
      <c r="D59" s="34">
        <v>0.0</v>
      </c>
      <c r="E59" s="35"/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1">C59+L59</f>
        <v>18</v>
      </c>
      <c r="O59" s="34">
        <f t="shared" si="61"/>
        <v>0</v>
      </c>
      <c r="P59" s="49" t="s">
        <v>58</v>
      </c>
      <c r="Q59" s="49" t="s">
        <v>58</v>
      </c>
      <c r="R59" s="49" t="s">
        <v>58</v>
      </c>
      <c r="S59" s="52">
        <f t="shared" si="3"/>
        <v>0</v>
      </c>
      <c r="T59" s="52">
        <f t="shared" si="4"/>
        <v>0</v>
      </c>
      <c r="U59" s="52"/>
      <c r="V59" s="52">
        <f t="shared" si="5"/>
        <v>2</v>
      </c>
      <c r="W59" s="52">
        <f t="shared" si="6"/>
        <v>-9</v>
      </c>
      <c r="X59" s="32">
        <f t="shared" si="9"/>
        <v>55</v>
      </c>
    </row>
    <row r="60">
      <c r="A60" s="32">
        <f t="shared" si="7"/>
        <v>56</v>
      </c>
      <c r="B60" s="33" t="s">
        <v>135</v>
      </c>
      <c r="C60" s="34">
        <v>9.0</v>
      </c>
      <c r="D60" s="34">
        <v>0.0</v>
      </c>
      <c r="E60" s="35"/>
      <c r="F60" s="95">
        <v>3.0</v>
      </c>
      <c r="G60" s="96">
        <v>0.0</v>
      </c>
      <c r="H60" s="97">
        <v>9.0</v>
      </c>
      <c r="I60" s="96">
        <v>0.0</v>
      </c>
      <c r="J60" s="96">
        <v>0.0</v>
      </c>
      <c r="K60" s="96">
        <v>0.0</v>
      </c>
      <c r="L60" s="98">
        <v>9.0</v>
      </c>
      <c r="M60" s="96">
        <v>0.0</v>
      </c>
      <c r="N60" s="34">
        <f t="shared" ref="N60:O60" si="62">C60+L60</f>
        <v>18</v>
      </c>
      <c r="O60" s="34">
        <f t="shared" si="62"/>
        <v>0</v>
      </c>
      <c r="P60" s="49" t="s">
        <v>58</v>
      </c>
      <c r="Q60" s="49" t="s">
        <v>58</v>
      </c>
      <c r="R60" s="49" t="s">
        <v>58</v>
      </c>
      <c r="S60" s="52">
        <f t="shared" si="3"/>
        <v>0</v>
      </c>
      <c r="T60" s="52">
        <f t="shared" si="4"/>
        <v>0</v>
      </c>
      <c r="U60" s="52"/>
      <c r="V60" s="52">
        <f t="shared" si="5"/>
        <v>2</v>
      </c>
      <c r="W60" s="52">
        <f t="shared" si="6"/>
        <v>-8</v>
      </c>
      <c r="X60" s="32">
        <f t="shared" si="9"/>
        <v>56</v>
      </c>
    </row>
    <row r="61">
      <c r="A61" s="32">
        <f t="shared" si="7"/>
        <v>57</v>
      </c>
      <c r="B61" s="33" t="s">
        <v>69</v>
      </c>
      <c r="C61" s="34">
        <v>9.0</v>
      </c>
      <c r="D61" s="34">
        <v>0.0</v>
      </c>
      <c r="E61" s="35"/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3">C61+L61</f>
        <v>18</v>
      </c>
      <c r="O61" s="34">
        <f t="shared" si="63"/>
        <v>0</v>
      </c>
      <c r="P61" s="49" t="s">
        <v>58</v>
      </c>
      <c r="Q61" s="49" t="s">
        <v>58</v>
      </c>
      <c r="R61" s="49" t="s">
        <v>58</v>
      </c>
      <c r="S61" s="52">
        <f t="shared" si="3"/>
        <v>0</v>
      </c>
      <c r="T61" s="52">
        <f t="shared" si="4"/>
        <v>0</v>
      </c>
      <c r="U61" s="52"/>
      <c r="V61" s="52">
        <f t="shared" si="5"/>
        <v>2</v>
      </c>
      <c r="W61" s="52">
        <f t="shared" si="6"/>
        <v>-2</v>
      </c>
      <c r="X61" s="32">
        <f t="shared" si="9"/>
        <v>57</v>
      </c>
    </row>
    <row r="62">
      <c r="A62" s="32">
        <f t="shared" si="7"/>
        <v>58</v>
      </c>
      <c r="B62" s="33" t="s">
        <v>99</v>
      </c>
      <c r="C62" s="34">
        <v>9.0</v>
      </c>
      <c r="D62" s="34">
        <v>0.0</v>
      </c>
      <c r="E62" s="35"/>
      <c r="F62" s="95">
        <v>2.0</v>
      </c>
      <c r="G62" s="96">
        <v>10.0</v>
      </c>
      <c r="H62" s="97">
        <v>0.0</v>
      </c>
      <c r="I62" s="96">
        <v>2.0</v>
      </c>
      <c r="J62" s="96">
        <v>2.0</v>
      </c>
      <c r="K62" s="96">
        <v>6.0</v>
      </c>
      <c r="L62" s="98">
        <v>10.0</v>
      </c>
      <c r="M62" s="96">
        <v>1.0</v>
      </c>
      <c r="N62" s="34">
        <f t="shared" ref="N62:O62" si="64">C62+L62</f>
        <v>19</v>
      </c>
      <c r="O62" s="34">
        <f t="shared" si="64"/>
        <v>1</v>
      </c>
      <c r="P62" s="49" t="s">
        <v>58</v>
      </c>
      <c r="Q62" s="49" t="s">
        <v>58</v>
      </c>
      <c r="R62" s="49" t="s">
        <v>58</v>
      </c>
      <c r="S62" s="52">
        <f t="shared" si="3"/>
        <v>1</v>
      </c>
      <c r="T62" s="52">
        <f t="shared" si="4"/>
        <v>0</v>
      </c>
      <c r="U62" s="52"/>
      <c r="V62" s="52">
        <f t="shared" si="5"/>
        <v>1</v>
      </c>
      <c r="W62" s="52">
        <f t="shared" si="6"/>
        <v>-1</v>
      </c>
      <c r="X62" s="32">
        <f t="shared" si="9"/>
        <v>58</v>
      </c>
    </row>
    <row r="63">
      <c r="A63" s="32">
        <f t="shared" si="7"/>
        <v>59</v>
      </c>
      <c r="B63" s="33" t="s">
        <v>104</v>
      </c>
      <c r="C63" s="34">
        <v>9.0</v>
      </c>
      <c r="D63" s="34">
        <v>0.0</v>
      </c>
      <c r="E63" s="35"/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5">C63+L63</f>
        <v>18</v>
      </c>
      <c r="O63" s="34">
        <f t="shared" si="65"/>
        <v>0</v>
      </c>
      <c r="P63" s="49" t="s">
        <v>58</v>
      </c>
      <c r="Q63" s="49" t="s">
        <v>58</v>
      </c>
      <c r="R63" s="49" t="s">
        <v>58</v>
      </c>
      <c r="S63" s="52">
        <f t="shared" si="3"/>
        <v>0</v>
      </c>
      <c r="T63" s="52">
        <f t="shared" si="4"/>
        <v>0</v>
      </c>
      <c r="U63" s="52"/>
      <c r="V63" s="52">
        <f t="shared" si="5"/>
        <v>2</v>
      </c>
      <c r="W63" s="52">
        <f t="shared" si="6"/>
        <v>0</v>
      </c>
      <c r="X63" s="32">
        <f t="shared" si="9"/>
        <v>59</v>
      </c>
    </row>
    <row r="64">
      <c r="A64" s="32">
        <f t="shared" si="7"/>
        <v>60</v>
      </c>
      <c r="B64" s="33" t="s">
        <v>84</v>
      </c>
      <c r="C64" s="34">
        <v>9.0</v>
      </c>
      <c r="D64" s="34">
        <v>0.0</v>
      </c>
      <c r="E64" s="35"/>
      <c r="F64" s="95">
        <v>1.0</v>
      </c>
      <c r="G64" s="96">
        <v>10.0</v>
      </c>
      <c r="H64" s="97">
        <v>0.0</v>
      </c>
      <c r="I64" s="96">
        <v>6.0</v>
      </c>
      <c r="J64" s="96">
        <v>6.0</v>
      </c>
      <c r="K64" s="96">
        <v>6.0</v>
      </c>
      <c r="L64" s="98">
        <v>18.0</v>
      </c>
      <c r="M64" s="96">
        <v>3.0</v>
      </c>
      <c r="N64" s="34">
        <f t="shared" ref="N64:O64" si="66">C64+L64</f>
        <v>27</v>
      </c>
      <c r="O64" s="34">
        <f t="shared" si="66"/>
        <v>3</v>
      </c>
      <c r="P64" s="49" t="s">
        <v>58</v>
      </c>
      <c r="Q64" s="49" t="s">
        <v>58</v>
      </c>
      <c r="R64" s="49" t="s">
        <v>58</v>
      </c>
      <c r="S64" s="52">
        <f t="shared" si="3"/>
        <v>1</v>
      </c>
      <c r="T64" s="52">
        <f t="shared" si="4"/>
        <v>0</v>
      </c>
      <c r="U64" s="52"/>
      <c r="V64" s="52">
        <f t="shared" si="5"/>
        <v>1</v>
      </c>
      <c r="W64" s="52">
        <f t="shared" si="6"/>
        <v>0</v>
      </c>
      <c r="X64" s="32">
        <f t="shared" si="9"/>
        <v>60</v>
      </c>
    </row>
    <row r="65">
      <c r="A65" s="32">
        <f t="shared" si="7"/>
        <v>61</v>
      </c>
      <c r="B65" s="33" t="s">
        <v>131</v>
      </c>
      <c r="C65" s="34">
        <v>9.0</v>
      </c>
      <c r="D65" s="34">
        <v>0.0</v>
      </c>
      <c r="E65" s="35"/>
      <c r="F65" s="95">
        <v>3.0</v>
      </c>
      <c r="G65" s="96">
        <v>0.0</v>
      </c>
      <c r="H65" s="97">
        <v>9.0</v>
      </c>
      <c r="I65" s="96">
        <v>0.0</v>
      </c>
      <c r="J65" s="96">
        <v>0.0</v>
      </c>
      <c r="K65" s="96">
        <v>0.0</v>
      </c>
      <c r="L65" s="98">
        <v>9.0</v>
      </c>
      <c r="M65" s="96">
        <v>0.0</v>
      </c>
      <c r="N65" s="34">
        <f t="shared" ref="N65:O65" si="67">C65+L65</f>
        <v>18</v>
      </c>
      <c r="O65" s="34">
        <f t="shared" si="67"/>
        <v>0</v>
      </c>
      <c r="P65" s="49" t="s">
        <v>58</v>
      </c>
      <c r="Q65" s="49" t="s">
        <v>58</v>
      </c>
      <c r="R65" s="49" t="s">
        <v>58</v>
      </c>
      <c r="S65" s="52">
        <f t="shared" si="3"/>
        <v>0</v>
      </c>
      <c r="T65" s="52">
        <f t="shared" si="4"/>
        <v>0</v>
      </c>
      <c r="U65" s="52"/>
      <c r="V65" s="52">
        <f t="shared" si="5"/>
        <v>2</v>
      </c>
      <c r="W65" s="52">
        <f t="shared" si="6"/>
        <v>1</v>
      </c>
      <c r="X65" s="32">
        <f t="shared" si="9"/>
        <v>61</v>
      </c>
    </row>
    <row r="66">
      <c r="A66" s="32">
        <f t="shared" si="7"/>
        <v>62</v>
      </c>
      <c r="B66" s="33" t="s">
        <v>118</v>
      </c>
      <c r="C66" s="34">
        <v>7.0</v>
      </c>
      <c r="D66" s="34">
        <v>1.0</v>
      </c>
      <c r="E66" s="35"/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68">C66+L66</f>
        <v>16</v>
      </c>
      <c r="O66" s="34">
        <f t="shared" si="68"/>
        <v>1</v>
      </c>
      <c r="P66" s="49" t="s">
        <v>58</v>
      </c>
      <c r="Q66" s="49" t="s">
        <v>58</v>
      </c>
      <c r="R66" s="49" t="s">
        <v>58</v>
      </c>
      <c r="S66" s="52">
        <f t="shared" si="3"/>
        <v>1</v>
      </c>
      <c r="T66" s="52">
        <f t="shared" si="4"/>
        <v>0</v>
      </c>
      <c r="U66" s="52"/>
      <c r="V66" s="52">
        <f t="shared" si="5"/>
        <v>1</v>
      </c>
      <c r="W66" s="52">
        <f t="shared" si="6"/>
        <v>-27</v>
      </c>
      <c r="X66" s="32">
        <f t="shared" si="9"/>
        <v>62</v>
      </c>
    </row>
    <row r="67">
      <c r="A67" s="32">
        <f t="shared" si="7"/>
        <v>63</v>
      </c>
      <c r="B67" s="33" t="s">
        <v>72</v>
      </c>
      <c r="C67" s="34">
        <v>7.0</v>
      </c>
      <c r="D67" s="34">
        <v>0.0</v>
      </c>
      <c r="E67" s="35"/>
      <c r="F67" s="95">
        <v>3.0</v>
      </c>
      <c r="G67" s="96">
        <v>0.0</v>
      </c>
      <c r="H67" s="97">
        <v>9.0</v>
      </c>
      <c r="I67" s="96">
        <v>0.0</v>
      </c>
      <c r="J67" s="96">
        <v>0.0</v>
      </c>
      <c r="K67" s="96">
        <v>0.0</v>
      </c>
      <c r="L67" s="98">
        <v>9.0</v>
      </c>
      <c r="M67" s="96">
        <v>0.0</v>
      </c>
      <c r="N67" s="34">
        <f t="shared" ref="N67:O67" si="69">C67+L67</f>
        <v>16</v>
      </c>
      <c r="O67" s="34">
        <f t="shared" si="69"/>
        <v>0</v>
      </c>
      <c r="P67" s="49" t="s">
        <v>58</v>
      </c>
      <c r="Q67" s="49" t="s">
        <v>58</v>
      </c>
      <c r="R67" s="49" t="s">
        <v>58</v>
      </c>
      <c r="S67" s="52">
        <f t="shared" si="3"/>
        <v>1</v>
      </c>
      <c r="T67" s="52">
        <f t="shared" si="4"/>
        <v>0</v>
      </c>
      <c r="U67" s="52"/>
      <c r="V67" s="52">
        <f t="shared" si="5"/>
        <v>1</v>
      </c>
      <c r="W67" s="52">
        <f t="shared" si="6"/>
        <v>-56</v>
      </c>
      <c r="X67" s="32">
        <f t="shared" si="9"/>
        <v>63</v>
      </c>
    </row>
    <row r="68">
      <c r="A68" s="32">
        <f t="shared" si="7"/>
        <v>64</v>
      </c>
      <c r="B68" s="33" t="s">
        <v>136</v>
      </c>
      <c r="C68" s="34">
        <v>7.0</v>
      </c>
      <c r="D68" s="34">
        <v>0.0</v>
      </c>
      <c r="E68" s="35"/>
      <c r="F68" s="95">
        <v>1.0</v>
      </c>
      <c r="G68" s="96">
        <v>10.0</v>
      </c>
      <c r="H68" s="97">
        <v>0.0</v>
      </c>
      <c r="I68" s="96">
        <v>2.0</v>
      </c>
      <c r="J68" s="96">
        <v>6.0</v>
      </c>
      <c r="K68" s="96">
        <v>3.0</v>
      </c>
      <c r="L68" s="98">
        <v>11.0</v>
      </c>
      <c r="M68" s="96">
        <v>1.0</v>
      </c>
      <c r="N68" s="34">
        <f t="shared" ref="N68:O68" si="70">C68+L68</f>
        <v>18</v>
      </c>
      <c r="O68" s="34">
        <f t="shared" si="70"/>
        <v>1</v>
      </c>
      <c r="P68" s="49" t="s">
        <v>58</v>
      </c>
      <c r="Q68" s="49" t="s">
        <v>58</v>
      </c>
      <c r="R68" s="49" t="s">
        <v>58</v>
      </c>
      <c r="S68" s="52">
        <f t="shared" si="3"/>
        <v>2</v>
      </c>
      <c r="T68" s="52">
        <f t="shared" si="4"/>
        <v>0</v>
      </c>
      <c r="U68" s="52"/>
      <c r="V68" s="52">
        <f t="shared" si="5"/>
        <v>0</v>
      </c>
      <c r="W68" s="52">
        <f t="shared" si="6"/>
        <v>1</v>
      </c>
      <c r="X68" s="32">
        <f t="shared" si="9"/>
        <v>64</v>
      </c>
    </row>
    <row r="69">
      <c r="A69" s="32">
        <f t="shared" si="7"/>
        <v>65</v>
      </c>
      <c r="B69" s="33" t="s">
        <v>129</v>
      </c>
      <c r="C69" s="34">
        <v>5.0</v>
      </c>
      <c r="D69" s="34">
        <v>0.0</v>
      </c>
      <c r="E69" s="35"/>
      <c r="F69" s="95">
        <v>1.0</v>
      </c>
      <c r="G69" s="96">
        <v>10.0</v>
      </c>
      <c r="H69" s="97">
        <v>0.0</v>
      </c>
      <c r="I69" s="96">
        <v>6.0</v>
      </c>
      <c r="J69" s="96">
        <v>2.0</v>
      </c>
      <c r="K69" s="96">
        <v>3.0</v>
      </c>
      <c r="L69" s="98">
        <v>11.0</v>
      </c>
      <c r="M69" s="96">
        <v>1.0</v>
      </c>
      <c r="N69" s="34">
        <f t="shared" ref="N69:O69" si="71">C69+L69</f>
        <v>16</v>
      </c>
      <c r="O69" s="34">
        <f t="shared" si="71"/>
        <v>1</v>
      </c>
      <c r="P69" s="49" t="s">
        <v>58</v>
      </c>
      <c r="Q69" s="49" t="s">
        <v>58</v>
      </c>
      <c r="R69" s="49" t="s">
        <v>58</v>
      </c>
      <c r="S69" s="52">
        <f t="shared" si="3"/>
        <v>2</v>
      </c>
      <c r="T69" s="52">
        <f t="shared" si="4"/>
        <v>0</v>
      </c>
      <c r="U69" s="52"/>
      <c r="V69" s="52">
        <f t="shared" si="5"/>
        <v>0</v>
      </c>
      <c r="W69" s="52">
        <f t="shared" si="6"/>
        <v>-41</v>
      </c>
      <c r="X69" s="32">
        <f t="shared" si="9"/>
        <v>65</v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K73" s="82"/>
      <c r="L73" s="99"/>
      <c r="M73" s="100"/>
    </row>
    <row r="74">
      <c r="A74" s="1"/>
      <c r="C74" s="1"/>
      <c r="D74" s="1"/>
      <c r="K74" s="82"/>
      <c r="L74" s="99"/>
      <c r="M74" s="100"/>
      <c r="P74" s="129" t="s">
        <v>152</v>
      </c>
      <c r="Q74" s="26"/>
      <c r="R74" s="16">
        <f>COUNTIF(R5:R69,"X")</f>
        <v>65</v>
      </c>
      <c r="S74" s="130"/>
      <c r="T74" s="130">
        <f>R74/R78</f>
        <v>1</v>
      </c>
    </row>
    <row r="75">
      <c r="A75" s="1"/>
      <c r="C75" s="1"/>
      <c r="D75" s="1"/>
      <c r="K75" s="82"/>
      <c r="L75" s="99"/>
      <c r="M75" s="100"/>
      <c r="P75" s="19" t="s">
        <v>154</v>
      </c>
      <c r="Q75" s="16"/>
      <c r="R75" s="16">
        <f>countif(R5:R69,"N")</f>
        <v>0</v>
      </c>
    </row>
    <row r="76">
      <c r="A76" s="1"/>
      <c r="B76" s="131" t="s">
        <v>179</v>
      </c>
      <c r="C76" s="112" t="s">
        <v>159</v>
      </c>
      <c r="D76" s="112" t="s">
        <v>160</v>
      </c>
      <c r="E76" s="112" t="s">
        <v>1</v>
      </c>
      <c r="F76" s="1"/>
      <c r="L76" s="99"/>
      <c r="M76" s="100"/>
      <c r="P76" s="129" t="s">
        <v>180</v>
      </c>
      <c r="Q76" s="26"/>
      <c r="R76" s="19">
        <v>1.0</v>
      </c>
    </row>
    <row r="77">
      <c r="A77" s="1"/>
      <c r="B77" s="33" t="str">
        <f>IFERROR(__xludf.DUMMYFUNCTION("QUERY(B5:M69,""Select B, L, M, G where L &gt;= 18 order by L desc,M desc"",0)"),"Trish Newlin")</f>
        <v>Trish Newlin</v>
      </c>
      <c r="C77" s="117">
        <f>IFERROR(__xludf.DUMMYFUNCTION("""COMPUTED_VALUE"""),19.0)</f>
        <v>19</v>
      </c>
      <c r="D77" s="117">
        <f>IFERROR(__xludf.DUMMYFUNCTION("""COMPUTED_VALUE"""),3.0)</f>
        <v>3</v>
      </c>
      <c r="E77" s="117">
        <f>IFERROR(__xludf.DUMMYFUNCTION("""COMPUTED_VALUE"""),5.0)</f>
        <v>5</v>
      </c>
      <c r="F77" s="1"/>
      <c r="L77" s="99"/>
      <c r="M77" s="100"/>
      <c r="P77" s="129" t="s">
        <v>155</v>
      </c>
      <c r="Q77" s="26"/>
      <c r="R77" s="16">
        <f>countif(R5:R69,"")</f>
        <v>0</v>
      </c>
    </row>
    <row r="78">
      <c r="A78" s="1"/>
      <c r="B78" s="33" t="str">
        <f>IFERROR(__xludf.DUMMYFUNCTION("""COMPUTED_VALUE"""),"David Shin")</f>
        <v>David Shin</v>
      </c>
      <c r="C78" s="117">
        <f>IFERROR(__xludf.DUMMYFUNCTION("""COMPUTED_VALUE"""),19.0)</f>
        <v>19</v>
      </c>
      <c r="D78" s="117">
        <f>IFERROR(__xludf.DUMMYFUNCTION("""COMPUTED_VALUE"""),2.0)</f>
        <v>2</v>
      </c>
      <c r="E78" s="117">
        <f>IFERROR(__xludf.DUMMYFUNCTION("""COMPUTED_VALUE"""),3.0)</f>
        <v>3</v>
      </c>
      <c r="F78" s="1"/>
      <c r="M78" s="132"/>
      <c r="P78" s="129" t="s">
        <v>61</v>
      </c>
      <c r="Q78" s="26"/>
      <c r="R78" s="16">
        <f>sum(R74:R77)-R76</f>
        <v>65</v>
      </c>
    </row>
    <row r="79">
      <c r="A79" s="1"/>
      <c r="B79" s="33" t="str">
        <f>IFERROR(__xludf.DUMMYFUNCTION("""COMPUTED_VALUE"""),"Robert Chang")</f>
        <v>Robert Chang</v>
      </c>
      <c r="C79" s="117">
        <f>IFERROR(__xludf.DUMMYFUNCTION("""COMPUTED_VALUE"""),18.0)</f>
        <v>18</v>
      </c>
      <c r="D79" s="117">
        <f>IFERROR(__xludf.DUMMYFUNCTION("""COMPUTED_VALUE"""),3.0)</f>
        <v>3</v>
      </c>
      <c r="E79" s="117">
        <f>IFERROR(__xludf.DUMMYFUNCTION("""COMPUTED_VALUE"""),1.0)</f>
        <v>1</v>
      </c>
      <c r="F79" s="1"/>
    </row>
    <row r="80">
      <c r="A80" s="1"/>
      <c r="B80" s="33" t="str">
        <f>IFERROR(__xludf.DUMMYFUNCTION("""COMPUTED_VALUE"""),"Sandeep Kamalon")</f>
        <v>Sandeep Kamalon</v>
      </c>
      <c r="C80" s="117">
        <f>IFERROR(__xludf.DUMMYFUNCTION("""COMPUTED_VALUE"""),18.0)</f>
        <v>18</v>
      </c>
      <c r="D80" s="117">
        <f>IFERROR(__xludf.DUMMYFUNCTION("""COMPUTED_VALUE"""),3.0)</f>
        <v>3</v>
      </c>
      <c r="E80" s="117">
        <f>IFERROR(__xludf.DUMMYFUNCTION("""COMPUTED_VALUE"""),9.0)</f>
        <v>9</v>
      </c>
      <c r="F80" s="1"/>
    </row>
    <row r="81">
      <c r="A81" s="1"/>
      <c r="B81" s="33" t="str">
        <f>IFERROR(__xludf.DUMMYFUNCTION("""COMPUTED_VALUE"""),"Basudev Thoppai Vidyasankar")</f>
        <v>Basudev Thoppai Vidyasankar</v>
      </c>
      <c r="C81" s="117">
        <f>IFERROR(__xludf.DUMMYFUNCTION("""COMPUTED_VALUE"""),18.0)</f>
        <v>18</v>
      </c>
      <c r="D81" s="117">
        <f>IFERROR(__xludf.DUMMYFUNCTION("""COMPUTED_VALUE"""),3.0)</f>
        <v>3</v>
      </c>
      <c r="E81" s="117">
        <f>IFERROR(__xludf.DUMMYFUNCTION("""COMPUTED_VALUE"""),4.0)</f>
        <v>4</v>
      </c>
      <c r="F81" s="1"/>
      <c r="L81" s="51"/>
    </row>
    <row r="82">
      <c r="A82" s="1"/>
      <c r="B82" s="33" t="str">
        <f>IFERROR(__xludf.DUMMYFUNCTION("""COMPUTED_VALUE"""),"Pulkit Mathur")</f>
        <v>Pulkit Mathur</v>
      </c>
      <c r="C82" s="117">
        <f>IFERROR(__xludf.DUMMYFUNCTION("""COMPUTED_VALUE"""),18.0)</f>
        <v>18</v>
      </c>
      <c r="D82" s="117">
        <f>IFERROR(__xludf.DUMMYFUNCTION("""COMPUTED_VALUE"""),3.0)</f>
        <v>3</v>
      </c>
      <c r="E82" s="117">
        <f>IFERROR(__xludf.DUMMYFUNCTION("""COMPUTED_VALUE"""),10.0)</f>
        <v>10</v>
      </c>
      <c r="F82" s="1"/>
      <c r="L82" s="51"/>
    </row>
    <row r="83">
      <c r="A83" s="1"/>
      <c r="B83" s="33" t="str">
        <f>IFERROR(__xludf.DUMMYFUNCTION("""COMPUTED_VALUE"""),"Frank Moon")</f>
        <v>Frank Moon</v>
      </c>
      <c r="C83" s="117">
        <f>IFERROR(__xludf.DUMMYFUNCTION("""COMPUTED_VALUE"""),18.0)</f>
        <v>18</v>
      </c>
      <c r="D83" s="117">
        <f>IFERROR(__xludf.DUMMYFUNCTION("""COMPUTED_VALUE"""),2.0)</f>
        <v>2</v>
      </c>
      <c r="E83" s="117">
        <f>IFERROR(__xludf.DUMMYFUNCTION("""COMPUTED_VALUE"""),3.0)</f>
        <v>3</v>
      </c>
      <c r="F83" s="1"/>
      <c r="L83" s="51"/>
    </row>
    <row r="84">
      <c r="A84" s="1"/>
      <c r="B84" s="33" t="str">
        <f>IFERROR(__xludf.DUMMYFUNCTION("""COMPUTED_VALUE"""),"Lam Bui")</f>
        <v>Lam Bui</v>
      </c>
      <c r="C84" s="117">
        <f>IFERROR(__xludf.DUMMYFUNCTION("""COMPUTED_VALUE"""),18.0)</f>
        <v>18</v>
      </c>
      <c r="D84" s="117">
        <f>IFERROR(__xludf.DUMMYFUNCTION("""COMPUTED_VALUE"""),2.0)</f>
        <v>2</v>
      </c>
      <c r="E84" s="117">
        <f>IFERROR(__xludf.DUMMYFUNCTION("""COMPUTED_VALUE"""),8.0)</f>
        <v>8</v>
      </c>
      <c r="F84" s="1"/>
      <c r="L84" s="5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C87" s="1"/>
      <c r="D87" s="1"/>
      <c r="E87" s="1"/>
      <c r="F87" s="1"/>
    </row>
    <row r="88">
      <c r="A88" s="1"/>
      <c r="B88" s="51"/>
      <c r="C88" s="1"/>
      <c r="D88" s="1"/>
      <c r="E88" s="1"/>
      <c r="F88" s="1"/>
      <c r="G88" s="1"/>
      <c r="H88" s="1"/>
    </row>
    <row r="89">
      <c r="A89" s="1"/>
      <c r="B89" s="51"/>
      <c r="C89" s="1"/>
      <c r="D89" s="1"/>
      <c r="E89" s="1"/>
      <c r="F89" s="1"/>
    </row>
    <row r="90" ht="37.5" customHeight="1">
      <c r="A90" s="1"/>
      <c r="B90" s="119" t="s">
        <v>167</v>
      </c>
      <c r="C90" s="119" t="s">
        <v>168</v>
      </c>
      <c r="D90" s="133" t="s">
        <v>169</v>
      </c>
      <c r="E90" s="134" t="s">
        <v>170</v>
      </c>
      <c r="F90" s="135" t="s">
        <v>171</v>
      </c>
      <c r="G90" s="119" t="s">
        <v>172</v>
      </c>
      <c r="L90" s="119" t="s">
        <v>173</v>
      </c>
    </row>
    <row r="91">
      <c r="A91" s="1"/>
      <c r="B91" s="33" t="str">
        <f>IFERROR(__xludf.DUMMYFUNCTION("query(B5:W69,""select B, W order by W Desc Limit 10"")"),"Adrian Tay")</f>
        <v>Adrian Tay</v>
      </c>
      <c r="C91" s="117">
        <f>IFERROR(__xludf.DUMMYFUNCTION("""COMPUTED_VALUE"""),54.0)</f>
        <v>54</v>
      </c>
      <c r="D91" s="117">
        <f t="shared" ref="D91:D100" si="72">VLOOKUP(B91,indirect($AC$2&amp;"!B$5:X$69"),23, false)</f>
        <v>61</v>
      </c>
      <c r="E91" s="117">
        <f t="shared" ref="E91:E100" si="73">VLOOKUP(B91,B$5:X$69,23, false)</f>
        <v>7</v>
      </c>
      <c r="F91" s="117">
        <f t="shared" ref="F91:F100" si="74">VLOOKUP(B91,indirect($AC$2&amp;"!B$5:U$70"),11, false)</f>
        <v>17</v>
      </c>
      <c r="G91" s="117">
        <f t="shared" ref="G91:G100" si="75">VLOOKUP(B91,indirect($AC$2&amp;"!B$5:U$70"),6, false)</f>
        <v>7</v>
      </c>
      <c r="L91" s="117" t="str">
        <f t="shared" ref="L91:L100" si="76">if(D91-E91=C91,"ok","Error")</f>
        <v>ok</v>
      </c>
    </row>
    <row r="92">
      <c r="A92" s="1"/>
      <c r="B92" s="33" t="str">
        <f>IFERROR(__xludf.DUMMYFUNCTION("""COMPUTED_VALUE"""),"Rajesh Dorairaj")</f>
        <v>Rajesh Dorairaj</v>
      </c>
      <c r="C92" s="117">
        <f>IFERROR(__xludf.DUMMYFUNCTION("""COMPUTED_VALUE"""),49.0)</f>
        <v>49</v>
      </c>
      <c r="D92" s="117">
        <f t="shared" si="72"/>
        <v>63</v>
      </c>
      <c r="E92" s="117">
        <f t="shared" si="73"/>
        <v>14</v>
      </c>
      <c r="F92" s="117">
        <f t="shared" si="74"/>
        <v>15</v>
      </c>
      <c r="G92" s="117">
        <f t="shared" si="75"/>
        <v>1</v>
      </c>
      <c r="L92" s="117" t="str">
        <f t="shared" si="76"/>
        <v>ok</v>
      </c>
    </row>
    <row r="93">
      <c r="A93" s="1"/>
      <c r="B93" s="33" t="str">
        <f>IFERROR(__xludf.DUMMYFUNCTION("""COMPUTED_VALUE"""),"Frank Moon")</f>
        <v>Frank Moon</v>
      </c>
      <c r="C93" s="117">
        <f>IFERROR(__xludf.DUMMYFUNCTION("""COMPUTED_VALUE"""),47.0)</f>
        <v>47</v>
      </c>
      <c r="D93" s="117">
        <f t="shared" si="72"/>
        <v>64</v>
      </c>
      <c r="E93" s="117">
        <f t="shared" si="73"/>
        <v>17</v>
      </c>
      <c r="F93" s="117">
        <f t="shared" si="74"/>
        <v>14</v>
      </c>
      <c r="G93" s="117">
        <f t="shared" si="75"/>
        <v>5</v>
      </c>
      <c r="L93" s="117" t="str">
        <f t="shared" si="76"/>
        <v>ok</v>
      </c>
      <c r="Q93" s="136"/>
    </row>
    <row r="94">
      <c r="A94" s="1"/>
      <c r="B94" s="33" t="str">
        <f>IFERROR(__xludf.DUMMYFUNCTION("""COMPUTED_VALUE"""),"Ted Shen")</f>
        <v>Ted Shen</v>
      </c>
      <c r="C94" s="117">
        <f>IFERROR(__xludf.DUMMYFUNCTION("""COMPUTED_VALUE"""),41.0)</f>
        <v>41</v>
      </c>
      <c r="D94" s="117">
        <f t="shared" si="72"/>
        <v>52</v>
      </c>
      <c r="E94" s="117">
        <f t="shared" si="73"/>
        <v>11</v>
      </c>
      <c r="F94" s="117">
        <f t="shared" si="74"/>
        <v>15</v>
      </c>
      <c r="G94" s="117">
        <f t="shared" si="75"/>
        <v>6</v>
      </c>
      <c r="L94" s="117" t="str">
        <f t="shared" si="76"/>
        <v>ok</v>
      </c>
    </row>
    <row r="95">
      <c r="A95" s="1"/>
      <c r="B95" s="33" t="str">
        <f>IFERROR(__xludf.DUMMYFUNCTION("""COMPUTED_VALUE"""),"Rajasekar Ramasamy")</f>
        <v>Rajasekar Ramasamy</v>
      </c>
      <c r="C95" s="117">
        <f>IFERROR(__xludf.DUMMYFUNCTION("""COMPUTED_VALUE"""),41.0)</f>
        <v>41</v>
      </c>
      <c r="D95" s="117">
        <f t="shared" si="72"/>
        <v>53</v>
      </c>
      <c r="E95" s="117">
        <f t="shared" si="73"/>
        <v>12</v>
      </c>
      <c r="F95" s="117">
        <f t="shared" si="74"/>
        <v>15</v>
      </c>
      <c r="G95" s="117">
        <f t="shared" si="75"/>
        <v>7</v>
      </c>
      <c r="L95" s="117" t="str">
        <f t="shared" si="76"/>
        <v>ok</v>
      </c>
    </row>
    <row r="96">
      <c r="A96" s="1"/>
      <c r="B96" s="33" t="str">
        <f>IFERROR(__xludf.DUMMYFUNCTION("""COMPUTED_VALUE"""),"Cid Macaraeg")</f>
        <v>Cid Macaraeg</v>
      </c>
      <c r="C96" s="117">
        <f>IFERROR(__xludf.DUMMYFUNCTION("""COMPUTED_VALUE"""),41.0)</f>
        <v>41</v>
      </c>
      <c r="D96" s="117">
        <f t="shared" si="72"/>
        <v>54</v>
      </c>
      <c r="E96" s="117">
        <f t="shared" si="73"/>
        <v>13</v>
      </c>
      <c r="F96" s="117">
        <f t="shared" si="74"/>
        <v>15</v>
      </c>
      <c r="G96" s="117">
        <f t="shared" si="75"/>
        <v>9</v>
      </c>
      <c r="L96" s="117" t="str">
        <f t="shared" si="76"/>
        <v>ok</v>
      </c>
    </row>
    <row r="97">
      <c r="A97" s="1"/>
      <c r="B97" s="33" t="str">
        <f>IFERROR(__xludf.DUMMYFUNCTION("""COMPUTED_VALUE"""),"Robert Chang")</f>
        <v>Robert Chang</v>
      </c>
      <c r="C97" s="117">
        <f>IFERROR(__xludf.DUMMYFUNCTION("""COMPUTED_VALUE"""),39.0)</f>
        <v>39</v>
      </c>
      <c r="D97" s="117">
        <f t="shared" si="72"/>
        <v>43</v>
      </c>
      <c r="E97" s="117">
        <f t="shared" si="73"/>
        <v>4</v>
      </c>
      <c r="F97" s="117">
        <f t="shared" si="74"/>
        <v>18</v>
      </c>
      <c r="G97" s="117">
        <f t="shared" si="75"/>
        <v>3</v>
      </c>
      <c r="L97" s="117" t="str">
        <f t="shared" si="76"/>
        <v>ok</v>
      </c>
    </row>
    <row r="98">
      <c r="A98" s="1"/>
      <c r="B98" s="33" t="str">
        <f>IFERROR(__xludf.DUMMYFUNCTION("""COMPUTED_VALUE"""),"Eric Pan")</f>
        <v>Eric Pan</v>
      </c>
      <c r="C98" s="117">
        <f>IFERROR(__xludf.DUMMYFUNCTION("""COMPUTED_VALUE"""),35.0)</f>
        <v>35</v>
      </c>
      <c r="D98" s="117">
        <f t="shared" si="72"/>
        <v>56</v>
      </c>
      <c r="E98" s="117">
        <f t="shared" si="73"/>
        <v>21</v>
      </c>
      <c r="F98" s="117">
        <f t="shared" si="74"/>
        <v>13</v>
      </c>
      <c r="G98" s="117">
        <f t="shared" si="75"/>
        <v>7</v>
      </c>
      <c r="L98" s="117" t="str">
        <f t="shared" si="76"/>
        <v>ok</v>
      </c>
    </row>
    <row r="99">
      <c r="A99" s="1"/>
      <c r="B99" s="33" t="str">
        <f>IFERROR(__xludf.DUMMYFUNCTION("""COMPUTED_VALUE"""),"Tom Le")</f>
        <v>Tom Le</v>
      </c>
      <c r="C99" s="117">
        <f>IFERROR(__xludf.DUMMYFUNCTION("""COMPUTED_VALUE"""),32.0)</f>
        <v>32</v>
      </c>
      <c r="D99" s="117">
        <f t="shared" si="72"/>
        <v>58</v>
      </c>
      <c r="E99" s="117">
        <f t="shared" si="73"/>
        <v>26</v>
      </c>
      <c r="F99" s="117">
        <f t="shared" si="74"/>
        <v>13</v>
      </c>
      <c r="G99" s="117">
        <f t="shared" si="75"/>
        <v>4</v>
      </c>
      <c r="L99" s="117" t="str">
        <f t="shared" si="76"/>
        <v>ok</v>
      </c>
    </row>
    <row r="100">
      <c r="A100" s="1"/>
      <c r="B100" s="33" t="str">
        <f>IFERROR(__xludf.DUMMYFUNCTION("""COMPUTED_VALUE"""),"Sandeep Kamalon")</f>
        <v>Sandeep Kamalon</v>
      </c>
      <c r="C100" s="117">
        <f>IFERROR(__xludf.DUMMYFUNCTION("""COMPUTED_VALUE"""),30.0)</f>
        <v>30</v>
      </c>
      <c r="D100" s="117">
        <f t="shared" si="72"/>
        <v>50</v>
      </c>
      <c r="E100" s="117">
        <f t="shared" si="73"/>
        <v>20</v>
      </c>
      <c r="F100" s="117">
        <f t="shared" si="74"/>
        <v>13</v>
      </c>
      <c r="G100" s="117">
        <f t="shared" si="75"/>
        <v>6</v>
      </c>
      <c r="L100" s="117" t="str">
        <f t="shared" si="76"/>
        <v>ok</v>
      </c>
    </row>
    <row r="101">
      <c r="A101" s="1"/>
      <c r="B101" s="51"/>
      <c r="C101" s="1"/>
      <c r="E101" s="1"/>
      <c r="F101" s="1"/>
    </row>
    <row r="102">
      <c r="A102" s="1"/>
      <c r="B102" s="51"/>
      <c r="C102" s="1"/>
      <c r="E102" s="1"/>
      <c r="F102" s="1"/>
    </row>
    <row r="103">
      <c r="A103" s="1"/>
      <c r="B103" s="131" t="s">
        <v>181</v>
      </c>
      <c r="C103" s="131" t="s">
        <v>182</v>
      </c>
      <c r="D103" s="133" t="s">
        <v>169</v>
      </c>
      <c r="E103" s="134" t="s">
        <v>170</v>
      </c>
      <c r="F103" s="135" t="s">
        <v>171</v>
      </c>
      <c r="G103" s="119" t="s">
        <v>172</v>
      </c>
      <c r="L103" s="119" t="s">
        <v>173</v>
      </c>
    </row>
    <row r="104">
      <c r="A104" s="1"/>
      <c r="B104" s="33" t="str">
        <f>IFERROR(__xludf.DUMMYFUNCTION("query(B5:W69,""select B, W order by W asc Limit 10"")"),"Andrew Wen")</f>
        <v>Andrew Wen</v>
      </c>
      <c r="C104" s="117">
        <f>IFERROR(__xludf.DUMMYFUNCTION("""COMPUTED_VALUE"""),-56.0)</f>
        <v>-56</v>
      </c>
      <c r="D104" s="117">
        <f t="shared" ref="D104:D113" si="77">VLOOKUP(B104,indirect($AC$2&amp;"!B$5:X$69"),23, false)</f>
        <v>7</v>
      </c>
      <c r="E104" s="117">
        <f t="shared" ref="E104:E113" si="78">VLOOKUP(B104,B$5:X$69,23, false)</f>
        <v>63</v>
      </c>
      <c r="F104" s="117">
        <f t="shared" ref="F104:F113" si="79">VLOOKUP(B104,indirect($AC$2&amp;"!B$5:U$70"),11, false)</f>
        <v>7</v>
      </c>
      <c r="G104" s="117">
        <f t="shared" ref="G104:G113" si="80">VLOOKUP(B104,indirect($AC$2&amp;"!B$5:U$70"),6, false)</f>
        <v>6</v>
      </c>
      <c r="L104" s="117" t="str">
        <f t="shared" ref="L104:L113" si="81">if(D104-E104=C104,"ok","Error")</f>
        <v>ok</v>
      </c>
    </row>
    <row r="105">
      <c r="A105" s="1"/>
      <c r="B105" s="33" t="str">
        <f>IFERROR(__xludf.DUMMYFUNCTION("""COMPUTED_VALUE"""),"Kumar Palakeel")</f>
        <v>Kumar Palakeel</v>
      </c>
      <c r="C105" s="117">
        <f>IFERROR(__xludf.DUMMYFUNCTION("""COMPUTED_VALUE"""),-41.0)</f>
        <v>-41</v>
      </c>
      <c r="D105" s="117">
        <f t="shared" si="77"/>
        <v>24</v>
      </c>
      <c r="E105" s="117">
        <f t="shared" si="78"/>
        <v>65</v>
      </c>
      <c r="F105" s="117">
        <f t="shared" si="79"/>
        <v>5</v>
      </c>
      <c r="G105" s="117">
        <f t="shared" si="80"/>
        <v>9</v>
      </c>
      <c r="L105" s="117" t="str">
        <f t="shared" si="81"/>
        <v>ok</v>
      </c>
    </row>
    <row r="106">
      <c r="A106" s="1"/>
      <c r="B106" s="33" t="str">
        <f>IFERROR(__xludf.DUMMYFUNCTION("""COMPUTED_VALUE"""),"Tyler Leong")</f>
        <v>Tyler Leong</v>
      </c>
      <c r="C106" s="117">
        <f>IFERROR(__xludf.DUMMYFUNCTION("""COMPUTED_VALUE"""),-31.0)</f>
        <v>-31</v>
      </c>
      <c r="D106" s="117">
        <f t="shared" si="77"/>
        <v>1</v>
      </c>
      <c r="E106" s="117">
        <f t="shared" si="78"/>
        <v>32</v>
      </c>
      <c r="F106" s="117">
        <f t="shared" si="79"/>
        <v>9</v>
      </c>
      <c r="G106" s="117">
        <f t="shared" si="80"/>
        <v>0</v>
      </c>
      <c r="L106" s="117" t="str">
        <f t="shared" si="81"/>
        <v>ok</v>
      </c>
    </row>
    <row r="107">
      <c r="A107" s="1"/>
      <c r="B107" s="33" t="str">
        <f>IFERROR(__xludf.DUMMYFUNCTION("""COMPUTED_VALUE"""),"Allen Zhang")</f>
        <v>Allen Zhang</v>
      </c>
      <c r="C107" s="117">
        <f>IFERROR(__xludf.DUMMYFUNCTION("""COMPUTED_VALUE"""),-31.0)</f>
        <v>-31</v>
      </c>
      <c r="D107" s="117">
        <f t="shared" si="77"/>
        <v>2</v>
      </c>
      <c r="E107" s="117">
        <f t="shared" si="78"/>
        <v>33</v>
      </c>
      <c r="F107" s="117">
        <f t="shared" si="79"/>
        <v>9</v>
      </c>
      <c r="G107" s="117">
        <f t="shared" si="80"/>
        <v>5</v>
      </c>
      <c r="L107" s="117" t="str">
        <f t="shared" si="81"/>
        <v>ok</v>
      </c>
    </row>
    <row r="108">
      <c r="A108" s="1"/>
      <c r="B108" s="33" t="str">
        <f>IFERROR(__xludf.DUMMYFUNCTION("""COMPUTED_VALUE"""),"Erik Hoeckmann")</f>
        <v>Erik Hoeckmann</v>
      </c>
      <c r="C108" s="117">
        <f>IFERROR(__xludf.DUMMYFUNCTION("""COMPUTED_VALUE"""),-29.0)</f>
        <v>-29</v>
      </c>
      <c r="D108" s="117">
        <f t="shared" si="77"/>
        <v>5</v>
      </c>
      <c r="E108" s="117">
        <f t="shared" si="78"/>
        <v>34</v>
      </c>
      <c r="F108" s="117">
        <f t="shared" si="79"/>
        <v>9</v>
      </c>
      <c r="G108" s="117">
        <f t="shared" si="80"/>
        <v>0</v>
      </c>
      <c r="L108" s="117" t="str">
        <f t="shared" si="81"/>
        <v>ok</v>
      </c>
    </row>
    <row r="109">
      <c r="A109" s="1"/>
      <c r="B109" s="33" t="str">
        <f>IFERROR(__xludf.DUMMYFUNCTION("""COMPUTED_VALUE"""),"Manish Anand")</f>
        <v>Manish Anand</v>
      </c>
      <c r="C109" s="117">
        <f>IFERROR(__xludf.DUMMYFUNCTION("""COMPUTED_VALUE"""),-29.0)</f>
        <v>-29</v>
      </c>
      <c r="D109" s="117">
        <f t="shared" si="77"/>
        <v>6</v>
      </c>
      <c r="E109" s="117">
        <f t="shared" si="78"/>
        <v>35</v>
      </c>
      <c r="F109" s="117">
        <f t="shared" si="79"/>
        <v>9</v>
      </c>
      <c r="G109" s="117">
        <f t="shared" si="80"/>
        <v>0</v>
      </c>
      <c r="L109" s="117" t="str">
        <f t="shared" si="81"/>
        <v>ok</v>
      </c>
    </row>
    <row r="110">
      <c r="A110" s="1"/>
      <c r="B110" s="33" t="str">
        <f>IFERROR(__xludf.DUMMYFUNCTION("""COMPUTED_VALUE"""),"Jim Miao")</f>
        <v>Jim Miao</v>
      </c>
      <c r="C110" s="117">
        <f>IFERROR(__xludf.DUMMYFUNCTION("""COMPUTED_VALUE"""),-27.0)</f>
        <v>-27</v>
      </c>
      <c r="D110" s="117">
        <f t="shared" si="77"/>
        <v>9</v>
      </c>
      <c r="E110" s="117">
        <f t="shared" si="78"/>
        <v>36</v>
      </c>
      <c r="F110" s="117">
        <f t="shared" si="79"/>
        <v>9</v>
      </c>
      <c r="G110" s="117">
        <f t="shared" si="80"/>
        <v>0</v>
      </c>
      <c r="L110" s="117" t="str">
        <f t="shared" si="81"/>
        <v>ok</v>
      </c>
    </row>
    <row r="111">
      <c r="A111" s="1"/>
      <c r="B111" s="33" t="str">
        <f>IFERROR(__xludf.DUMMYFUNCTION("""COMPUTED_VALUE"""),"Lloyd Sagar")</f>
        <v>Lloyd Sagar</v>
      </c>
      <c r="C111" s="117">
        <f>IFERROR(__xludf.DUMMYFUNCTION("""COMPUTED_VALUE"""),-27.0)</f>
        <v>-27</v>
      </c>
      <c r="D111" s="117">
        <f t="shared" si="77"/>
        <v>10</v>
      </c>
      <c r="E111" s="117">
        <f t="shared" si="78"/>
        <v>37</v>
      </c>
      <c r="F111" s="117">
        <f t="shared" si="79"/>
        <v>9</v>
      </c>
      <c r="G111" s="117">
        <f t="shared" si="80"/>
        <v>0</v>
      </c>
      <c r="L111" s="117" t="str">
        <f t="shared" si="81"/>
        <v>ok</v>
      </c>
    </row>
    <row r="112">
      <c r="A112" s="1"/>
      <c r="B112" s="33" t="str">
        <f>IFERROR(__xludf.DUMMYFUNCTION("""COMPUTED_VALUE"""),"Hubert J Sung")</f>
        <v>Hubert J Sung</v>
      </c>
      <c r="C112" s="117">
        <f>IFERROR(__xludf.DUMMYFUNCTION("""COMPUTED_VALUE"""),-27.0)</f>
        <v>-27</v>
      </c>
      <c r="D112" s="117">
        <f t="shared" si="77"/>
        <v>35</v>
      </c>
      <c r="E112" s="117">
        <f t="shared" si="78"/>
        <v>62</v>
      </c>
      <c r="F112" s="117">
        <f t="shared" si="79"/>
        <v>7</v>
      </c>
      <c r="G112" s="117">
        <f t="shared" si="80"/>
        <v>8</v>
      </c>
      <c r="L112" s="117" t="str">
        <f t="shared" si="81"/>
        <v>ok</v>
      </c>
    </row>
    <row r="113">
      <c r="A113" s="1"/>
      <c r="B113" s="33" t="str">
        <f>IFERROR(__xludf.DUMMYFUNCTION("""COMPUTED_VALUE"""),"Alejandro Mejia")</f>
        <v>Alejandro Mejia</v>
      </c>
      <c r="C113" s="117">
        <f>IFERROR(__xludf.DUMMYFUNCTION("""COMPUTED_VALUE"""),-24.0)</f>
        <v>-24</v>
      </c>
      <c r="D113" s="117">
        <f t="shared" si="77"/>
        <v>14</v>
      </c>
      <c r="E113" s="117">
        <f t="shared" si="78"/>
        <v>38</v>
      </c>
      <c r="F113" s="117">
        <f t="shared" si="79"/>
        <v>9</v>
      </c>
      <c r="G113" s="117">
        <f t="shared" si="80"/>
        <v>0</v>
      </c>
      <c r="L113" s="117" t="str">
        <f t="shared" si="81"/>
        <v>ok</v>
      </c>
    </row>
    <row r="114">
      <c r="A114" s="1"/>
      <c r="B114" s="51"/>
      <c r="C114" s="1"/>
      <c r="E114" s="1"/>
      <c r="F114" s="1"/>
    </row>
    <row r="115">
      <c r="A115" s="1"/>
      <c r="B115" s="51"/>
      <c r="C115" s="1"/>
      <c r="E115" s="1"/>
      <c r="F115" s="1"/>
    </row>
    <row r="116">
      <c r="A116" s="1"/>
      <c r="B116" s="51"/>
      <c r="C116" s="1"/>
      <c r="E116" s="1"/>
      <c r="F116" s="1"/>
    </row>
    <row r="117">
      <c r="A117" s="1"/>
      <c r="B117" s="51"/>
      <c r="C117" s="1"/>
      <c r="E117" s="1"/>
      <c r="F117" s="1"/>
    </row>
    <row r="118">
      <c r="A118" s="1"/>
      <c r="B118" s="51"/>
      <c r="C118" s="1"/>
      <c r="D118" s="1"/>
      <c r="E118" s="1"/>
      <c r="F118" s="1"/>
    </row>
    <row r="119">
      <c r="A119" s="137" t="s">
        <v>188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6"/>
    </row>
    <row r="120">
      <c r="A120" s="64"/>
      <c r="B120" s="131" t="s">
        <v>184</v>
      </c>
      <c r="C120" s="138" t="s">
        <v>185</v>
      </c>
      <c r="D120" s="25"/>
      <c r="E120" s="26"/>
      <c r="F120" s="138" t="s">
        <v>186</v>
      </c>
      <c r="G120" s="25"/>
      <c r="H120" s="26"/>
      <c r="I120" s="139" t="s">
        <v>187</v>
      </c>
      <c r="J120" s="25"/>
      <c r="K120" s="25"/>
      <c r="L120" s="25"/>
      <c r="M120" s="26"/>
    </row>
    <row r="121">
      <c r="A121" s="140">
        <v>1.0</v>
      </c>
      <c r="B121" s="33" t="str">
        <f>IFERROR(__xludf.DUMMYFUNCTION("query(B5:W69,""select B where R = 'X' order by B asc"")"),"Adrian Tay")</f>
        <v>Adrian Tay</v>
      </c>
      <c r="C121" s="141" t="str">
        <f>IFERROR(__xludf.DUMMYFUNCTION("query(B5:W69,""select B where R = '' order by B asc"")"),"#N/A")</f>
        <v>#N/A</v>
      </c>
      <c r="D121" s="25"/>
      <c r="E121" s="26"/>
      <c r="F121" s="141" t="str">
        <f>IFERROR(__xludf.DUMMYFUNCTION("query(B5:W69,""select B where R = 'N' order by B asc"")"),"#N/A")</f>
        <v>#N/A</v>
      </c>
      <c r="G121" s="25"/>
      <c r="H121" s="26"/>
      <c r="I121" s="141" t="s">
        <v>67</v>
      </c>
      <c r="J121" s="25"/>
      <c r="K121" s="25"/>
      <c r="L121" s="25"/>
      <c r="M121" s="26"/>
    </row>
    <row r="122">
      <c r="A122" s="140">
        <f t="shared" ref="A122:A185" si="82">A121+1</f>
        <v>2</v>
      </c>
      <c r="B122" s="33" t="str">
        <f>IFERROR(__xludf.DUMMYFUNCTION("""COMPUTED_VALUE"""),"Alejandro Mejia")</f>
        <v>Alejandro Mejia</v>
      </c>
      <c r="C122" s="141"/>
      <c r="D122" s="25"/>
      <c r="E122" s="26"/>
      <c r="F122" s="141"/>
      <c r="G122" s="25"/>
      <c r="H122" s="26"/>
      <c r="I122" s="141"/>
      <c r="J122" s="25"/>
      <c r="K122" s="25"/>
      <c r="L122" s="25"/>
      <c r="M122" s="26"/>
    </row>
    <row r="123">
      <c r="A123" s="140">
        <f t="shared" si="82"/>
        <v>3</v>
      </c>
      <c r="B123" s="33" t="str">
        <f>IFERROR(__xludf.DUMMYFUNCTION("""COMPUTED_VALUE"""),"Alex Hou")</f>
        <v>Alex Hou</v>
      </c>
      <c r="C123" s="141"/>
      <c r="D123" s="25"/>
      <c r="E123" s="26"/>
      <c r="F123" s="141"/>
      <c r="G123" s="25"/>
      <c r="H123" s="26"/>
      <c r="I123" s="141"/>
      <c r="J123" s="25"/>
      <c r="K123" s="25"/>
      <c r="L123" s="25"/>
      <c r="M123" s="26"/>
    </row>
    <row r="124">
      <c r="A124" s="140">
        <f t="shared" si="82"/>
        <v>4</v>
      </c>
      <c r="B124" s="33" t="str">
        <f>IFERROR(__xludf.DUMMYFUNCTION("""COMPUTED_VALUE"""),"Allen Zhang")</f>
        <v>Allen Zhang</v>
      </c>
      <c r="C124" s="141"/>
      <c r="D124" s="25"/>
      <c r="E124" s="26"/>
      <c r="F124" s="141"/>
      <c r="G124" s="25"/>
      <c r="H124" s="26"/>
      <c r="I124" s="141"/>
      <c r="J124" s="25"/>
      <c r="K124" s="25"/>
      <c r="L124" s="25"/>
      <c r="M124" s="26"/>
    </row>
    <row r="125">
      <c r="A125" s="140">
        <f t="shared" si="82"/>
        <v>5</v>
      </c>
      <c r="B125" s="33" t="str">
        <f>IFERROR(__xludf.DUMMYFUNCTION("""COMPUTED_VALUE"""),"Andrew Wen")</f>
        <v>Andrew Wen</v>
      </c>
      <c r="C125" s="141"/>
      <c r="D125" s="25"/>
      <c r="E125" s="26"/>
      <c r="F125" s="141"/>
      <c r="G125" s="25"/>
      <c r="H125" s="26"/>
      <c r="I125" s="141"/>
      <c r="J125" s="25"/>
      <c r="K125" s="25"/>
      <c r="L125" s="25"/>
      <c r="M125" s="26"/>
    </row>
    <row r="126">
      <c r="A126" s="140">
        <f t="shared" si="82"/>
        <v>6</v>
      </c>
      <c r="B126" s="33" t="str">
        <f>IFERROR(__xludf.DUMMYFUNCTION("""COMPUTED_VALUE"""),"Balaji Alahari")</f>
        <v>Balaji Alahari</v>
      </c>
      <c r="C126" s="141"/>
      <c r="D126" s="25"/>
      <c r="E126" s="26"/>
      <c r="F126" s="141"/>
      <c r="G126" s="25"/>
      <c r="H126" s="26"/>
      <c r="I126" s="141"/>
      <c r="J126" s="25"/>
      <c r="K126" s="25"/>
      <c r="L126" s="25"/>
      <c r="M126" s="26"/>
    </row>
    <row r="127">
      <c r="A127" s="140">
        <f t="shared" si="82"/>
        <v>7</v>
      </c>
      <c r="B127" s="33" t="str">
        <f>IFERROR(__xludf.DUMMYFUNCTION("""COMPUTED_VALUE"""),"Barathi Sundaram")</f>
        <v>Barathi Sundaram</v>
      </c>
      <c r="C127" s="141"/>
      <c r="D127" s="25"/>
      <c r="E127" s="26"/>
      <c r="F127" s="141"/>
      <c r="G127" s="25"/>
      <c r="H127" s="26"/>
      <c r="I127" s="141"/>
      <c r="J127" s="25"/>
      <c r="K127" s="25"/>
      <c r="L127" s="25"/>
      <c r="M127" s="26"/>
    </row>
    <row r="128">
      <c r="A128" s="140">
        <f t="shared" si="82"/>
        <v>8</v>
      </c>
      <c r="B128" s="33" t="str">
        <f>IFERROR(__xludf.DUMMYFUNCTION("""COMPUTED_VALUE"""),"Basudev Thoppai Vidyasankar")</f>
        <v>Basudev Thoppai Vidyasankar</v>
      </c>
      <c r="C128" s="141"/>
      <c r="D128" s="25"/>
      <c r="E128" s="26"/>
      <c r="F128" s="141"/>
      <c r="G128" s="25"/>
      <c r="H128" s="26"/>
      <c r="I128" s="141"/>
      <c r="J128" s="25"/>
      <c r="K128" s="25"/>
      <c r="L128" s="25"/>
      <c r="M128" s="26"/>
    </row>
    <row r="129">
      <c r="A129" s="140">
        <f t="shared" si="82"/>
        <v>9</v>
      </c>
      <c r="B129" s="33" t="str">
        <f>IFERROR(__xludf.DUMMYFUNCTION("""COMPUTED_VALUE"""),"Chinna Ponnaganti")</f>
        <v>Chinna Ponnaganti</v>
      </c>
      <c r="C129" s="141"/>
      <c r="D129" s="25"/>
      <c r="E129" s="26"/>
      <c r="F129" s="141"/>
      <c r="G129" s="25"/>
      <c r="H129" s="26"/>
      <c r="I129" s="141"/>
      <c r="J129" s="25"/>
      <c r="K129" s="25"/>
      <c r="L129" s="25"/>
      <c r="M129" s="26"/>
    </row>
    <row r="130">
      <c r="A130" s="140">
        <f t="shared" si="82"/>
        <v>10</v>
      </c>
      <c r="B130" s="33" t="str">
        <f>IFERROR(__xludf.DUMMYFUNCTION("""COMPUTED_VALUE"""),"Cid Macaraeg")</f>
        <v>Cid Macaraeg</v>
      </c>
      <c r="C130" s="141"/>
      <c r="D130" s="25"/>
      <c r="E130" s="26"/>
      <c r="F130" s="141"/>
      <c r="G130" s="25"/>
      <c r="H130" s="26"/>
      <c r="I130" s="141"/>
      <c r="J130" s="25"/>
      <c r="K130" s="25"/>
      <c r="L130" s="25"/>
      <c r="M130" s="26"/>
    </row>
    <row r="131">
      <c r="A131" s="140">
        <f t="shared" si="82"/>
        <v>11</v>
      </c>
      <c r="B131" s="33" t="str">
        <f>IFERROR(__xludf.DUMMYFUNCTION("""COMPUTED_VALUE"""),"Coco Yan")</f>
        <v>Coco Yan</v>
      </c>
      <c r="C131" s="141"/>
      <c r="D131" s="25"/>
      <c r="E131" s="26"/>
      <c r="F131" s="141"/>
      <c r="G131" s="25"/>
      <c r="H131" s="26"/>
      <c r="I131" s="141"/>
      <c r="J131" s="25"/>
      <c r="K131" s="25"/>
      <c r="L131" s="25"/>
      <c r="M131" s="26"/>
    </row>
    <row r="132">
      <c r="A132" s="140">
        <f t="shared" si="82"/>
        <v>12</v>
      </c>
      <c r="B132" s="33" t="str">
        <f>IFERROR(__xludf.DUMMYFUNCTION("""COMPUTED_VALUE"""),"Darren Wong")</f>
        <v>Darren Wong</v>
      </c>
      <c r="C132" s="141"/>
      <c r="D132" s="25"/>
      <c r="E132" s="26"/>
      <c r="F132" s="141"/>
      <c r="G132" s="25"/>
      <c r="H132" s="26"/>
      <c r="I132" s="141"/>
      <c r="J132" s="25"/>
      <c r="K132" s="25"/>
      <c r="L132" s="25"/>
      <c r="M132" s="26"/>
    </row>
    <row r="133">
      <c r="A133" s="140">
        <f t="shared" si="82"/>
        <v>13</v>
      </c>
      <c r="B133" s="33" t="str">
        <f>IFERROR(__xludf.DUMMYFUNCTION("""COMPUTED_VALUE"""),"David Shin")</f>
        <v>David Shin</v>
      </c>
      <c r="C133" s="141"/>
      <c r="D133" s="25"/>
      <c r="E133" s="26"/>
      <c r="F133" s="141"/>
      <c r="G133" s="25"/>
      <c r="H133" s="26"/>
      <c r="I133" s="141"/>
      <c r="J133" s="25"/>
      <c r="K133" s="25"/>
      <c r="L133" s="25"/>
      <c r="M133" s="26"/>
    </row>
    <row r="134">
      <c r="A134" s="140">
        <f t="shared" si="82"/>
        <v>14</v>
      </c>
      <c r="B134" s="33" t="str">
        <f>IFERROR(__xludf.DUMMYFUNCTION("""COMPUTED_VALUE"""),"Elayaraja Thangaraj")</f>
        <v>Elayaraja Thangaraj</v>
      </c>
      <c r="C134" s="141"/>
      <c r="D134" s="25"/>
      <c r="E134" s="26"/>
      <c r="F134" s="141"/>
      <c r="G134" s="25"/>
      <c r="H134" s="26"/>
      <c r="I134" s="141"/>
      <c r="J134" s="25"/>
      <c r="K134" s="25"/>
      <c r="L134" s="25"/>
      <c r="M134" s="26"/>
    </row>
    <row r="135">
      <c r="A135" s="140">
        <f t="shared" si="82"/>
        <v>15</v>
      </c>
      <c r="B135" s="33" t="str">
        <f>IFERROR(__xludf.DUMMYFUNCTION("""COMPUTED_VALUE"""),"Eric Pan")</f>
        <v>Eric Pan</v>
      </c>
      <c r="C135" s="141"/>
      <c r="D135" s="25"/>
      <c r="E135" s="26"/>
      <c r="F135" s="141"/>
      <c r="G135" s="25"/>
      <c r="H135" s="26"/>
      <c r="I135" s="141"/>
      <c r="J135" s="25"/>
      <c r="K135" s="25"/>
      <c r="L135" s="25"/>
      <c r="M135" s="26"/>
    </row>
    <row r="136">
      <c r="A136" s="140">
        <f t="shared" si="82"/>
        <v>16</v>
      </c>
      <c r="B136" s="33" t="str">
        <f>IFERROR(__xludf.DUMMYFUNCTION("""COMPUTED_VALUE"""),"Eric Tan")</f>
        <v>Eric Tan</v>
      </c>
      <c r="C136" s="141"/>
      <c r="D136" s="25"/>
      <c r="E136" s="26"/>
      <c r="F136" s="141"/>
      <c r="G136" s="25"/>
      <c r="H136" s="26"/>
    </row>
    <row r="137">
      <c r="A137" s="140">
        <f t="shared" si="82"/>
        <v>17</v>
      </c>
      <c r="B137" s="33" t="str">
        <f>IFERROR(__xludf.DUMMYFUNCTION("""COMPUTED_VALUE"""),"Erik Hoeckmann")</f>
        <v>Erik Hoeckmann</v>
      </c>
      <c r="C137" s="141"/>
      <c r="D137" s="25"/>
      <c r="E137" s="26"/>
      <c r="F137" s="141"/>
      <c r="G137" s="25"/>
      <c r="H137" s="26"/>
    </row>
    <row r="138">
      <c r="A138" s="140">
        <f t="shared" si="82"/>
        <v>18</v>
      </c>
      <c r="B138" s="33" t="str">
        <f>IFERROR(__xludf.DUMMYFUNCTION("""COMPUTED_VALUE"""),"Ethan Gu")</f>
        <v>Ethan Gu</v>
      </c>
      <c r="C138" s="141"/>
      <c r="D138" s="25"/>
      <c r="E138" s="26"/>
      <c r="F138" s="141"/>
      <c r="G138" s="25"/>
      <c r="H138" s="26"/>
    </row>
    <row r="139">
      <c r="A139" s="140">
        <f t="shared" si="82"/>
        <v>19</v>
      </c>
      <c r="B139" s="33" t="str">
        <f>IFERROR(__xludf.DUMMYFUNCTION("""COMPUTED_VALUE"""),"Frank Moon")</f>
        <v>Frank Moon</v>
      </c>
      <c r="C139" s="141"/>
      <c r="D139" s="25"/>
      <c r="E139" s="26"/>
      <c r="F139" s="141"/>
      <c r="G139" s="25"/>
      <c r="H139" s="26"/>
    </row>
    <row r="140">
      <c r="A140" s="140">
        <f t="shared" si="82"/>
        <v>20</v>
      </c>
      <c r="B140" s="33" t="str">
        <f>IFERROR(__xludf.DUMMYFUNCTION("""COMPUTED_VALUE"""),"Herman Au")</f>
        <v>Herman Au</v>
      </c>
      <c r="C140" s="141"/>
      <c r="D140" s="25"/>
      <c r="E140" s="26"/>
      <c r="F140" s="141"/>
      <c r="G140" s="25"/>
      <c r="H140" s="26"/>
    </row>
    <row r="141">
      <c r="A141" s="140">
        <f t="shared" si="82"/>
        <v>21</v>
      </c>
      <c r="B141" s="33" t="str">
        <f>IFERROR(__xludf.DUMMYFUNCTION("""COMPUTED_VALUE"""),"Hongyuan Wen")</f>
        <v>Hongyuan Wen</v>
      </c>
      <c r="C141" s="141"/>
      <c r="D141" s="25"/>
      <c r="E141" s="26"/>
      <c r="F141" s="141"/>
      <c r="G141" s="25"/>
      <c r="H141" s="26"/>
    </row>
    <row r="142">
      <c r="A142" s="140">
        <f t="shared" si="82"/>
        <v>22</v>
      </c>
      <c r="B142" s="33" t="str">
        <f>IFERROR(__xludf.DUMMYFUNCTION("""COMPUTED_VALUE"""),"Hubert J Sung")</f>
        <v>Hubert J Sung</v>
      </c>
      <c r="C142" s="141"/>
      <c r="D142" s="25"/>
      <c r="E142" s="26"/>
      <c r="F142" s="141"/>
      <c r="G142" s="25"/>
      <c r="H142" s="26"/>
    </row>
    <row r="143">
      <c r="A143" s="140">
        <f t="shared" si="82"/>
        <v>23</v>
      </c>
      <c r="B143" s="33" t="str">
        <f>IFERROR(__xludf.DUMMYFUNCTION("""COMPUTED_VALUE"""),"James Phan")</f>
        <v>James Phan</v>
      </c>
      <c r="C143" s="141"/>
      <c r="D143" s="25"/>
      <c r="E143" s="26"/>
      <c r="F143" s="141"/>
      <c r="G143" s="25"/>
      <c r="H143" s="26"/>
    </row>
    <row r="144">
      <c r="A144" s="140">
        <f t="shared" si="82"/>
        <v>24</v>
      </c>
      <c r="B144" s="33" t="str">
        <f>IFERROR(__xludf.DUMMYFUNCTION("""COMPUTED_VALUE"""),"Jim Miao")</f>
        <v>Jim Miao</v>
      </c>
      <c r="C144" s="141"/>
      <c r="D144" s="25"/>
      <c r="E144" s="26"/>
      <c r="F144" s="141"/>
      <c r="G144" s="25"/>
      <c r="H144" s="26"/>
    </row>
    <row r="145">
      <c r="A145" s="140">
        <f t="shared" si="82"/>
        <v>25</v>
      </c>
      <c r="B145" s="33" t="str">
        <f>IFERROR(__xludf.DUMMYFUNCTION("""COMPUTED_VALUE"""),"Jimmy Awolesi")</f>
        <v>Jimmy Awolesi</v>
      </c>
      <c r="C145" s="141"/>
      <c r="D145" s="25"/>
      <c r="E145" s="26"/>
      <c r="F145" s="141"/>
      <c r="G145" s="25"/>
      <c r="H145" s="26"/>
    </row>
    <row r="146">
      <c r="A146" s="140">
        <f t="shared" si="82"/>
        <v>26</v>
      </c>
      <c r="B146" s="33" t="str">
        <f>IFERROR(__xludf.DUMMYFUNCTION("""COMPUTED_VALUE"""),"Joe Luzzi")</f>
        <v>Joe Luzzi</v>
      </c>
      <c r="C146" s="141"/>
      <c r="D146" s="25"/>
      <c r="E146" s="26"/>
      <c r="F146" s="141"/>
      <c r="G146" s="25"/>
      <c r="H146" s="26"/>
    </row>
    <row r="147">
      <c r="A147" s="140">
        <f t="shared" si="82"/>
        <v>27</v>
      </c>
      <c r="B147" s="33" t="str">
        <f>IFERROR(__xludf.DUMMYFUNCTION("""COMPUTED_VALUE"""),"Jonathan Phan")</f>
        <v>Jonathan Phan</v>
      </c>
      <c r="C147" s="141"/>
      <c r="D147" s="25"/>
      <c r="E147" s="26"/>
      <c r="F147" s="141"/>
      <c r="G147" s="25"/>
      <c r="H147" s="26"/>
    </row>
    <row r="148">
      <c r="A148" s="140">
        <f t="shared" si="82"/>
        <v>28</v>
      </c>
      <c r="B148" s="33" t="str">
        <f>IFERROR(__xludf.DUMMYFUNCTION("""COMPUTED_VALUE"""),"Joyce Zhu")</f>
        <v>Joyce Zhu</v>
      </c>
      <c r="C148" s="141"/>
      <c r="D148" s="25"/>
      <c r="E148" s="26"/>
      <c r="F148" s="141"/>
      <c r="G148" s="25"/>
      <c r="H148" s="26"/>
    </row>
    <row r="149">
      <c r="A149" s="140">
        <f t="shared" si="82"/>
        <v>29</v>
      </c>
      <c r="B149" s="33" t="str">
        <f>IFERROR(__xludf.DUMMYFUNCTION("""COMPUTED_VALUE"""),"Kumar Palakeel")</f>
        <v>Kumar Palakeel</v>
      </c>
      <c r="C149" s="141"/>
      <c r="D149" s="25"/>
      <c r="E149" s="26"/>
      <c r="F149" s="141"/>
      <c r="G149" s="25"/>
      <c r="H149" s="26"/>
    </row>
    <row r="150">
      <c r="A150" s="140">
        <f t="shared" si="82"/>
        <v>30</v>
      </c>
      <c r="B150" s="33" t="str">
        <f>IFERROR(__xludf.DUMMYFUNCTION("""COMPUTED_VALUE"""),"Lam Bui")</f>
        <v>Lam Bui</v>
      </c>
      <c r="C150" s="141"/>
      <c r="D150" s="25"/>
      <c r="E150" s="26"/>
      <c r="F150" s="141"/>
      <c r="G150" s="25"/>
      <c r="H150" s="26"/>
    </row>
    <row r="151">
      <c r="A151" s="140">
        <f t="shared" si="82"/>
        <v>31</v>
      </c>
      <c r="B151" s="33" t="str">
        <f>IFERROR(__xludf.DUMMYFUNCTION("""COMPUTED_VALUE"""),"Leigh-Anh Nguyen")</f>
        <v>Leigh-Anh Nguyen</v>
      </c>
      <c r="C151" s="141"/>
      <c r="D151" s="25"/>
      <c r="E151" s="26"/>
      <c r="F151" s="141"/>
      <c r="G151" s="25"/>
      <c r="H151" s="26"/>
    </row>
    <row r="152">
      <c r="A152" s="140">
        <f t="shared" si="82"/>
        <v>32</v>
      </c>
      <c r="B152" s="33" t="str">
        <f>IFERROR(__xludf.DUMMYFUNCTION("""COMPUTED_VALUE"""),"Lloyd Sagar")</f>
        <v>Lloyd Sagar</v>
      </c>
      <c r="C152" s="141"/>
      <c r="D152" s="25"/>
      <c r="E152" s="26"/>
      <c r="F152" s="141"/>
      <c r="G152" s="25"/>
      <c r="H152" s="26"/>
    </row>
    <row r="153">
      <c r="A153" s="140">
        <f t="shared" si="82"/>
        <v>33</v>
      </c>
      <c r="B153" s="33" t="str">
        <f>IFERROR(__xludf.DUMMYFUNCTION("""COMPUTED_VALUE"""),"Luis Hsu")</f>
        <v>Luis Hsu</v>
      </c>
      <c r="C153" s="141"/>
      <c r="D153" s="25"/>
      <c r="E153" s="26"/>
      <c r="F153" s="141"/>
      <c r="G153" s="25"/>
      <c r="H153" s="26"/>
    </row>
    <row r="154">
      <c r="A154" s="140">
        <f t="shared" si="82"/>
        <v>34</v>
      </c>
      <c r="B154" s="33" t="str">
        <f>IFERROR(__xludf.DUMMYFUNCTION("""COMPUTED_VALUE"""),"Manish Anand")</f>
        <v>Manish Anand</v>
      </c>
      <c r="C154" s="141"/>
      <c r="D154" s="25"/>
      <c r="E154" s="26"/>
      <c r="F154" s="141"/>
      <c r="G154" s="25"/>
      <c r="H154" s="26"/>
    </row>
    <row r="155">
      <c r="A155" s="140">
        <f t="shared" si="82"/>
        <v>35</v>
      </c>
      <c r="B155" s="33" t="str">
        <f>IFERROR(__xludf.DUMMYFUNCTION("""COMPUTED_VALUE"""),"Manuel Rivera")</f>
        <v>Manuel Rivera</v>
      </c>
      <c r="C155" s="141"/>
      <c r="D155" s="25"/>
      <c r="E155" s="26"/>
      <c r="F155" s="141"/>
      <c r="G155" s="25"/>
      <c r="H155" s="26"/>
    </row>
    <row r="156">
      <c r="A156" s="140">
        <f t="shared" si="82"/>
        <v>36</v>
      </c>
      <c r="B156" s="33" t="str">
        <f>IFERROR(__xludf.DUMMYFUNCTION("""COMPUTED_VALUE"""),"Matthew Huang")</f>
        <v>Matthew Huang</v>
      </c>
      <c r="C156" s="141"/>
      <c r="D156" s="25"/>
      <c r="E156" s="26"/>
      <c r="F156" s="141"/>
      <c r="G156" s="25"/>
      <c r="H156" s="26"/>
    </row>
    <row r="157">
      <c r="A157" s="140">
        <f t="shared" si="82"/>
        <v>37</v>
      </c>
      <c r="B157" s="33" t="str">
        <f>IFERROR(__xludf.DUMMYFUNCTION("""COMPUTED_VALUE"""),"Mauricio Palacios")</f>
        <v>Mauricio Palacios</v>
      </c>
      <c r="C157" s="141"/>
      <c r="D157" s="25"/>
      <c r="E157" s="26"/>
      <c r="F157" s="141"/>
      <c r="G157" s="25"/>
      <c r="H157" s="26"/>
    </row>
    <row r="158">
      <c r="A158" s="140">
        <f t="shared" si="82"/>
        <v>38</v>
      </c>
      <c r="B158" s="33" t="str">
        <f>IFERROR(__xludf.DUMMYFUNCTION("""COMPUTED_VALUE"""),"Naveen Raj")</f>
        <v>Naveen Raj</v>
      </c>
      <c r="C158" s="141"/>
      <c r="D158" s="25"/>
      <c r="E158" s="26"/>
      <c r="F158" s="141"/>
      <c r="G158" s="25"/>
      <c r="H158" s="26"/>
    </row>
    <row r="159">
      <c r="A159" s="140">
        <f t="shared" si="82"/>
        <v>39</v>
      </c>
      <c r="B159" s="33" t="str">
        <f>IFERROR(__xludf.DUMMYFUNCTION("""COMPUTED_VALUE"""),"Nicole Ni")</f>
        <v>Nicole Ni</v>
      </c>
      <c r="C159" s="141"/>
      <c r="D159" s="25"/>
      <c r="E159" s="26"/>
      <c r="F159" s="141"/>
      <c r="G159" s="25"/>
      <c r="H159" s="26"/>
    </row>
    <row r="160">
      <c r="A160" s="140">
        <f t="shared" si="82"/>
        <v>40</v>
      </c>
      <c r="B160" s="33" t="str">
        <f>IFERROR(__xludf.DUMMYFUNCTION("""COMPUTED_VALUE"""),"Oscar Bonilla")</f>
        <v>Oscar Bonilla</v>
      </c>
      <c r="C160" s="141"/>
      <c r="D160" s="25"/>
      <c r="E160" s="26"/>
      <c r="F160" s="141"/>
      <c r="G160" s="25"/>
      <c r="H160" s="26"/>
    </row>
    <row r="161">
      <c r="A161" s="140">
        <f t="shared" si="82"/>
        <v>41</v>
      </c>
      <c r="B161" s="33" t="str">
        <f>IFERROR(__xludf.DUMMYFUNCTION("""COMPUTED_VALUE"""),"Pavan Akkimsetty")</f>
        <v>Pavan Akkimsetty</v>
      </c>
      <c r="C161" s="141"/>
      <c r="D161" s="25"/>
      <c r="E161" s="26"/>
      <c r="F161" s="141"/>
      <c r="G161" s="25"/>
      <c r="H161" s="26"/>
    </row>
    <row r="162">
      <c r="A162" s="140">
        <f t="shared" si="82"/>
        <v>42</v>
      </c>
      <c r="B162" s="33" t="str">
        <f>IFERROR(__xludf.DUMMYFUNCTION("""COMPUTED_VALUE"""),"Pulkit Mathur")</f>
        <v>Pulkit Mathur</v>
      </c>
      <c r="C162" s="141"/>
      <c r="D162" s="25"/>
      <c r="E162" s="26"/>
      <c r="F162" s="141"/>
      <c r="G162" s="25"/>
      <c r="H162" s="26"/>
    </row>
    <row r="163">
      <c r="A163" s="140">
        <f t="shared" si="82"/>
        <v>43</v>
      </c>
      <c r="B163" s="33" t="str">
        <f>IFERROR(__xludf.DUMMYFUNCTION("""COMPUTED_VALUE"""),"Rajasekar Ramasamy")</f>
        <v>Rajasekar Ramasamy</v>
      </c>
      <c r="C163" s="141"/>
      <c r="D163" s="25"/>
      <c r="E163" s="26"/>
      <c r="F163" s="141"/>
      <c r="G163" s="25"/>
      <c r="H163" s="26"/>
    </row>
    <row r="164">
      <c r="A164" s="140">
        <f t="shared" si="82"/>
        <v>44</v>
      </c>
      <c r="B164" s="33" t="str">
        <f>IFERROR(__xludf.DUMMYFUNCTION("""COMPUTED_VALUE"""),"Rajesh Dorairaj")</f>
        <v>Rajesh Dorairaj</v>
      </c>
      <c r="C164" s="141"/>
      <c r="D164" s="25"/>
      <c r="E164" s="26"/>
      <c r="F164" s="141"/>
      <c r="G164" s="25"/>
      <c r="H164" s="26"/>
    </row>
    <row r="165">
      <c r="A165" s="140">
        <f t="shared" si="82"/>
        <v>45</v>
      </c>
      <c r="B165" s="33" t="str">
        <f>IFERROR(__xludf.DUMMYFUNCTION("""COMPUTED_VALUE"""),"Ramesh Bandaru")</f>
        <v>Ramesh Bandaru</v>
      </c>
      <c r="C165" s="141"/>
      <c r="D165" s="25"/>
      <c r="E165" s="26"/>
      <c r="F165" s="141"/>
      <c r="G165" s="25"/>
      <c r="H165" s="26"/>
    </row>
    <row r="166">
      <c r="A166" s="140">
        <f t="shared" si="82"/>
        <v>46</v>
      </c>
      <c r="B166" s="33" t="str">
        <f>IFERROR(__xludf.DUMMYFUNCTION("""COMPUTED_VALUE"""),"Robert Chang")</f>
        <v>Robert Chang</v>
      </c>
      <c r="C166" s="141"/>
      <c r="D166" s="25"/>
      <c r="E166" s="26"/>
      <c r="F166" s="141"/>
      <c r="G166" s="25"/>
      <c r="H166" s="26"/>
    </row>
    <row r="167">
      <c r="A167" s="140">
        <f t="shared" si="82"/>
        <v>47</v>
      </c>
      <c r="B167" s="33" t="str">
        <f>IFERROR(__xludf.DUMMYFUNCTION("""COMPUTED_VALUE"""),"Sandeep Kamalon")</f>
        <v>Sandeep Kamalon</v>
      </c>
      <c r="C167" s="141"/>
      <c r="D167" s="25"/>
      <c r="E167" s="26"/>
      <c r="F167" s="141"/>
      <c r="G167" s="25"/>
      <c r="H167" s="26"/>
    </row>
    <row r="168">
      <c r="A168" s="140">
        <f t="shared" si="82"/>
        <v>48</v>
      </c>
      <c r="B168" s="33" t="str">
        <f>IFERROR(__xludf.DUMMYFUNCTION("""COMPUTED_VALUE"""),"Sandy Weyant")</f>
        <v>Sandy Weyant</v>
      </c>
      <c r="C168" s="141"/>
      <c r="D168" s="25"/>
      <c r="E168" s="26"/>
      <c r="F168" s="141"/>
      <c r="G168" s="25"/>
      <c r="H168" s="26"/>
    </row>
    <row r="169">
      <c r="A169" s="140">
        <f t="shared" si="82"/>
        <v>49</v>
      </c>
      <c r="B169" s="33" t="str">
        <f>IFERROR(__xludf.DUMMYFUNCTION("""COMPUTED_VALUE"""),"Sanjaye Elayattu")</f>
        <v>Sanjaye Elayattu</v>
      </c>
      <c r="C169" s="141"/>
      <c r="D169" s="25"/>
      <c r="E169" s="26"/>
      <c r="F169" s="141"/>
      <c r="G169" s="25"/>
      <c r="H169" s="26"/>
    </row>
    <row r="170">
      <c r="A170" s="140">
        <f t="shared" si="82"/>
        <v>50</v>
      </c>
      <c r="B170" s="33" t="str">
        <f>IFERROR(__xludf.DUMMYFUNCTION("""COMPUTED_VALUE"""),"Santosh Sundaresan")</f>
        <v>Santosh Sundaresan</v>
      </c>
      <c r="C170" s="141"/>
      <c r="D170" s="25"/>
      <c r="E170" s="26"/>
      <c r="F170" s="141"/>
      <c r="G170" s="25"/>
      <c r="H170" s="26"/>
    </row>
    <row r="171">
      <c r="A171" s="140">
        <f t="shared" si="82"/>
        <v>51</v>
      </c>
      <c r="B171" s="33" t="str">
        <f>IFERROR(__xludf.DUMMYFUNCTION("""COMPUTED_VALUE"""),"Saravanan Veerapandian")</f>
        <v>Saravanan Veerapandian</v>
      </c>
      <c r="C171" s="141"/>
      <c r="D171" s="25"/>
      <c r="E171" s="26"/>
      <c r="F171" s="141"/>
      <c r="G171" s="25"/>
      <c r="H171" s="26"/>
    </row>
    <row r="172">
      <c r="A172" s="140">
        <f t="shared" si="82"/>
        <v>52</v>
      </c>
      <c r="B172" s="33" t="str">
        <f>IFERROR(__xludf.DUMMYFUNCTION("""COMPUTED_VALUE"""),"Scott Li")</f>
        <v>Scott Li</v>
      </c>
      <c r="C172" s="141"/>
      <c r="D172" s="25"/>
      <c r="E172" s="26"/>
      <c r="F172" s="141"/>
      <c r="G172" s="25"/>
      <c r="H172" s="26"/>
    </row>
    <row r="173">
      <c r="A173" s="140">
        <f t="shared" si="82"/>
        <v>53</v>
      </c>
      <c r="B173" s="33" t="str">
        <f>IFERROR(__xludf.DUMMYFUNCTION("""COMPUTED_VALUE"""),"Sean Chang")</f>
        <v>Sean Chang</v>
      </c>
      <c r="C173" s="141"/>
      <c r="D173" s="25"/>
      <c r="E173" s="26"/>
      <c r="F173" s="141"/>
      <c r="G173" s="25"/>
      <c r="H173" s="26"/>
    </row>
    <row r="174">
      <c r="A174" s="140">
        <f t="shared" si="82"/>
        <v>54</v>
      </c>
      <c r="B174" s="33" t="str">
        <f>IFERROR(__xludf.DUMMYFUNCTION("""COMPUTED_VALUE"""),"Suleman Alidina")</f>
        <v>Suleman Alidina</v>
      </c>
      <c r="C174" s="141"/>
      <c r="D174" s="25"/>
      <c r="E174" s="26"/>
      <c r="F174" s="141"/>
      <c r="G174" s="25"/>
      <c r="H174" s="26"/>
    </row>
    <row r="175">
      <c r="A175" s="140">
        <f t="shared" si="82"/>
        <v>55</v>
      </c>
      <c r="B175" s="33" t="str">
        <f>IFERROR(__xludf.DUMMYFUNCTION("""COMPUTED_VALUE"""),"Susanta Mishra")</f>
        <v>Susanta Mishra</v>
      </c>
      <c r="C175" s="141"/>
      <c r="D175" s="25"/>
      <c r="E175" s="26"/>
      <c r="F175" s="141"/>
      <c r="G175" s="25"/>
      <c r="H175" s="26"/>
    </row>
    <row r="176">
      <c r="A176" s="140">
        <f t="shared" si="82"/>
        <v>56</v>
      </c>
      <c r="B176" s="33" t="str">
        <f>IFERROR(__xludf.DUMMYFUNCTION("""COMPUTED_VALUE"""),"Ted Shen")</f>
        <v>Ted Shen</v>
      </c>
      <c r="C176" s="141"/>
      <c r="D176" s="25"/>
      <c r="E176" s="26"/>
      <c r="F176" s="141"/>
      <c r="G176" s="25"/>
      <c r="H176" s="26"/>
    </row>
    <row r="177">
      <c r="A177" s="140">
        <f t="shared" si="82"/>
        <v>57</v>
      </c>
      <c r="B177" s="33" t="str">
        <f>IFERROR(__xludf.DUMMYFUNCTION("""COMPUTED_VALUE"""),"Tina Hanson")</f>
        <v>Tina Hanson</v>
      </c>
      <c r="C177" s="141"/>
      <c r="D177" s="25"/>
      <c r="E177" s="26"/>
      <c r="F177" s="141"/>
      <c r="G177" s="25"/>
      <c r="H177" s="26"/>
    </row>
    <row r="178">
      <c r="A178" s="140">
        <f t="shared" si="82"/>
        <v>58</v>
      </c>
      <c r="B178" s="33" t="str">
        <f>IFERROR(__xludf.DUMMYFUNCTION("""COMPUTED_VALUE"""),"Tom Le")</f>
        <v>Tom Le</v>
      </c>
      <c r="C178" s="141"/>
      <c r="D178" s="25"/>
      <c r="E178" s="26"/>
      <c r="F178" s="141"/>
      <c r="G178" s="25"/>
      <c r="H178" s="26"/>
    </row>
    <row r="179">
      <c r="A179" s="140">
        <f t="shared" si="82"/>
        <v>59</v>
      </c>
      <c r="B179" s="33" t="str">
        <f>IFERROR(__xludf.DUMMYFUNCTION("""COMPUTED_VALUE"""),"Trish Newlin")</f>
        <v>Trish Newlin</v>
      </c>
      <c r="C179" s="141"/>
      <c r="D179" s="25"/>
      <c r="E179" s="26"/>
      <c r="F179" s="141"/>
      <c r="G179" s="25"/>
      <c r="H179" s="26"/>
    </row>
    <row r="180">
      <c r="A180" s="140">
        <f t="shared" si="82"/>
        <v>60</v>
      </c>
      <c r="B180" s="33" t="str">
        <f>IFERROR(__xludf.DUMMYFUNCTION("""COMPUTED_VALUE"""),"Troy Wong")</f>
        <v>Troy Wong</v>
      </c>
      <c r="C180" s="141"/>
      <c r="D180" s="25"/>
      <c r="E180" s="26"/>
      <c r="F180" s="141"/>
      <c r="G180" s="25"/>
      <c r="H180" s="26"/>
    </row>
    <row r="181">
      <c r="A181" s="140">
        <f t="shared" si="82"/>
        <v>61</v>
      </c>
      <c r="B181" s="33" t="str">
        <f>IFERROR(__xludf.DUMMYFUNCTION("""COMPUTED_VALUE"""),"Tyler Leong")</f>
        <v>Tyler Leong</v>
      </c>
      <c r="C181" s="141"/>
      <c r="D181" s="25"/>
      <c r="E181" s="26"/>
      <c r="F181" s="141"/>
      <c r="G181" s="25"/>
      <c r="H181" s="26"/>
    </row>
    <row r="182">
      <c r="A182" s="140">
        <f t="shared" si="82"/>
        <v>62</v>
      </c>
      <c r="B182" s="33" t="str">
        <f>IFERROR(__xludf.DUMMYFUNCTION("""COMPUTED_VALUE"""),"Vicki Martinet")</f>
        <v>Vicki Martinet</v>
      </c>
      <c r="C182" s="141"/>
      <c r="D182" s="25"/>
      <c r="E182" s="26"/>
      <c r="F182" s="141"/>
      <c r="G182" s="25"/>
      <c r="H182" s="26"/>
    </row>
    <row r="183">
      <c r="A183" s="140">
        <f t="shared" si="82"/>
        <v>63</v>
      </c>
      <c r="B183" s="33" t="str">
        <f>IFERROR(__xludf.DUMMYFUNCTION("""COMPUTED_VALUE"""),"Vinaya Kajla")</f>
        <v>Vinaya Kajla</v>
      </c>
      <c r="C183" s="141"/>
      <c r="D183" s="25"/>
      <c r="E183" s="26"/>
      <c r="F183" s="141"/>
      <c r="G183" s="25"/>
      <c r="H183" s="26"/>
    </row>
    <row r="184">
      <c r="A184" s="140">
        <f t="shared" si="82"/>
        <v>64</v>
      </c>
      <c r="B184" s="33" t="str">
        <f>IFERROR(__xludf.DUMMYFUNCTION("""COMPUTED_VALUE"""),"Vishnu Amarnath")</f>
        <v>Vishnu Amarnath</v>
      </c>
      <c r="C184" s="141"/>
      <c r="D184" s="25"/>
      <c r="E184" s="26"/>
      <c r="F184" s="141"/>
      <c r="G184" s="25"/>
      <c r="H184" s="26"/>
    </row>
    <row r="185">
      <c r="A185" s="140">
        <f t="shared" si="82"/>
        <v>65</v>
      </c>
      <c r="B185" s="33" t="str">
        <f>IFERROR(__xludf.DUMMYFUNCTION("""COMPUTED_VALUE"""),"Wayne Liu")</f>
        <v>Wayne Liu</v>
      </c>
      <c r="C185" s="141"/>
      <c r="D185" s="25"/>
      <c r="E185" s="26"/>
      <c r="F185" s="141"/>
      <c r="G185" s="25"/>
      <c r="H185" s="26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6.75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1"/>
      <c r="B1" s="4" t="s">
        <v>2</v>
      </c>
      <c r="C1" s="8">
        <v>45843.0</v>
      </c>
      <c r="G1" s="10"/>
      <c r="H1" s="10"/>
      <c r="I1" s="10"/>
      <c r="L1" s="10"/>
      <c r="N1" s="10"/>
      <c r="W1" s="11"/>
    </row>
    <row r="2">
      <c r="A2" s="1"/>
      <c r="B2" s="13" t="s">
        <v>23</v>
      </c>
      <c r="D2" s="15">
        <v>1.0</v>
      </c>
      <c r="E2" s="1"/>
      <c r="F2" s="1"/>
      <c r="R2" s="17"/>
      <c r="AC2" s="21" t="str">
        <f>text(C1-7,"mm/dd/yy")</f>
        <v>06/28/25</v>
      </c>
    </row>
    <row r="3" ht="27.75" customHeight="1">
      <c r="A3" s="1"/>
      <c r="C3" s="23" t="s">
        <v>26</v>
      </c>
      <c r="D3" s="25"/>
      <c r="E3" s="26"/>
      <c r="F3" s="28" t="s">
        <v>27</v>
      </c>
      <c r="G3" s="25"/>
      <c r="H3" s="25"/>
      <c r="I3" s="25"/>
      <c r="J3" s="25"/>
      <c r="K3" s="25"/>
      <c r="L3" s="25"/>
      <c r="M3" s="26"/>
      <c r="N3" s="28" t="s">
        <v>28</v>
      </c>
      <c r="O3" s="26"/>
      <c r="Q3" s="17" t="s">
        <v>178</v>
      </c>
      <c r="R3" s="17" t="s">
        <v>29</v>
      </c>
    </row>
    <row r="4">
      <c r="A4" s="29" t="s">
        <v>31</v>
      </c>
      <c r="B4" s="18" t="s">
        <v>25</v>
      </c>
      <c r="C4" s="30" t="s">
        <v>5</v>
      </c>
      <c r="D4" s="30" t="s">
        <v>7</v>
      </c>
      <c r="E4" s="30" t="s">
        <v>32</v>
      </c>
      <c r="F4" s="31" t="s">
        <v>33</v>
      </c>
      <c r="G4" s="31" t="s">
        <v>34</v>
      </c>
      <c r="H4" s="31" t="s">
        <v>35</v>
      </c>
      <c r="I4" s="31" t="s">
        <v>12</v>
      </c>
      <c r="J4" s="31" t="s">
        <v>14</v>
      </c>
      <c r="K4" s="31" t="s">
        <v>16</v>
      </c>
      <c r="L4" s="31" t="s">
        <v>5</v>
      </c>
      <c r="M4" s="31" t="s">
        <v>7</v>
      </c>
      <c r="N4" s="30" t="s">
        <v>5</v>
      </c>
      <c r="O4" s="30" t="s">
        <v>7</v>
      </c>
      <c r="P4" s="31" t="s">
        <v>36</v>
      </c>
      <c r="Q4" s="31" t="s">
        <v>37</v>
      </c>
      <c r="R4" s="31" t="s">
        <v>37</v>
      </c>
      <c r="S4" s="31" t="s">
        <v>38</v>
      </c>
      <c r="T4" s="31" t="s">
        <v>39</v>
      </c>
      <c r="U4" s="31" t="s">
        <v>40</v>
      </c>
      <c r="V4" s="31" t="s">
        <v>41</v>
      </c>
      <c r="W4" s="31" t="s">
        <v>42</v>
      </c>
      <c r="X4" s="29" t="s">
        <v>31</v>
      </c>
    </row>
    <row r="5">
      <c r="A5" s="32">
        <v>1.0</v>
      </c>
      <c r="B5" s="33" t="s">
        <v>147</v>
      </c>
      <c r="C5" s="34"/>
      <c r="D5" s="34"/>
      <c r="E5" s="35"/>
      <c r="F5" s="95">
        <v>3.0</v>
      </c>
      <c r="G5" s="96">
        <v>0.0</v>
      </c>
      <c r="H5" s="97">
        <v>9.0</v>
      </c>
      <c r="I5" s="96">
        <v>0.0</v>
      </c>
      <c r="J5" s="96">
        <v>0.0</v>
      </c>
      <c r="K5" s="96">
        <v>0.0</v>
      </c>
      <c r="L5" s="98">
        <v>9.0</v>
      </c>
      <c r="M5" s="96">
        <v>0.0</v>
      </c>
      <c r="N5" s="34">
        <f t="shared" ref="N5:O5" si="1">C5+L5</f>
        <v>9</v>
      </c>
      <c r="O5" s="34">
        <f t="shared" si="1"/>
        <v>0</v>
      </c>
      <c r="P5" s="49" t="s">
        <v>58</v>
      </c>
      <c r="Q5" s="49" t="s">
        <v>58</v>
      </c>
      <c r="R5" s="49" t="s">
        <v>58</v>
      </c>
      <c r="S5" s="52">
        <f t="shared" ref="S5:S69" si="3">if(sum(I5:K5)&gt;0,1,0)</f>
        <v>0</v>
      </c>
      <c r="T5" s="52">
        <f t="shared" ref="T5:T69" si="4">if(H5=13,1,0)</f>
        <v>0</v>
      </c>
      <c r="U5" s="52"/>
      <c r="V5" s="52">
        <f t="shared" ref="V5:V69" si="5">if(H5=9,1,0)</f>
        <v>1</v>
      </c>
      <c r="W5" s="52"/>
      <c r="X5" s="32">
        <v>1.0</v>
      </c>
    </row>
    <row r="6">
      <c r="A6" s="32">
        <f t="shared" ref="A6:A69" si="6">A5+1</f>
        <v>2</v>
      </c>
      <c r="B6" s="33" t="s">
        <v>66</v>
      </c>
      <c r="C6" s="34"/>
      <c r="D6" s="34"/>
      <c r="E6" s="35"/>
      <c r="F6" s="95">
        <v>1.0</v>
      </c>
      <c r="G6" s="96">
        <v>5.0</v>
      </c>
      <c r="H6" s="97">
        <v>0.0</v>
      </c>
      <c r="I6" s="96">
        <v>1.0</v>
      </c>
      <c r="J6" s="96">
        <v>2.0</v>
      </c>
      <c r="K6" s="96">
        <v>6.0</v>
      </c>
      <c r="L6" s="98">
        <v>9.0</v>
      </c>
      <c r="M6" s="96">
        <v>0.0</v>
      </c>
      <c r="N6" s="34">
        <f t="shared" ref="N6:O6" si="2">C6+L6</f>
        <v>9</v>
      </c>
      <c r="O6" s="34">
        <f t="shared" si="2"/>
        <v>0</v>
      </c>
      <c r="P6" s="49" t="s">
        <v>58</v>
      </c>
      <c r="Q6" s="49" t="s">
        <v>58</v>
      </c>
      <c r="R6" s="49" t="s">
        <v>58</v>
      </c>
      <c r="S6" s="52">
        <f t="shared" si="3"/>
        <v>1</v>
      </c>
      <c r="T6" s="52">
        <f t="shared" si="4"/>
        <v>0</v>
      </c>
      <c r="U6" s="52"/>
      <c r="V6" s="52">
        <f t="shared" si="5"/>
        <v>0</v>
      </c>
      <c r="W6" s="52"/>
      <c r="X6" s="32">
        <f t="shared" ref="X6:X69" si="8">X5+1</f>
        <v>2</v>
      </c>
    </row>
    <row r="7">
      <c r="A7" s="32">
        <f t="shared" si="6"/>
        <v>3</v>
      </c>
      <c r="B7" s="33" t="s">
        <v>54</v>
      </c>
      <c r="C7" s="34"/>
      <c r="D7" s="34"/>
      <c r="E7" s="35"/>
      <c r="F7" s="95">
        <v>1.0</v>
      </c>
      <c r="G7" s="96">
        <v>2.0</v>
      </c>
      <c r="H7" s="97">
        <v>0.0</v>
      </c>
      <c r="I7" s="96">
        <v>5.0</v>
      </c>
      <c r="J7" s="96">
        <v>2.0</v>
      </c>
      <c r="K7" s="96">
        <v>6.0</v>
      </c>
      <c r="L7" s="98">
        <v>13.0</v>
      </c>
      <c r="M7" s="96">
        <v>1.0</v>
      </c>
      <c r="N7" s="34">
        <f t="shared" ref="N7:O7" si="7">C7+L7</f>
        <v>13</v>
      </c>
      <c r="O7" s="34">
        <f t="shared" si="7"/>
        <v>1</v>
      </c>
      <c r="P7" s="49" t="s">
        <v>58</v>
      </c>
      <c r="Q7" s="49" t="s">
        <v>58</v>
      </c>
      <c r="R7" s="49" t="s">
        <v>58</v>
      </c>
      <c r="S7" s="52">
        <f t="shared" si="3"/>
        <v>1</v>
      </c>
      <c r="T7" s="52">
        <f t="shared" si="4"/>
        <v>0</v>
      </c>
      <c r="U7" s="52"/>
      <c r="V7" s="52">
        <f t="shared" si="5"/>
        <v>0</v>
      </c>
      <c r="W7" s="52"/>
      <c r="X7" s="32">
        <f t="shared" si="8"/>
        <v>3</v>
      </c>
    </row>
    <row r="8">
      <c r="A8" s="32">
        <f t="shared" si="6"/>
        <v>4</v>
      </c>
      <c r="B8" s="33" t="s">
        <v>111</v>
      </c>
      <c r="C8" s="34"/>
      <c r="D8" s="34"/>
      <c r="E8" s="35"/>
      <c r="F8" s="95">
        <v>1.0</v>
      </c>
      <c r="G8" s="96">
        <v>3.0</v>
      </c>
      <c r="H8" s="97">
        <v>0.0</v>
      </c>
      <c r="I8" s="96">
        <v>4.0</v>
      </c>
      <c r="J8" s="96">
        <v>6.0</v>
      </c>
      <c r="K8" s="96">
        <v>3.0</v>
      </c>
      <c r="L8" s="98">
        <v>13.0</v>
      </c>
      <c r="M8" s="96">
        <v>1.0</v>
      </c>
      <c r="N8" s="34">
        <f t="shared" ref="N8:O8" si="9">C8+L8</f>
        <v>13</v>
      </c>
      <c r="O8" s="34">
        <f t="shared" si="9"/>
        <v>1</v>
      </c>
      <c r="P8" s="49" t="s">
        <v>58</v>
      </c>
      <c r="Q8" s="49" t="s">
        <v>58</v>
      </c>
      <c r="R8" s="49" t="s">
        <v>58</v>
      </c>
      <c r="S8" s="52">
        <f t="shared" si="3"/>
        <v>1</v>
      </c>
      <c r="T8" s="52">
        <f t="shared" si="4"/>
        <v>0</v>
      </c>
      <c r="U8" s="52"/>
      <c r="V8" s="52">
        <f t="shared" si="5"/>
        <v>0</v>
      </c>
      <c r="W8" s="52"/>
      <c r="X8" s="32">
        <f t="shared" si="8"/>
        <v>4</v>
      </c>
    </row>
    <row r="9">
      <c r="A9" s="32">
        <f t="shared" si="6"/>
        <v>5</v>
      </c>
      <c r="B9" s="33" t="s">
        <v>109</v>
      </c>
      <c r="C9" s="34"/>
      <c r="D9" s="34"/>
      <c r="E9" s="35"/>
      <c r="F9" s="95">
        <v>3.0</v>
      </c>
      <c r="G9" s="96">
        <v>0.0</v>
      </c>
      <c r="H9" s="97">
        <v>9.0</v>
      </c>
      <c r="I9" s="96">
        <v>0.0</v>
      </c>
      <c r="J9" s="96">
        <v>0.0</v>
      </c>
      <c r="K9" s="96">
        <v>0.0</v>
      </c>
      <c r="L9" s="98">
        <v>9.0</v>
      </c>
      <c r="M9" s="96">
        <v>0.0</v>
      </c>
      <c r="N9" s="34">
        <f t="shared" ref="N9:O9" si="10">C9+L9</f>
        <v>9</v>
      </c>
      <c r="O9" s="34">
        <f t="shared" si="10"/>
        <v>0</v>
      </c>
      <c r="P9" s="49" t="s">
        <v>58</v>
      </c>
      <c r="Q9" s="49" t="s">
        <v>58</v>
      </c>
      <c r="R9" s="49" t="s">
        <v>58</v>
      </c>
      <c r="S9" s="52">
        <f t="shared" si="3"/>
        <v>0</v>
      </c>
      <c r="T9" s="52">
        <f t="shared" si="4"/>
        <v>0</v>
      </c>
      <c r="U9" s="52"/>
      <c r="V9" s="52">
        <f t="shared" si="5"/>
        <v>1</v>
      </c>
      <c r="W9" s="52"/>
      <c r="X9" s="32">
        <f t="shared" si="8"/>
        <v>5</v>
      </c>
    </row>
    <row r="10">
      <c r="A10" s="32">
        <f t="shared" si="6"/>
        <v>6</v>
      </c>
      <c r="B10" s="33" t="s">
        <v>132</v>
      </c>
      <c r="C10" s="34"/>
      <c r="D10" s="34"/>
      <c r="E10" s="35"/>
      <c r="F10" s="95">
        <v>3.0</v>
      </c>
      <c r="G10" s="96">
        <v>0.0</v>
      </c>
      <c r="H10" s="97">
        <v>9.0</v>
      </c>
      <c r="I10" s="96">
        <v>0.0</v>
      </c>
      <c r="J10" s="96">
        <v>0.0</v>
      </c>
      <c r="K10" s="96">
        <v>0.0</v>
      </c>
      <c r="L10" s="98">
        <v>9.0</v>
      </c>
      <c r="M10" s="96">
        <v>0.0</v>
      </c>
      <c r="N10" s="34">
        <f t="shared" ref="N10:O10" si="11">C10+L10</f>
        <v>9</v>
      </c>
      <c r="O10" s="34">
        <f t="shared" si="11"/>
        <v>0</v>
      </c>
      <c r="P10" s="49" t="s">
        <v>58</v>
      </c>
      <c r="Q10" s="49" t="s">
        <v>58</v>
      </c>
      <c r="R10" s="49" t="s">
        <v>58</v>
      </c>
      <c r="S10" s="52">
        <f t="shared" si="3"/>
        <v>0</v>
      </c>
      <c r="T10" s="52">
        <f t="shared" si="4"/>
        <v>0</v>
      </c>
      <c r="U10" s="52"/>
      <c r="V10" s="52">
        <f t="shared" si="5"/>
        <v>1</v>
      </c>
      <c r="W10" s="52"/>
      <c r="X10" s="32">
        <f t="shared" si="8"/>
        <v>6</v>
      </c>
    </row>
    <row r="11">
      <c r="A11" s="32">
        <f t="shared" si="6"/>
        <v>7</v>
      </c>
      <c r="B11" s="33" t="s">
        <v>72</v>
      </c>
      <c r="C11" s="34"/>
      <c r="D11" s="34"/>
      <c r="E11" s="35"/>
      <c r="F11" s="95">
        <v>2.0</v>
      </c>
      <c r="G11" s="96">
        <v>6.0</v>
      </c>
      <c r="H11" s="97">
        <v>0.0</v>
      </c>
      <c r="I11" s="96">
        <v>3.0</v>
      </c>
      <c r="J11" s="96">
        <v>1.0</v>
      </c>
      <c r="K11" s="96">
        <v>3.0</v>
      </c>
      <c r="L11" s="98">
        <v>7.0</v>
      </c>
      <c r="M11" s="96">
        <v>0.0</v>
      </c>
      <c r="N11" s="34">
        <f t="shared" ref="N11:O11" si="12">C11+L11</f>
        <v>7</v>
      </c>
      <c r="O11" s="34">
        <f t="shared" si="12"/>
        <v>0</v>
      </c>
      <c r="P11" s="49" t="s">
        <v>58</v>
      </c>
      <c r="Q11" s="49" t="s">
        <v>58</v>
      </c>
      <c r="R11" s="49" t="s">
        <v>58</v>
      </c>
      <c r="S11" s="52">
        <f t="shared" si="3"/>
        <v>1</v>
      </c>
      <c r="T11" s="52">
        <f t="shared" si="4"/>
        <v>0</v>
      </c>
      <c r="U11" s="52"/>
      <c r="V11" s="52">
        <f t="shared" si="5"/>
        <v>0</v>
      </c>
      <c r="W11" s="52"/>
      <c r="X11" s="32">
        <f t="shared" si="8"/>
        <v>7</v>
      </c>
    </row>
    <row r="12">
      <c r="A12" s="32">
        <f t="shared" si="6"/>
        <v>8</v>
      </c>
      <c r="B12" s="33" t="s">
        <v>138</v>
      </c>
      <c r="C12" s="34"/>
      <c r="D12" s="34"/>
      <c r="E12" s="35"/>
      <c r="F12" s="95">
        <v>1.0</v>
      </c>
      <c r="G12" s="96">
        <v>1.0</v>
      </c>
      <c r="H12" s="97">
        <v>0.0</v>
      </c>
      <c r="I12" s="96">
        <v>3.0</v>
      </c>
      <c r="J12" s="96">
        <v>7.0</v>
      </c>
      <c r="K12" s="96">
        <v>6.0</v>
      </c>
      <c r="L12" s="98">
        <v>16.0</v>
      </c>
      <c r="M12" s="96">
        <v>2.0</v>
      </c>
      <c r="N12" s="34">
        <f t="shared" ref="N12:O12" si="13">C12+L12</f>
        <v>16</v>
      </c>
      <c r="O12" s="34">
        <f t="shared" si="13"/>
        <v>2</v>
      </c>
      <c r="P12" s="49" t="s">
        <v>58</v>
      </c>
      <c r="Q12" s="49" t="s">
        <v>58</v>
      </c>
      <c r="R12" s="49" t="s">
        <v>58</v>
      </c>
      <c r="S12" s="52">
        <f t="shared" si="3"/>
        <v>1</v>
      </c>
      <c r="T12" s="52">
        <f t="shared" si="4"/>
        <v>0</v>
      </c>
      <c r="U12" s="52"/>
      <c r="V12" s="52">
        <f t="shared" si="5"/>
        <v>0</v>
      </c>
      <c r="W12" s="52"/>
      <c r="X12" s="32">
        <f t="shared" si="8"/>
        <v>8</v>
      </c>
    </row>
    <row r="13">
      <c r="A13" s="32">
        <f t="shared" si="6"/>
        <v>9</v>
      </c>
      <c r="B13" s="33" t="s">
        <v>122</v>
      </c>
      <c r="C13" s="34"/>
      <c r="D13" s="34"/>
      <c r="E13" s="35"/>
      <c r="F13" s="95">
        <v>3.0</v>
      </c>
      <c r="G13" s="96">
        <v>0.0</v>
      </c>
      <c r="H13" s="97">
        <v>9.0</v>
      </c>
      <c r="I13" s="96">
        <v>0.0</v>
      </c>
      <c r="J13" s="96">
        <v>0.0</v>
      </c>
      <c r="K13" s="96">
        <v>0.0</v>
      </c>
      <c r="L13" s="98">
        <v>9.0</v>
      </c>
      <c r="M13" s="96">
        <v>0.0</v>
      </c>
      <c r="N13" s="34">
        <f t="shared" ref="N13:O13" si="14">C13+L13</f>
        <v>9</v>
      </c>
      <c r="O13" s="34">
        <f t="shared" si="14"/>
        <v>0</v>
      </c>
      <c r="P13" s="49" t="s">
        <v>58</v>
      </c>
      <c r="Q13" s="49" t="s">
        <v>58</v>
      </c>
      <c r="R13" s="49" t="s">
        <v>58</v>
      </c>
      <c r="S13" s="52">
        <f t="shared" si="3"/>
        <v>0</v>
      </c>
      <c r="T13" s="52">
        <f t="shared" si="4"/>
        <v>0</v>
      </c>
      <c r="U13" s="52"/>
      <c r="V13" s="52">
        <f t="shared" si="5"/>
        <v>1</v>
      </c>
      <c r="W13" s="52"/>
      <c r="X13" s="32">
        <f t="shared" si="8"/>
        <v>9</v>
      </c>
    </row>
    <row r="14">
      <c r="A14" s="32">
        <f t="shared" si="6"/>
        <v>10</v>
      </c>
      <c r="B14" s="33" t="s">
        <v>130</v>
      </c>
      <c r="C14" s="34"/>
      <c r="D14" s="34"/>
      <c r="E14" s="35"/>
      <c r="F14" s="95">
        <v>3.0</v>
      </c>
      <c r="G14" s="96">
        <v>0.0</v>
      </c>
      <c r="H14" s="97">
        <v>9.0</v>
      </c>
      <c r="I14" s="96">
        <v>0.0</v>
      </c>
      <c r="J14" s="96">
        <v>0.0</v>
      </c>
      <c r="K14" s="96">
        <v>0.0</v>
      </c>
      <c r="L14" s="98">
        <v>9.0</v>
      </c>
      <c r="M14" s="96">
        <v>0.0</v>
      </c>
      <c r="N14" s="34">
        <f t="shared" ref="N14:O14" si="15">C14+L14</f>
        <v>9</v>
      </c>
      <c r="O14" s="34">
        <f t="shared" si="15"/>
        <v>0</v>
      </c>
      <c r="P14" s="49" t="s">
        <v>58</v>
      </c>
      <c r="Q14" s="49" t="s">
        <v>58</v>
      </c>
      <c r="R14" s="49" t="s">
        <v>58</v>
      </c>
      <c r="S14" s="52">
        <f t="shared" si="3"/>
        <v>0</v>
      </c>
      <c r="T14" s="52">
        <f t="shared" si="4"/>
        <v>0</v>
      </c>
      <c r="U14" s="52"/>
      <c r="V14" s="52">
        <f t="shared" si="5"/>
        <v>1</v>
      </c>
      <c r="W14" s="52"/>
      <c r="X14" s="32">
        <f t="shared" si="8"/>
        <v>10</v>
      </c>
    </row>
    <row r="15">
      <c r="A15" s="32">
        <f t="shared" si="6"/>
        <v>11</v>
      </c>
      <c r="B15" s="33" t="s">
        <v>50</v>
      </c>
      <c r="C15" s="34"/>
      <c r="D15" s="34"/>
      <c r="E15" s="35"/>
      <c r="F15" s="95">
        <v>2.0</v>
      </c>
      <c r="G15" s="96">
        <v>3.0</v>
      </c>
      <c r="H15" s="97">
        <v>0.0</v>
      </c>
      <c r="I15" s="96">
        <v>6.0</v>
      </c>
      <c r="J15" s="96">
        <v>4.0</v>
      </c>
      <c r="K15" s="96">
        <v>3.0</v>
      </c>
      <c r="L15" s="98">
        <v>13.0</v>
      </c>
      <c r="M15" s="96">
        <v>1.0</v>
      </c>
      <c r="N15" s="34">
        <f t="shared" ref="N15:O15" si="16">C15+L15</f>
        <v>13</v>
      </c>
      <c r="O15" s="34">
        <f t="shared" si="16"/>
        <v>1</v>
      </c>
      <c r="P15" s="49" t="s">
        <v>58</v>
      </c>
      <c r="Q15" s="49" t="s">
        <v>58</v>
      </c>
      <c r="R15" s="49" t="s">
        <v>58</v>
      </c>
      <c r="S15" s="52">
        <f t="shared" si="3"/>
        <v>1</v>
      </c>
      <c r="T15" s="52">
        <f t="shared" si="4"/>
        <v>0</v>
      </c>
      <c r="U15" s="52"/>
      <c r="V15" s="52">
        <f t="shared" si="5"/>
        <v>0</v>
      </c>
      <c r="W15" s="52"/>
      <c r="X15" s="32">
        <f t="shared" si="8"/>
        <v>11</v>
      </c>
    </row>
    <row r="16">
      <c r="A16" s="32">
        <f t="shared" si="6"/>
        <v>12</v>
      </c>
      <c r="B16" s="33" t="s">
        <v>134</v>
      </c>
      <c r="C16" s="34"/>
      <c r="D16" s="34"/>
      <c r="E16" s="35"/>
      <c r="F16" s="95">
        <v>2.0</v>
      </c>
      <c r="G16" s="96">
        <v>8.0</v>
      </c>
      <c r="H16" s="97">
        <v>0.0</v>
      </c>
      <c r="I16" s="96">
        <v>6.0</v>
      </c>
      <c r="J16" s="96">
        <v>6.0</v>
      </c>
      <c r="K16" s="96">
        <v>6.0</v>
      </c>
      <c r="L16" s="98">
        <v>18.0</v>
      </c>
      <c r="M16" s="96">
        <v>3.0</v>
      </c>
      <c r="N16" s="34">
        <f t="shared" ref="N16:O16" si="17">C16+L16</f>
        <v>18</v>
      </c>
      <c r="O16" s="34">
        <f t="shared" si="17"/>
        <v>3</v>
      </c>
      <c r="P16" s="49" t="s">
        <v>58</v>
      </c>
      <c r="Q16" s="49" t="s">
        <v>58</v>
      </c>
      <c r="R16" s="49" t="s">
        <v>58</v>
      </c>
      <c r="S16" s="52">
        <f t="shared" si="3"/>
        <v>1</v>
      </c>
      <c r="T16" s="52">
        <f t="shared" si="4"/>
        <v>0</v>
      </c>
      <c r="U16" s="52"/>
      <c r="V16" s="52">
        <f t="shared" si="5"/>
        <v>0</v>
      </c>
      <c r="W16" s="52"/>
      <c r="X16" s="32">
        <f t="shared" si="8"/>
        <v>12</v>
      </c>
    </row>
    <row r="17">
      <c r="A17" s="32">
        <f t="shared" si="6"/>
        <v>13</v>
      </c>
      <c r="B17" s="33" t="s">
        <v>113</v>
      </c>
      <c r="C17" s="34"/>
      <c r="D17" s="34"/>
      <c r="E17" s="35"/>
      <c r="F17" s="95">
        <v>1.0</v>
      </c>
      <c r="G17" s="96">
        <v>1.0</v>
      </c>
      <c r="H17" s="97">
        <v>0.0</v>
      </c>
      <c r="I17" s="96">
        <v>6.0</v>
      </c>
      <c r="J17" s="96">
        <v>6.0</v>
      </c>
      <c r="K17" s="96">
        <v>6.0</v>
      </c>
      <c r="L17" s="98">
        <v>18.0</v>
      </c>
      <c r="M17" s="96">
        <v>2.0</v>
      </c>
      <c r="N17" s="34">
        <f t="shared" ref="N17:O17" si="18">C17+L17</f>
        <v>18</v>
      </c>
      <c r="O17" s="34">
        <f t="shared" si="18"/>
        <v>2</v>
      </c>
      <c r="P17" s="49" t="s">
        <v>58</v>
      </c>
      <c r="Q17" s="49" t="s">
        <v>58</v>
      </c>
      <c r="R17" s="49" t="s">
        <v>58</v>
      </c>
      <c r="S17" s="52">
        <f t="shared" si="3"/>
        <v>1</v>
      </c>
      <c r="T17" s="52">
        <f t="shared" si="4"/>
        <v>0</v>
      </c>
      <c r="U17" s="52"/>
      <c r="V17" s="52">
        <f t="shared" si="5"/>
        <v>0</v>
      </c>
      <c r="W17" s="52"/>
      <c r="X17" s="32">
        <f t="shared" si="8"/>
        <v>13</v>
      </c>
    </row>
    <row r="18">
      <c r="A18" s="32">
        <f t="shared" si="6"/>
        <v>14</v>
      </c>
      <c r="B18" s="33" t="s">
        <v>47</v>
      </c>
      <c r="C18" s="34"/>
      <c r="D18" s="34"/>
      <c r="E18" s="35"/>
      <c r="F18" s="95">
        <v>3.0</v>
      </c>
      <c r="G18" s="96">
        <v>0.0</v>
      </c>
      <c r="H18" s="97">
        <v>9.0</v>
      </c>
      <c r="I18" s="96">
        <v>0.0</v>
      </c>
      <c r="J18" s="96">
        <v>0.0</v>
      </c>
      <c r="K18" s="96">
        <v>0.0</v>
      </c>
      <c r="L18" s="98">
        <v>9.0</v>
      </c>
      <c r="M18" s="96">
        <v>0.0</v>
      </c>
      <c r="N18" s="34">
        <f t="shared" ref="N18:O18" si="19">C18+L18</f>
        <v>9</v>
      </c>
      <c r="O18" s="34">
        <f t="shared" si="19"/>
        <v>0</v>
      </c>
      <c r="P18" s="49" t="s">
        <v>58</v>
      </c>
      <c r="Q18" s="49" t="s">
        <v>58</v>
      </c>
      <c r="R18" s="49" t="s">
        <v>58</v>
      </c>
      <c r="S18" s="52">
        <f t="shared" si="3"/>
        <v>0</v>
      </c>
      <c r="T18" s="52">
        <f t="shared" si="4"/>
        <v>0</v>
      </c>
      <c r="U18" s="52"/>
      <c r="V18" s="52">
        <f t="shared" si="5"/>
        <v>1</v>
      </c>
      <c r="W18" s="52"/>
      <c r="X18" s="32">
        <f t="shared" si="8"/>
        <v>14</v>
      </c>
    </row>
    <row r="19">
      <c r="A19" s="32">
        <f t="shared" si="6"/>
        <v>15</v>
      </c>
      <c r="B19" s="33" t="s">
        <v>100</v>
      </c>
      <c r="C19" s="34"/>
      <c r="D19" s="34"/>
      <c r="E19" s="35"/>
      <c r="F19" s="95">
        <v>2.0</v>
      </c>
      <c r="G19" s="96">
        <v>9.0</v>
      </c>
      <c r="H19" s="97">
        <v>0.0</v>
      </c>
      <c r="I19" s="96">
        <v>6.0</v>
      </c>
      <c r="J19" s="96">
        <v>2.0</v>
      </c>
      <c r="K19" s="96">
        <v>6.0</v>
      </c>
      <c r="L19" s="98">
        <v>14.0</v>
      </c>
      <c r="M19" s="96">
        <v>2.0</v>
      </c>
      <c r="N19" s="34">
        <f t="shared" ref="N19:O19" si="20">C19+L19</f>
        <v>14</v>
      </c>
      <c r="O19" s="34">
        <f t="shared" si="20"/>
        <v>2</v>
      </c>
      <c r="P19" s="49" t="s">
        <v>58</v>
      </c>
      <c r="Q19" s="49" t="s">
        <v>58</v>
      </c>
      <c r="R19" s="49" t="s">
        <v>58</v>
      </c>
      <c r="S19" s="52">
        <f t="shared" si="3"/>
        <v>1</v>
      </c>
      <c r="T19" s="52">
        <f t="shared" si="4"/>
        <v>0</v>
      </c>
      <c r="U19" s="52"/>
      <c r="V19" s="52">
        <f t="shared" si="5"/>
        <v>0</v>
      </c>
      <c r="W19" s="52"/>
      <c r="X19" s="32">
        <f t="shared" si="8"/>
        <v>15</v>
      </c>
    </row>
    <row r="20">
      <c r="A20" s="32">
        <f t="shared" si="6"/>
        <v>16</v>
      </c>
      <c r="B20" s="33" t="s">
        <v>96</v>
      </c>
      <c r="C20" s="34"/>
      <c r="D20" s="34"/>
      <c r="E20" s="35"/>
      <c r="F20" s="95">
        <v>3.0</v>
      </c>
      <c r="G20" s="96">
        <v>0.0</v>
      </c>
      <c r="H20" s="97">
        <v>9.0</v>
      </c>
      <c r="I20" s="96">
        <v>0.0</v>
      </c>
      <c r="J20" s="96">
        <v>0.0</v>
      </c>
      <c r="K20" s="96">
        <v>0.0</v>
      </c>
      <c r="L20" s="98">
        <v>9.0</v>
      </c>
      <c r="M20" s="96">
        <v>0.0</v>
      </c>
      <c r="N20" s="34">
        <f t="shared" ref="N20:O20" si="21">C20+L20</f>
        <v>9</v>
      </c>
      <c r="O20" s="34">
        <f t="shared" si="21"/>
        <v>0</v>
      </c>
      <c r="P20" s="49" t="s">
        <v>58</v>
      </c>
      <c r="Q20" s="49" t="s">
        <v>58</v>
      </c>
      <c r="R20" s="49" t="s">
        <v>58</v>
      </c>
      <c r="S20" s="52">
        <f t="shared" si="3"/>
        <v>0</v>
      </c>
      <c r="T20" s="52">
        <f t="shared" si="4"/>
        <v>0</v>
      </c>
      <c r="U20" s="52"/>
      <c r="V20" s="52">
        <f t="shared" si="5"/>
        <v>1</v>
      </c>
      <c r="W20" s="52"/>
      <c r="X20" s="32">
        <f t="shared" si="8"/>
        <v>16</v>
      </c>
    </row>
    <row r="21">
      <c r="A21" s="32">
        <f t="shared" si="6"/>
        <v>17</v>
      </c>
      <c r="B21" s="33" t="s">
        <v>94</v>
      </c>
      <c r="C21" s="34"/>
      <c r="D21" s="34"/>
      <c r="E21" s="35"/>
      <c r="F21" s="95">
        <v>1.0</v>
      </c>
      <c r="G21" s="96">
        <v>2.0</v>
      </c>
      <c r="H21" s="97">
        <v>0.0</v>
      </c>
      <c r="I21" s="96">
        <v>5.0</v>
      </c>
      <c r="J21" s="96">
        <v>6.0</v>
      </c>
      <c r="K21" s="96">
        <v>4.0</v>
      </c>
      <c r="L21" s="98">
        <v>15.0</v>
      </c>
      <c r="M21" s="96">
        <v>1.0</v>
      </c>
      <c r="N21" s="34">
        <f t="shared" ref="N21:O21" si="22">C21+L21</f>
        <v>15</v>
      </c>
      <c r="O21" s="34">
        <f t="shared" si="22"/>
        <v>1</v>
      </c>
      <c r="P21" s="49" t="s">
        <v>58</v>
      </c>
      <c r="Q21" s="49" t="s">
        <v>58</v>
      </c>
      <c r="R21" s="49" t="s">
        <v>58</v>
      </c>
      <c r="S21" s="52">
        <f t="shared" si="3"/>
        <v>1</v>
      </c>
      <c r="T21" s="52">
        <f t="shared" si="4"/>
        <v>0</v>
      </c>
      <c r="U21" s="52"/>
      <c r="V21" s="52">
        <f t="shared" si="5"/>
        <v>0</v>
      </c>
      <c r="W21" s="52"/>
      <c r="X21" s="32">
        <f t="shared" si="8"/>
        <v>17</v>
      </c>
    </row>
    <row r="22">
      <c r="A22" s="32">
        <f t="shared" si="6"/>
        <v>18</v>
      </c>
      <c r="B22" s="144" t="s">
        <v>106</v>
      </c>
      <c r="C22" s="34"/>
      <c r="D22" s="34"/>
      <c r="E22" s="35"/>
      <c r="F22" s="95">
        <v>3.0</v>
      </c>
      <c r="G22" s="96">
        <v>2.0</v>
      </c>
      <c r="H22" s="97"/>
      <c r="I22" s="96">
        <v>7.0</v>
      </c>
      <c r="J22" s="96">
        <v>6.0</v>
      </c>
      <c r="K22" s="96">
        <v>6.0</v>
      </c>
      <c r="L22" s="98">
        <v>19.0</v>
      </c>
      <c r="M22" s="96">
        <v>3.0</v>
      </c>
      <c r="N22" s="34">
        <f t="shared" ref="N22:O22" si="23">C22+L22</f>
        <v>19</v>
      </c>
      <c r="O22" s="34">
        <f t="shared" si="23"/>
        <v>3</v>
      </c>
      <c r="P22" s="49" t="s">
        <v>58</v>
      </c>
      <c r="Q22" s="49" t="s">
        <v>58</v>
      </c>
      <c r="R22" s="49" t="s">
        <v>58</v>
      </c>
      <c r="S22" s="52">
        <f t="shared" si="3"/>
        <v>1</v>
      </c>
      <c r="T22" s="52">
        <f t="shared" si="4"/>
        <v>0</v>
      </c>
      <c r="U22" s="52"/>
      <c r="V22" s="52">
        <f t="shared" si="5"/>
        <v>0</v>
      </c>
      <c r="W22" s="52"/>
      <c r="X22" s="32">
        <f t="shared" si="8"/>
        <v>18</v>
      </c>
    </row>
    <row r="23">
      <c r="A23" s="32">
        <f t="shared" si="6"/>
        <v>19</v>
      </c>
      <c r="B23" s="33" t="s">
        <v>140</v>
      </c>
      <c r="C23" s="34"/>
      <c r="D23" s="34"/>
      <c r="E23" s="35"/>
      <c r="F23" s="95">
        <v>3.0</v>
      </c>
      <c r="G23" s="96">
        <v>0.0</v>
      </c>
      <c r="H23" s="97">
        <v>9.0</v>
      </c>
      <c r="I23" s="96">
        <v>0.0</v>
      </c>
      <c r="J23" s="96">
        <v>0.0</v>
      </c>
      <c r="K23" s="96">
        <v>0.0</v>
      </c>
      <c r="L23" s="98">
        <v>9.0</v>
      </c>
      <c r="M23" s="96">
        <v>0.0</v>
      </c>
      <c r="N23" s="34">
        <f t="shared" ref="N23:O23" si="24">C23+L23</f>
        <v>9</v>
      </c>
      <c r="O23" s="34">
        <f t="shared" si="24"/>
        <v>0</v>
      </c>
      <c r="P23" s="49" t="s">
        <v>58</v>
      </c>
      <c r="Q23" s="49" t="s">
        <v>58</v>
      </c>
      <c r="R23" s="49" t="s">
        <v>58</v>
      </c>
      <c r="S23" s="52">
        <f t="shared" si="3"/>
        <v>0</v>
      </c>
      <c r="T23" s="52">
        <f t="shared" si="4"/>
        <v>0</v>
      </c>
      <c r="U23" s="52"/>
      <c r="V23" s="52">
        <f t="shared" si="5"/>
        <v>1</v>
      </c>
      <c r="W23" s="52"/>
      <c r="X23" s="32">
        <f t="shared" si="8"/>
        <v>19</v>
      </c>
    </row>
    <row r="24">
      <c r="A24" s="32">
        <f t="shared" si="6"/>
        <v>20</v>
      </c>
      <c r="B24" s="33" t="s">
        <v>145</v>
      </c>
      <c r="C24" s="34"/>
      <c r="D24" s="34"/>
      <c r="E24" s="35"/>
      <c r="F24" s="95">
        <v>1.0</v>
      </c>
      <c r="G24" s="96">
        <v>3.0</v>
      </c>
      <c r="H24" s="97">
        <v>0.0</v>
      </c>
      <c r="I24" s="96">
        <v>4.0</v>
      </c>
      <c r="J24" s="96">
        <v>4.0</v>
      </c>
      <c r="K24" s="96">
        <v>6.0</v>
      </c>
      <c r="L24" s="98">
        <v>14.0</v>
      </c>
      <c r="M24" s="96">
        <v>1.0</v>
      </c>
      <c r="N24" s="34">
        <f t="shared" ref="N24:O24" si="25">C24+L24</f>
        <v>14</v>
      </c>
      <c r="O24" s="34">
        <f t="shared" si="25"/>
        <v>1</v>
      </c>
      <c r="P24" s="49" t="s">
        <v>58</v>
      </c>
      <c r="Q24" s="49" t="s">
        <v>58</v>
      </c>
      <c r="R24" s="49" t="s">
        <v>58</v>
      </c>
      <c r="S24" s="52">
        <f t="shared" si="3"/>
        <v>1</v>
      </c>
      <c r="T24" s="52">
        <f t="shared" si="4"/>
        <v>0</v>
      </c>
      <c r="U24" s="52"/>
      <c r="V24" s="52">
        <f t="shared" si="5"/>
        <v>0</v>
      </c>
      <c r="W24" s="52"/>
      <c r="X24" s="32">
        <f t="shared" si="8"/>
        <v>20</v>
      </c>
    </row>
    <row r="25">
      <c r="A25" s="32">
        <f t="shared" si="6"/>
        <v>21</v>
      </c>
      <c r="B25" s="33" t="s">
        <v>49</v>
      </c>
      <c r="C25" s="34"/>
      <c r="D25" s="34"/>
      <c r="E25" s="35"/>
      <c r="F25" s="95">
        <v>3.0</v>
      </c>
      <c r="G25" s="96">
        <v>0.0</v>
      </c>
      <c r="H25" s="97">
        <v>9.0</v>
      </c>
      <c r="I25" s="96">
        <v>0.0</v>
      </c>
      <c r="J25" s="96">
        <v>0.0</v>
      </c>
      <c r="K25" s="96">
        <v>0.0</v>
      </c>
      <c r="L25" s="98">
        <v>9.0</v>
      </c>
      <c r="M25" s="96">
        <v>0.0</v>
      </c>
      <c r="N25" s="34">
        <f t="shared" ref="N25:O25" si="26">C25+L25</f>
        <v>9</v>
      </c>
      <c r="O25" s="34">
        <f t="shared" si="26"/>
        <v>0</v>
      </c>
      <c r="P25" s="49" t="s">
        <v>58</v>
      </c>
      <c r="Q25" s="49" t="s">
        <v>58</v>
      </c>
      <c r="R25" s="49" t="s">
        <v>58</v>
      </c>
      <c r="S25" s="52">
        <f t="shared" si="3"/>
        <v>0</v>
      </c>
      <c r="T25" s="52">
        <f t="shared" si="4"/>
        <v>0</v>
      </c>
      <c r="U25" s="52"/>
      <c r="V25" s="52">
        <f t="shared" si="5"/>
        <v>1</v>
      </c>
      <c r="W25" s="52"/>
      <c r="X25" s="32">
        <f t="shared" si="8"/>
        <v>21</v>
      </c>
    </row>
    <row r="26">
      <c r="A26" s="32">
        <f t="shared" si="6"/>
        <v>22</v>
      </c>
      <c r="B26" s="33" t="s">
        <v>133</v>
      </c>
      <c r="C26" s="34"/>
      <c r="D26" s="34"/>
      <c r="E26" s="35"/>
      <c r="F26" s="95">
        <v>1.0</v>
      </c>
      <c r="G26" s="96">
        <v>2.0</v>
      </c>
      <c r="H26" s="97">
        <v>0.0</v>
      </c>
      <c r="I26" s="96">
        <v>7.0</v>
      </c>
      <c r="J26" s="96">
        <v>2.0</v>
      </c>
      <c r="K26" s="96">
        <v>4.0</v>
      </c>
      <c r="L26" s="98">
        <v>13.0</v>
      </c>
      <c r="M26" s="96">
        <v>1.0</v>
      </c>
      <c r="N26" s="34">
        <f t="shared" ref="N26:O26" si="27">C26+L26</f>
        <v>13</v>
      </c>
      <c r="O26" s="34">
        <f t="shared" si="27"/>
        <v>1</v>
      </c>
      <c r="P26" s="49" t="s">
        <v>58</v>
      </c>
      <c r="Q26" s="49" t="s">
        <v>58</v>
      </c>
      <c r="R26" s="49" t="s">
        <v>58</v>
      </c>
      <c r="S26" s="52">
        <f t="shared" si="3"/>
        <v>1</v>
      </c>
      <c r="T26" s="52">
        <f t="shared" si="4"/>
        <v>0</v>
      </c>
      <c r="U26" s="52"/>
      <c r="V26" s="52">
        <f t="shared" si="5"/>
        <v>0</v>
      </c>
      <c r="W26" s="52"/>
      <c r="X26" s="32">
        <f t="shared" si="8"/>
        <v>22</v>
      </c>
    </row>
    <row r="27">
      <c r="A27" s="32">
        <f t="shared" si="6"/>
        <v>23</v>
      </c>
      <c r="B27" s="33" t="s">
        <v>75</v>
      </c>
      <c r="C27" s="34"/>
      <c r="D27" s="34"/>
      <c r="E27" s="35"/>
      <c r="F27" s="95">
        <v>3.0</v>
      </c>
      <c r="G27" s="96">
        <v>0.0</v>
      </c>
      <c r="H27" s="97">
        <v>9.0</v>
      </c>
      <c r="I27" s="96">
        <v>0.0</v>
      </c>
      <c r="J27" s="96">
        <v>0.0</v>
      </c>
      <c r="K27" s="96">
        <v>0.0</v>
      </c>
      <c r="L27" s="98">
        <v>9.0</v>
      </c>
      <c r="M27" s="96">
        <v>0.0</v>
      </c>
      <c r="N27" s="34">
        <f t="shared" ref="N27:O27" si="28">C27+L27</f>
        <v>9</v>
      </c>
      <c r="O27" s="34">
        <f t="shared" si="28"/>
        <v>0</v>
      </c>
      <c r="P27" s="49" t="s">
        <v>58</v>
      </c>
      <c r="Q27" s="49" t="s">
        <v>58</v>
      </c>
      <c r="R27" s="49" t="s">
        <v>58</v>
      </c>
      <c r="S27" s="52">
        <f t="shared" si="3"/>
        <v>0</v>
      </c>
      <c r="T27" s="52">
        <f t="shared" si="4"/>
        <v>0</v>
      </c>
      <c r="U27" s="52"/>
      <c r="V27" s="52">
        <f t="shared" si="5"/>
        <v>1</v>
      </c>
      <c r="W27" s="52"/>
      <c r="X27" s="32">
        <f t="shared" si="8"/>
        <v>23</v>
      </c>
    </row>
    <row r="28">
      <c r="A28" s="32">
        <f t="shared" si="6"/>
        <v>24</v>
      </c>
      <c r="B28" s="33" t="s">
        <v>129</v>
      </c>
      <c r="C28" s="34"/>
      <c r="D28" s="34"/>
      <c r="E28" s="35"/>
      <c r="F28" s="95">
        <v>1.0</v>
      </c>
      <c r="G28" s="96">
        <v>9.0</v>
      </c>
      <c r="H28" s="97">
        <v>0.0</v>
      </c>
      <c r="I28" s="96">
        <v>3.0</v>
      </c>
      <c r="J28" s="96">
        <v>2.0</v>
      </c>
      <c r="K28" s="96">
        <v>0.0</v>
      </c>
      <c r="L28" s="98">
        <v>5.0</v>
      </c>
      <c r="M28" s="96">
        <v>0.0</v>
      </c>
      <c r="N28" s="34">
        <f t="shared" ref="N28:O28" si="29">C28+L28</f>
        <v>5</v>
      </c>
      <c r="O28" s="34">
        <f t="shared" si="29"/>
        <v>0</v>
      </c>
      <c r="P28" s="49" t="s">
        <v>58</v>
      </c>
      <c r="Q28" s="49" t="s">
        <v>58</v>
      </c>
      <c r="R28" s="49" t="s">
        <v>58</v>
      </c>
      <c r="S28" s="52">
        <f t="shared" si="3"/>
        <v>1</v>
      </c>
      <c r="T28" s="52">
        <f t="shared" si="4"/>
        <v>0</v>
      </c>
      <c r="U28" s="52"/>
      <c r="V28" s="52">
        <f t="shared" si="5"/>
        <v>0</v>
      </c>
      <c r="W28" s="52"/>
      <c r="X28" s="32">
        <f t="shared" si="8"/>
        <v>24</v>
      </c>
    </row>
    <row r="29">
      <c r="A29" s="32">
        <f t="shared" si="6"/>
        <v>25</v>
      </c>
      <c r="B29" s="33" t="s">
        <v>121</v>
      </c>
      <c r="C29" s="34"/>
      <c r="D29" s="34"/>
      <c r="E29" s="35"/>
      <c r="F29" s="95">
        <v>3.0</v>
      </c>
      <c r="G29" s="96">
        <v>0.0</v>
      </c>
      <c r="H29" s="97">
        <v>9.0</v>
      </c>
      <c r="I29" s="96">
        <v>0.0</v>
      </c>
      <c r="J29" s="96">
        <v>0.0</v>
      </c>
      <c r="K29" s="96">
        <v>0.0</v>
      </c>
      <c r="L29" s="98">
        <v>9.0</v>
      </c>
      <c r="M29" s="96">
        <v>0.0</v>
      </c>
      <c r="N29" s="34">
        <f t="shared" ref="N29:O29" si="30">C29+L29</f>
        <v>9</v>
      </c>
      <c r="O29" s="34">
        <f t="shared" si="30"/>
        <v>0</v>
      </c>
      <c r="P29" s="49" t="s">
        <v>58</v>
      </c>
      <c r="Q29" s="49" t="s">
        <v>58</v>
      </c>
      <c r="R29" s="49" t="s">
        <v>58</v>
      </c>
      <c r="S29" s="52">
        <f t="shared" si="3"/>
        <v>0</v>
      </c>
      <c r="T29" s="52">
        <f t="shared" si="4"/>
        <v>0</v>
      </c>
      <c r="U29" s="52"/>
      <c r="V29" s="52">
        <f t="shared" si="5"/>
        <v>1</v>
      </c>
      <c r="W29" s="52"/>
      <c r="X29" s="32">
        <f t="shared" si="8"/>
        <v>25</v>
      </c>
    </row>
    <row r="30">
      <c r="A30" s="32">
        <f t="shared" si="6"/>
        <v>26</v>
      </c>
      <c r="B30" s="33" t="s">
        <v>87</v>
      </c>
      <c r="C30" s="34"/>
      <c r="D30" s="34"/>
      <c r="E30" s="35"/>
      <c r="F30" s="95">
        <v>3.0</v>
      </c>
      <c r="G30" s="96">
        <v>0.0</v>
      </c>
      <c r="H30" s="97">
        <v>9.0</v>
      </c>
      <c r="I30" s="96">
        <v>0.0</v>
      </c>
      <c r="J30" s="96">
        <v>0.0</v>
      </c>
      <c r="K30" s="96">
        <v>0.0</v>
      </c>
      <c r="L30" s="98">
        <v>9.0</v>
      </c>
      <c r="M30" s="96">
        <v>0.0</v>
      </c>
      <c r="N30" s="34">
        <f t="shared" ref="N30:O30" si="31">C30+L30</f>
        <v>9</v>
      </c>
      <c r="O30" s="34">
        <f t="shared" si="31"/>
        <v>0</v>
      </c>
      <c r="P30" s="49" t="s">
        <v>58</v>
      </c>
      <c r="Q30" s="49" t="s">
        <v>58</v>
      </c>
      <c r="R30" s="49" t="s">
        <v>58</v>
      </c>
      <c r="S30" s="52">
        <f t="shared" si="3"/>
        <v>0</v>
      </c>
      <c r="T30" s="52">
        <f t="shared" si="4"/>
        <v>0</v>
      </c>
      <c r="U30" s="52"/>
      <c r="V30" s="52">
        <f t="shared" si="5"/>
        <v>1</v>
      </c>
      <c r="W30" s="52"/>
      <c r="X30" s="32">
        <f t="shared" si="8"/>
        <v>26</v>
      </c>
    </row>
    <row r="31">
      <c r="A31" s="32">
        <f t="shared" si="6"/>
        <v>27</v>
      </c>
      <c r="B31" s="33" t="s">
        <v>98</v>
      </c>
      <c r="C31" s="34"/>
      <c r="D31" s="34"/>
      <c r="E31" s="35"/>
      <c r="F31" s="95">
        <v>1.0</v>
      </c>
      <c r="G31" s="96">
        <v>6.0</v>
      </c>
      <c r="H31" s="97">
        <v>0.0</v>
      </c>
      <c r="I31" s="96">
        <v>6.0</v>
      </c>
      <c r="J31" s="96">
        <v>6.0</v>
      </c>
      <c r="K31" s="96">
        <v>3.0</v>
      </c>
      <c r="L31" s="98">
        <v>15.0</v>
      </c>
      <c r="M31" s="96">
        <v>2.0</v>
      </c>
      <c r="N31" s="34">
        <f t="shared" ref="N31:O31" si="32">C31+L31</f>
        <v>15</v>
      </c>
      <c r="O31" s="34">
        <f t="shared" si="32"/>
        <v>2</v>
      </c>
      <c r="P31" s="49" t="s">
        <v>58</v>
      </c>
      <c r="Q31" s="49" t="s">
        <v>58</v>
      </c>
      <c r="R31" s="49" t="s">
        <v>58</v>
      </c>
      <c r="S31" s="52">
        <f t="shared" si="3"/>
        <v>1</v>
      </c>
      <c r="T31" s="52">
        <f t="shared" si="4"/>
        <v>0</v>
      </c>
      <c r="U31" s="52"/>
      <c r="V31" s="52">
        <f t="shared" si="5"/>
        <v>0</v>
      </c>
      <c r="W31" s="52"/>
      <c r="X31" s="32">
        <f t="shared" si="8"/>
        <v>27</v>
      </c>
    </row>
    <row r="32">
      <c r="A32" s="32">
        <f t="shared" si="6"/>
        <v>28</v>
      </c>
      <c r="B32" s="33" t="s">
        <v>141</v>
      </c>
      <c r="C32" s="34"/>
      <c r="D32" s="34"/>
      <c r="E32" s="35"/>
      <c r="F32" s="95">
        <v>3.0</v>
      </c>
      <c r="G32" s="96">
        <v>0.0</v>
      </c>
      <c r="H32" s="97">
        <v>9.0</v>
      </c>
      <c r="I32" s="96">
        <v>0.0</v>
      </c>
      <c r="J32" s="96">
        <v>0.0</v>
      </c>
      <c r="K32" s="96">
        <v>0.0</v>
      </c>
      <c r="L32" s="98">
        <v>9.0</v>
      </c>
      <c r="M32" s="96">
        <v>0.0</v>
      </c>
      <c r="N32" s="34">
        <f t="shared" ref="N32:O32" si="33">C32+L32</f>
        <v>9</v>
      </c>
      <c r="O32" s="34">
        <f t="shared" si="33"/>
        <v>0</v>
      </c>
      <c r="P32" s="49" t="s">
        <v>58</v>
      </c>
      <c r="Q32" s="49" t="s">
        <v>58</v>
      </c>
      <c r="R32" s="49" t="s">
        <v>58</v>
      </c>
      <c r="S32" s="52">
        <f t="shared" si="3"/>
        <v>0</v>
      </c>
      <c r="T32" s="52">
        <f t="shared" si="4"/>
        <v>0</v>
      </c>
      <c r="U32" s="52"/>
      <c r="V32" s="52">
        <f t="shared" si="5"/>
        <v>1</v>
      </c>
      <c r="W32" s="52"/>
      <c r="X32" s="32">
        <f t="shared" si="8"/>
        <v>28</v>
      </c>
    </row>
    <row r="33">
      <c r="A33" s="32">
        <f t="shared" si="6"/>
        <v>29</v>
      </c>
      <c r="B33" s="33" t="s">
        <v>101</v>
      </c>
      <c r="C33" s="34"/>
      <c r="D33" s="34"/>
      <c r="E33" s="35"/>
      <c r="F33" s="95">
        <v>3.0</v>
      </c>
      <c r="G33" s="96">
        <v>0.0</v>
      </c>
      <c r="H33" s="97">
        <v>9.0</v>
      </c>
      <c r="I33" s="96">
        <v>0.0</v>
      </c>
      <c r="J33" s="96">
        <v>0.0</v>
      </c>
      <c r="K33" s="96">
        <v>0.0</v>
      </c>
      <c r="L33" s="98">
        <v>9.0</v>
      </c>
      <c r="M33" s="96">
        <v>0.0</v>
      </c>
      <c r="N33" s="34">
        <f t="shared" ref="N33:O33" si="34">C33+L33</f>
        <v>9</v>
      </c>
      <c r="O33" s="34">
        <f t="shared" si="34"/>
        <v>0</v>
      </c>
      <c r="P33" s="49" t="s">
        <v>58</v>
      </c>
      <c r="Q33" s="49" t="s">
        <v>58</v>
      </c>
      <c r="R33" s="49" t="s">
        <v>58</v>
      </c>
      <c r="S33" s="52">
        <f t="shared" si="3"/>
        <v>0</v>
      </c>
      <c r="T33" s="52">
        <f t="shared" si="4"/>
        <v>0</v>
      </c>
      <c r="U33" s="52"/>
      <c r="V33" s="52">
        <f t="shared" si="5"/>
        <v>1</v>
      </c>
      <c r="W33" s="52"/>
      <c r="X33" s="32">
        <f t="shared" si="8"/>
        <v>29</v>
      </c>
    </row>
    <row r="34">
      <c r="A34" s="32">
        <f t="shared" si="6"/>
        <v>30</v>
      </c>
      <c r="B34" s="33" t="s">
        <v>67</v>
      </c>
      <c r="C34" s="34"/>
      <c r="D34" s="34"/>
      <c r="E34" s="35"/>
      <c r="F34" s="95">
        <v>1.0</v>
      </c>
      <c r="G34" s="96">
        <v>4.0</v>
      </c>
      <c r="H34" s="97">
        <v>0.0</v>
      </c>
      <c r="I34" s="96">
        <v>6.0</v>
      </c>
      <c r="J34" s="96">
        <v>6.0</v>
      </c>
      <c r="K34" s="96">
        <v>7.0</v>
      </c>
      <c r="L34" s="98">
        <v>19.0</v>
      </c>
      <c r="M34" s="96">
        <v>3.0</v>
      </c>
      <c r="N34" s="34">
        <f t="shared" ref="N34:O34" si="35">C34+L34</f>
        <v>19</v>
      </c>
      <c r="O34" s="34">
        <f t="shared" si="35"/>
        <v>3</v>
      </c>
      <c r="P34" s="49" t="s">
        <v>58</v>
      </c>
      <c r="Q34" s="49" t="s">
        <v>58</v>
      </c>
      <c r="R34" s="49" t="s">
        <v>58</v>
      </c>
      <c r="S34" s="52">
        <f t="shared" si="3"/>
        <v>1</v>
      </c>
      <c r="T34" s="52">
        <f t="shared" si="4"/>
        <v>0</v>
      </c>
      <c r="U34" s="52"/>
      <c r="V34" s="52">
        <f t="shared" si="5"/>
        <v>0</v>
      </c>
      <c r="W34" s="52"/>
      <c r="X34" s="32">
        <f t="shared" si="8"/>
        <v>30</v>
      </c>
    </row>
    <row r="35">
      <c r="A35" s="32">
        <f t="shared" si="6"/>
        <v>31</v>
      </c>
      <c r="B35" s="33" t="s">
        <v>89</v>
      </c>
      <c r="C35" s="34"/>
      <c r="D35" s="34"/>
      <c r="E35" s="35"/>
      <c r="F35" s="95">
        <v>1.0</v>
      </c>
      <c r="G35" s="96">
        <v>4.0</v>
      </c>
      <c r="H35" s="97">
        <v>0.0</v>
      </c>
      <c r="I35" s="96">
        <v>3.0</v>
      </c>
      <c r="J35" s="96">
        <v>2.0</v>
      </c>
      <c r="K35" s="96">
        <v>7.0</v>
      </c>
      <c r="L35" s="98">
        <v>12.0</v>
      </c>
      <c r="M35" s="96">
        <v>1.0</v>
      </c>
      <c r="N35" s="34">
        <f t="shared" ref="N35:O35" si="36">C35+L35</f>
        <v>12</v>
      </c>
      <c r="O35" s="34">
        <f t="shared" si="36"/>
        <v>1</v>
      </c>
      <c r="P35" s="49" t="s">
        <v>58</v>
      </c>
      <c r="Q35" s="49" t="s">
        <v>58</v>
      </c>
      <c r="R35" s="49" t="s">
        <v>58</v>
      </c>
      <c r="S35" s="52">
        <f t="shared" si="3"/>
        <v>1</v>
      </c>
      <c r="T35" s="52">
        <f t="shared" si="4"/>
        <v>0</v>
      </c>
      <c r="U35" s="52"/>
      <c r="V35" s="52">
        <f t="shared" si="5"/>
        <v>0</v>
      </c>
      <c r="W35" s="52"/>
      <c r="X35" s="32">
        <f t="shared" si="8"/>
        <v>31</v>
      </c>
    </row>
    <row r="36">
      <c r="A36" s="32">
        <f t="shared" si="6"/>
        <v>32</v>
      </c>
      <c r="B36" s="33" t="s">
        <v>86</v>
      </c>
      <c r="C36" s="34"/>
      <c r="D36" s="34"/>
      <c r="E36" s="35"/>
      <c r="F36" s="95">
        <v>3.0</v>
      </c>
      <c r="G36" s="96">
        <v>0.0</v>
      </c>
      <c r="H36" s="97">
        <v>9.0</v>
      </c>
      <c r="I36" s="96">
        <v>0.0</v>
      </c>
      <c r="J36" s="96">
        <v>0.0</v>
      </c>
      <c r="K36" s="96">
        <v>0.0</v>
      </c>
      <c r="L36" s="98">
        <v>9.0</v>
      </c>
      <c r="M36" s="96">
        <v>0.0</v>
      </c>
      <c r="N36" s="34">
        <f t="shared" ref="N36:O36" si="37">C36+L36</f>
        <v>9</v>
      </c>
      <c r="O36" s="34">
        <f t="shared" si="37"/>
        <v>0</v>
      </c>
      <c r="P36" s="49" t="s">
        <v>58</v>
      </c>
      <c r="Q36" s="49" t="s">
        <v>58</v>
      </c>
      <c r="R36" s="49" t="s">
        <v>58</v>
      </c>
      <c r="S36" s="52">
        <f t="shared" si="3"/>
        <v>0</v>
      </c>
      <c r="T36" s="52">
        <f t="shared" si="4"/>
        <v>0</v>
      </c>
      <c r="U36" s="52"/>
      <c r="V36" s="52">
        <f t="shared" si="5"/>
        <v>1</v>
      </c>
      <c r="W36" s="52"/>
      <c r="X36" s="32">
        <f t="shared" si="8"/>
        <v>32</v>
      </c>
    </row>
    <row r="37">
      <c r="A37" s="32">
        <f t="shared" si="6"/>
        <v>33</v>
      </c>
      <c r="B37" s="33" t="s">
        <v>125</v>
      </c>
      <c r="C37" s="34"/>
      <c r="D37" s="34"/>
      <c r="E37" s="35"/>
      <c r="F37" s="95">
        <v>1.0</v>
      </c>
      <c r="G37" s="96">
        <v>5.0</v>
      </c>
      <c r="H37" s="97">
        <v>0.0</v>
      </c>
      <c r="I37" s="96">
        <v>6.0</v>
      </c>
      <c r="J37" s="96">
        <v>6.0</v>
      </c>
      <c r="K37" s="96">
        <v>6.0</v>
      </c>
      <c r="L37" s="98">
        <v>18.0</v>
      </c>
      <c r="M37" s="96">
        <v>2.0</v>
      </c>
      <c r="N37" s="34">
        <f t="shared" ref="N37:O37" si="38">C37+L37</f>
        <v>18</v>
      </c>
      <c r="O37" s="34">
        <f t="shared" si="38"/>
        <v>2</v>
      </c>
      <c r="P37" s="49" t="s">
        <v>58</v>
      </c>
      <c r="Q37" s="49" t="s">
        <v>58</v>
      </c>
      <c r="R37" s="49" t="s">
        <v>58</v>
      </c>
      <c r="S37" s="52">
        <f t="shared" si="3"/>
        <v>1</v>
      </c>
      <c r="T37" s="52">
        <f t="shared" si="4"/>
        <v>0</v>
      </c>
      <c r="U37" s="52"/>
      <c r="V37" s="52">
        <f t="shared" si="5"/>
        <v>0</v>
      </c>
      <c r="W37" s="52"/>
      <c r="X37" s="32">
        <f t="shared" si="8"/>
        <v>33</v>
      </c>
    </row>
    <row r="38">
      <c r="A38" s="32">
        <f t="shared" si="6"/>
        <v>34</v>
      </c>
      <c r="B38" s="33" t="s">
        <v>103</v>
      </c>
      <c r="C38" s="34"/>
      <c r="D38" s="34"/>
      <c r="E38" s="35"/>
      <c r="F38" s="95">
        <v>2.0</v>
      </c>
      <c r="G38" s="96">
        <v>5.0</v>
      </c>
      <c r="H38" s="97">
        <v>0.0</v>
      </c>
      <c r="I38" s="96">
        <v>6.0</v>
      </c>
      <c r="J38" s="96">
        <v>2.0</v>
      </c>
      <c r="K38" s="96">
        <v>7.0</v>
      </c>
      <c r="L38" s="98">
        <v>15.0</v>
      </c>
      <c r="M38" s="96">
        <v>2.0</v>
      </c>
      <c r="N38" s="34">
        <f t="shared" ref="N38:O38" si="39">C38+L38</f>
        <v>15</v>
      </c>
      <c r="O38" s="34">
        <f t="shared" si="39"/>
        <v>2</v>
      </c>
      <c r="P38" s="49" t="s">
        <v>58</v>
      </c>
      <c r="Q38" s="49" t="s">
        <v>58</v>
      </c>
      <c r="R38" s="49" t="s">
        <v>58</v>
      </c>
      <c r="S38" s="52">
        <f t="shared" si="3"/>
        <v>1</v>
      </c>
      <c r="T38" s="52">
        <f t="shared" si="4"/>
        <v>0</v>
      </c>
      <c r="U38" s="52"/>
      <c r="V38" s="52">
        <f t="shared" si="5"/>
        <v>0</v>
      </c>
      <c r="W38" s="52"/>
      <c r="X38" s="32">
        <f t="shared" si="8"/>
        <v>34</v>
      </c>
    </row>
    <row r="39">
      <c r="A39" s="32">
        <f t="shared" si="6"/>
        <v>35</v>
      </c>
      <c r="B39" s="33" t="s">
        <v>118</v>
      </c>
      <c r="C39" s="34"/>
      <c r="D39" s="34"/>
      <c r="E39" s="35"/>
      <c r="F39" s="95">
        <v>2.0</v>
      </c>
      <c r="G39" s="96">
        <v>8.0</v>
      </c>
      <c r="H39" s="97">
        <v>0.0</v>
      </c>
      <c r="I39" s="96">
        <v>0.0</v>
      </c>
      <c r="J39" s="96">
        <v>1.0</v>
      </c>
      <c r="K39" s="96">
        <v>6.0</v>
      </c>
      <c r="L39" s="98">
        <v>7.0</v>
      </c>
      <c r="M39" s="96">
        <v>1.0</v>
      </c>
      <c r="N39" s="34">
        <f t="shared" ref="N39:O39" si="40">C39+L39</f>
        <v>7</v>
      </c>
      <c r="O39" s="34">
        <f t="shared" si="40"/>
        <v>1</v>
      </c>
      <c r="P39" s="49" t="s">
        <v>58</v>
      </c>
      <c r="Q39" s="49" t="s">
        <v>58</v>
      </c>
      <c r="R39" s="49" t="s">
        <v>58</v>
      </c>
      <c r="S39" s="52">
        <f t="shared" si="3"/>
        <v>1</v>
      </c>
      <c r="T39" s="52">
        <f t="shared" si="4"/>
        <v>0</v>
      </c>
      <c r="U39" s="52"/>
      <c r="V39" s="52">
        <f t="shared" si="5"/>
        <v>0</v>
      </c>
      <c r="W39" s="52"/>
      <c r="X39" s="32">
        <f t="shared" si="8"/>
        <v>35</v>
      </c>
    </row>
    <row r="40">
      <c r="A40" s="32">
        <f t="shared" si="6"/>
        <v>36</v>
      </c>
      <c r="B40" s="33" t="s">
        <v>108</v>
      </c>
      <c r="C40" s="34"/>
      <c r="D40" s="34"/>
      <c r="E40" s="35"/>
      <c r="F40" s="95">
        <v>3.0</v>
      </c>
      <c r="G40" s="96">
        <v>0.0</v>
      </c>
      <c r="H40" s="97">
        <v>9.0</v>
      </c>
      <c r="I40" s="96">
        <v>0.0</v>
      </c>
      <c r="J40" s="96">
        <v>0.0</v>
      </c>
      <c r="K40" s="96">
        <v>0.0</v>
      </c>
      <c r="L40" s="98">
        <v>9.0</v>
      </c>
      <c r="M40" s="96">
        <v>0.0</v>
      </c>
      <c r="N40" s="34">
        <f t="shared" ref="N40:O40" si="41">C40+L40</f>
        <v>9</v>
      </c>
      <c r="O40" s="34">
        <f t="shared" si="41"/>
        <v>0</v>
      </c>
      <c r="P40" s="49" t="s">
        <v>58</v>
      </c>
      <c r="Q40" s="49" t="s">
        <v>58</v>
      </c>
      <c r="R40" s="49" t="s">
        <v>58</v>
      </c>
      <c r="S40" s="52">
        <f t="shared" si="3"/>
        <v>0</v>
      </c>
      <c r="T40" s="52">
        <f t="shared" si="4"/>
        <v>0</v>
      </c>
      <c r="U40" s="52"/>
      <c r="V40" s="52">
        <f t="shared" si="5"/>
        <v>1</v>
      </c>
      <c r="W40" s="52"/>
      <c r="X40" s="32">
        <f t="shared" si="8"/>
        <v>36</v>
      </c>
    </row>
    <row r="41">
      <c r="A41" s="32">
        <f t="shared" si="6"/>
        <v>37</v>
      </c>
      <c r="B41" s="33" t="s">
        <v>128</v>
      </c>
      <c r="C41" s="34"/>
      <c r="D41" s="34"/>
      <c r="E41" s="35"/>
      <c r="F41" s="95">
        <v>3.0</v>
      </c>
      <c r="G41" s="96">
        <v>0.0</v>
      </c>
      <c r="H41" s="97">
        <v>9.0</v>
      </c>
      <c r="I41" s="96">
        <v>0.0</v>
      </c>
      <c r="J41" s="96">
        <v>0.0</v>
      </c>
      <c r="K41" s="96">
        <v>0.0</v>
      </c>
      <c r="L41" s="98">
        <v>9.0</v>
      </c>
      <c r="M41" s="96">
        <v>0.0</v>
      </c>
      <c r="N41" s="34">
        <f t="shared" ref="N41:O41" si="42">C41+L41</f>
        <v>9</v>
      </c>
      <c r="O41" s="34">
        <f t="shared" si="42"/>
        <v>0</v>
      </c>
      <c r="P41" s="49" t="s">
        <v>58</v>
      </c>
      <c r="Q41" s="49" t="s">
        <v>58</v>
      </c>
      <c r="R41" s="49" t="s">
        <v>58</v>
      </c>
      <c r="S41" s="52">
        <f t="shared" si="3"/>
        <v>0</v>
      </c>
      <c r="T41" s="52">
        <f t="shared" si="4"/>
        <v>0</v>
      </c>
      <c r="U41" s="52"/>
      <c r="V41" s="52">
        <f t="shared" si="5"/>
        <v>1</v>
      </c>
      <c r="W41" s="52"/>
      <c r="X41" s="32">
        <f t="shared" si="8"/>
        <v>37</v>
      </c>
    </row>
    <row r="42">
      <c r="A42" s="32">
        <f t="shared" si="6"/>
        <v>38</v>
      </c>
      <c r="B42" s="33" t="s">
        <v>73</v>
      </c>
      <c r="C42" s="34"/>
      <c r="D42" s="34"/>
      <c r="E42" s="35"/>
      <c r="F42" s="95">
        <v>3.0</v>
      </c>
      <c r="G42" s="96">
        <v>0.0</v>
      </c>
      <c r="H42" s="97">
        <v>9.0</v>
      </c>
      <c r="I42" s="96">
        <v>0.0</v>
      </c>
      <c r="J42" s="96">
        <v>0.0</v>
      </c>
      <c r="K42" s="96">
        <v>0.0</v>
      </c>
      <c r="L42" s="98">
        <v>9.0</v>
      </c>
      <c r="M42" s="96">
        <v>0.0</v>
      </c>
      <c r="N42" s="34">
        <f t="shared" ref="N42:O42" si="43">C42+L42</f>
        <v>9</v>
      </c>
      <c r="O42" s="34">
        <f t="shared" si="43"/>
        <v>0</v>
      </c>
      <c r="P42" s="49" t="s">
        <v>58</v>
      </c>
      <c r="Q42" s="49" t="s">
        <v>58</v>
      </c>
      <c r="R42" s="49" t="s">
        <v>58</v>
      </c>
      <c r="S42" s="52">
        <f t="shared" si="3"/>
        <v>0</v>
      </c>
      <c r="T42" s="52">
        <f t="shared" si="4"/>
        <v>0</v>
      </c>
      <c r="U42" s="52"/>
      <c r="V42" s="52">
        <f t="shared" si="5"/>
        <v>1</v>
      </c>
      <c r="W42" s="52"/>
      <c r="X42" s="32">
        <f t="shared" si="8"/>
        <v>38</v>
      </c>
    </row>
    <row r="43">
      <c r="A43" s="32">
        <f t="shared" si="6"/>
        <v>39</v>
      </c>
      <c r="B43" s="33" t="s">
        <v>139</v>
      </c>
      <c r="C43" s="34"/>
      <c r="D43" s="34"/>
      <c r="E43" s="35"/>
      <c r="F43" s="95">
        <v>3.0</v>
      </c>
      <c r="G43" s="96">
        <v>0.0</v>
      </c>
      <c r="H43" s="97">
        <v>9.0</v>
      </c>
      <c r="I43" s="96">
        <v>0.0</v>
      </c>
      <c r="J43" s="96">
        <v>0.0</v>
      </c>
      <c r="K43" s="96">
        <v>0.0</v>
      </c>
      <c r="L43" s="98">
        <v>9.0</v>
      </c>
      <c r="M43" s="96">
        <v>0.0</v>
      </c>
      <c r="N43" s="34">
        <f t="shared" ref="N43:O43" si="44">C43+L43</f>
        <v>9</v>
      </c>
      <c r="O43" s="34">
        <f t="shared" si="44"/>
        <v>0</v>
      </c>
      <c r="P43" s="49" t="s">
        <v>58</v>
      </c>
      <c r="Q43" s="49" t="s">
        <v>58</v>
      </c>
      <c r="R43" s="49" t="s">
        <v>58</v>
      </c>
      <c r="S43" s="52">
        <f t="shared" si="3"/>
        <v>0</v>
      </c>
      <c r="T43" s="52">
        <f t="shared" si="4"/>
        <v>0</v>
      </c>
      <c r="U43" s="52"/>
      <c r="V43" s="52">
        <f t="shared" si="5"/>
        <v>1</v>
      </c>
      <c r="W43" s="52"/>
      <c r="X43" s="32">
        <f t="shared" si="8"/>
        <v>39</v>
      </c>
    </row>
    <row r="44">
      <c r="A44" s="32">
        <f t="shared" si="6"/>
        <v>40</v>
      </c>
      <c r="B44" s="33" t="s">
        <v>142</v>
      </c>
      <c r="C44" s="34"/>
      <c r="D44" s="34"/>
      <c r="E44" s="35"/>
      <c r="F44" s="95">
        <v>2.0</v>
      </c>
      <c r="G44" s="96">
        <v>9.0</v>
      </c>
      <c r="H44" s="97">
        <v>0.0</v>
      </c>
      <c r="I44" s="96">
        <v>6.0</v>
      </c>
      <c r="J44" s="96">
        <v>6.0</v>
      </c>
      <c r="K44" s="96">
        <v>0.0</v>
      </c>
      <c r="L44" s="98">
        <v>12.0</v>
      </c>
      <c r="M44" s="96">
        <v>2.0</v>
      </c>
      <c r="N44" s="34">
        <f t="shared" ref="N44:O44" si="45">C44+L44</f>
        <v>12</v>
      </c>
      <c r="O44" s="34">
        <f t="shared" si="45"/>
        <v>2</v>
      </c>
      <c r="P44" s="49" t="s">
        <v>58</v>
      </c>
      <c r="Q44" s="49" t="s">
        <v>58</v>
      </c>
      <c r="R44" s="49" t="s">
        <v>58</v>
      </c>
      <c r="S44" s="52">
        <f t="shared" si="3"/>
        <v>1</v>
      </c>
      <c r="T44" s="52">
        <f t="shared" si="4"/>
        <v>0</v>
      </c>
      <c r="U44" s="52"/>
      <c r="V44" s="52">
        <f t="shared" si="5"/>
        <v>0</v>
      </c>
      <c r="W44" s="52"/>
      <c r="X44" s="32">
        <f t="shared" si="8"/>
        <v>40</v>
      </c>
    </row>
    <row r="45">
      <c r="A45" s="32">
        <f t="shared" si="6"/>
        <v>41</v>
      </c>
      <c r="B45" s="33" t="s">
        <v>114</v>
      </c>
      <c r="C45" s="34"/>
      <c r="D45" s="34"/>
      <c r="E45" s="35"/>
      <c r="F45" s="95">
        <v>3.0</v>
      </c>
      <c r="G45" s="96">
        <v>0.0</v>
      </c>
      <c r="H45" s="97">
        <v>9.0</v>
      </c>
      <c r="I45" s="96">
        <v>0.0</v>
      </c>
      <c r="J45" s="96">
        <v>0.0</v>
      </c>
      <c r="K45" s="96">
        <v>0.0</v>
      </c>
      <c r="L45" s="98">
        <v>9.0</v>
      </c>
      <c r="M45" s="96">
        <v>0.0</v>
      </c>
      <c r="N45" s="34">
        <f t="shared" ref="N45:O45" si="46">C45+L45</f>
        <v>9</v>
      </c>
      <c r="O45" s="34">
        <f t="shared" si="46"/>
        <v>0</v>
      </c>
      <c r="P45" s="49" t="s">
        <v>58</v>
      </c>
      <c r="Q45" s="49" t="s">
        <v>58</v>
      </c>
      <c r="R45" s="49" t="s">
        <v>58</v>
      </c>
      <c r="S45" s="52">
        <f t="shared" si="3"/>
        <v>0</v>
      </c>
      <c r="T45" s="52">
        <f t="shared" si="4"/>
        <v>0</v>
      </c>
      <c r="U45" s="52"/>
      <c r="V45" s="52">
        <f t="shared" si="5"/>
        <v>1</v>
      </c>
      <c r="W45" s="52"/>
      <c r="X45" s="32">
        <f t="shared" si="8"/>
        <v>41</v>
      </c>
    </row>
    <row r="46">
      <c r="A46" s="32">
        <f t="shared" si="6"/>
        <v>42</v>
      </c>
      <c r="B46" s="33" t="s">
        <v>95</v>
      </c>
      <c r="C46" s="34"/>
      <c r="D46" s="34"/>
      <c r="E46" s="35"/>
      <c r="F46" s="95">
        <v>3.0</v>
      </c>
      <c r="G46" s="96">
        <v>0.0</v>
      </c>
      <c r="H46" s="97">
        <v>9.0</v>
      </c>
      <c r="I46" s="96">
        <v>0.0</v>
      </c>
      <c r="J46" s="96">
        <v>0.0</v>
      </c>
      <c r="K46" s="96">
        <v>0.0</v>
      </c>
      <c r="L46" s="98">
        <v>9.0</v>
      </c>
      <c r="M46" s="96">
        <v>0.0</v>
      </c>
      <c r="N46" s="34">
        <f t="shared" ref="N46:O46" si="47">C46+L46</f>
        <v>9</v>
      </c>
      <c r="O46" s="34">
        <f t="shared" si="47"/>
        <v>0</v>
      </c>
      <c r="P46" s="49" t="s">
        <v>58</v>
      </c>
      <c r="Q46" s="49" t="s">
        <v>58</v>
      </c>
      <c r="R46" s="49" t="s">
        <v>58</v>
      </c>
      <c r="S46" s="52">
        <f t="shared" si="3"/>
        <v>0</v>
      </c>
      <c r="T46" s="52">
        <f t="shared" si="4"/>
        <v>0</v>
      </c>
      <c r="U46" s="52"/>
      <c r="V46" s="52">
        <f t="shared" si="5"/>
        <v>1</v>
      </c>
      <c r="W46" s="52"/>
      <c r="X46" s="32">
        <f t="shared" si="8"/>
        <v>42</v>
      </c>
    </row>
    <row r="47">
      <c r="A47" s="32">
        <f t="shared" si="6"/>
        <v>43</v>
      </c>
      <c r="B47" s="33" t="s">
        <v>105</v>
      </c>
      <c r="C47" s="34"/>
      <c r="D47" s="34"/>
      <c r="E47" s="35"/>
      <c r="F47" s="95">
        <v>2.0</v>
      </c>
      <c r="G47" s="96">
        <v>3.0</v>
      </c>
      <c r="H47" s="97">
        <v>0.0</v>
      </c>
      <c r="I47" s="96">
        <v>6.0</v>
      </c>
      <c r="J47" s="96">
        <v>6.0</v>
      </c>
      <c r="K47" s="96">
        <v>6.0</v>
      </c>
      <c r="L47" s="98">
        <v>18.0</v>
      </c>
      <c r="M47" s="96">
        <v>3.0</v>
      </c>
      <c r="N47" s="34">
        <f t="shared" ref="N47:O47" si="48">C47+L47</f>
        <v>18</v>
      </c>
      <c r="O47" s="34">
        <f t="shared" si="48"/>
        <v>3</v>
      </c>
      <c r="P47" s="49" t="s">
        <v>58</v>
      </c>
      <c r="Q47" s="49" t="s">
        <v>58</v>
      </c>
      <c r="R47" s="49" t="s">
        <v>58</v>
      </c>
      <c r="S47" s="52">
        <f t="shared" si="3"/>
        <v>1</v>
      </c>
      <c r="T47" s="52">
        <f t="shared" si="4"/>
        <v>0</v>
      </c>
      <c r="U47" s="52"/>
      <c r="V47" s="52">
        <f t="shared" si="5"/>
        <v>0</v>
      </c>
      <c r="W47" s="52"/>
      <c r="X47" s="32">
        <f t="shared" si="8"/>
        <v>43</v>
      </c>
    </row>
    <row r="48">
      <c r="A48" s="32">
        <f t="shared" si="6"/>
        <v>44</v>
      </c>
      <c r="B48" s="33" t="s">
        <v>65</v>
      </c>
      <c r="C48" s="34"/>
      <c r="D48" s="34"/>
      <c r="E48" s="35"/>
      <c r="F48" s="95">
        <v>3.0</v>
      </c>
      <c r="G48" s="96">
        <v>0.0</v>
      </c>
      <c r="H48" s="97">
        <v>9.0</v>
      </c>
      <c r="I48" s="96">
        <v>0.0</v>
      </c>
      <c r="J48" s="96">
        <v>0.0</v>
      </c>
      <c r="K48" s="96">
        <v>0.0</v>
      </c>
      <c r="L48" s="98">
        <v>9.0</v>
      </c>
      <c r="M48" s="96">
        <v>0.0</v>
      </c>
      <c r="N48" s="34">
        <f t="shared" ref="N48:O48" si="49">C48+L48</f>
        <v>9</v>
      </c>
      <c r="O48" s="34">
        <f t="shared" si="49"/>
        <v>0</v>
      </c>
      <c r="P48" s="49" t="s">
        <v>58</v>
      </c>
      <c r="Q48" s="49" t="s">
        <v>58</v>
      </c>
      <c r="R48" s="49" t="s">
        <v>58</v>
      </c>
      <c r="S48" s="52">
        <f t="shared" si="3"/>
        <v>0</v>
      </c>
      <c r="T48" s="52">
        <f t="shared" si="4"/>
        <v>0</v>
      </c>
      <c r="U48" s="52"/>
      <c r="V48" s="52">
        <f t="shared" si="5"/>
        <v>1</v>
      </c>
      <c r="W48" s="52"/>
      <c r="X48" s="32">
        <f t="shared" si="8"/>
        <v>44</v>
      </c>
    </row>
    <row r="49">
      <c r="A49" s="32">
        <f t="shared" si="6"/>
        <v>45</v>
      </c>
      <c r="B49" s="33" t="s">
        <v>144</v>
      </c>
      <c r="C49" s="34"/>
      <c r="D49" s="34"/>
      <c r="E49" s="35"/>
      <c r="F49" s="95">
        <v>2.0</v>
      </c>
      <c r="G49" s="96">
        <v>8.0</v>
      </c>
      <c r="H49" s="97">
        <v>0.0</v>
      </c>
      <c r="I49" s="96">
        <v>0.0</v>
      </c>
      <c r="J49" s="96">
        <v>6.0</v>
      </c>
      <c r="K49" s="96">
        <v>4.0</v>
      </c>
      <c r="L49" s="98">
        <v>10.0</v>
      </c>
      <c r="M49" s="96">
        <v>1.0</v>
      </c>
      <c r="N49" s="34">
        <f t="shared" ref="N49:O49" si="50">C49+L49</f>
        <v>10</v>
      </c>
      <c r="O49" s="34">
        <f t="shared" si="50"/>
        <v>1</v>
      </c>
      <c r="P49" s="49" t="s">
        <v>58</v>
      </c>
      <c r="Q49" s="49" t="s">
        <v>58</v>
      </c>
      <c r="R49" s="49" t="s">
        <v>58</v>
      </c>
      <c r="S49" s="52">
        <f t="shared" si="3"/>
        <v>1</v>
      </c>
      <c r="T49" s="52">
        <f t="shared" si="4"/>
        <v>0</v>
      </c>
      <c r="U49" s="52"/>
      <c r="V49" s="52">
        <f t="shared" si="5"/>
        <v>0</v>
      </c>
      <c r="W49" s="52"/>
      <c r="X49" s="32">
        <f t="shared" si="8"/>
        <v>45</v>
      </c>
    </row>
    <row r="50">
      <c r="A50" s="32">
        <f t="shared" si="6"/>
        <v>46</v>
      </c>
      <c r="B50" s="33" t="s">
        <v>146</v>
      </c>
      <c r="C50" s="34"/>
      <c r="D50" s="34"/>
      <c r="E50" s="35"/>
      <c r="F50" s="95">
        <v>3.0</v>
      </c>
      <c r="G50" s="96">
        <v>0.0</v>
      </c>
      <c r="H50" s="97">
        <v>9.0</v>
      </c>
      <c r="I50" s="96">
        <v>0.0</v>
      </c>
      <c r="J50" s="96">
        <v>0.0</v>
      </c>
      <c r="K50" s="96">
        <v>0.0</v>
      </c>
      <c r="L50" s="98">
        <v>9.0</v>
      </c>
      <c r="M50" s="96">
        <v>0.0</v>
      </c>
      <c r="N50" s="34">
        <f t="shared" ref="N50:O50" si="51">C50+L50</f>
        <v>9</v>
      </c>
      <c r="O50" s="34">
        <f t="shared" si="51"/>
        <v>0</v>
      </c>
      <c r="P50" s="49" t="s">
        <v>58</v>
      </c>
      <c r="Q50" s="49" t="s">
        <v>58</v>
      </c>
      <c r="R50" s="49" t="s">
        <v>58</v>
      </c>
      <c r="S50" s="52">
        <f t="shared" si="3"/>
        <v>0</v>
      </c>
      <c r="T50" s="52">
        <f t="shared" si="4"/>
        <v>0</v>
      </c>
      <c r="U50" s="52"/>
      <c r="V50" s="52">
        <f t="shared" si="5"/>
        <v>1</v>
      </c>
      <c r="W50" s="52"/>
      <c r="X50" s="32">
        <f t="shared" si="8"/>
        <v>46</v>
      </c>
    </row>
    <row r="51">
      <c r="A51" s="32">
        <f t="shared" si="6"/>
        <v>47</v>
      </c>
      <c r="B51" s="33" t="s">
        <v>143</v>
      </c>
      <c r="C51" s="34"/>
      <c r="D51" s="34"/>
      <c r="E51" s="35"/>
      <c r="F51" s="95">
        <v>1.0</v>
      </c>
      <c r="G51" s="96">
        <v>4.0</v>
      </c>
      <c r="H51" s="97">
        <v>0.0</v>
      </c>
      <c r="I51" s="96">
        <v>3.0</v>
      </c>
      <c r="J51" s="96">
        <v>6.0</v>
      </c>
      <c r="K51" s="96">
        <v>5.0</v>
      </c>
      <c r="L51" s="98">
        <v>14.0</v>
      </c>
      <c r="M51" s="96">
        <v>1.0</v>
      </c>
      <c r="N51" s="34">
        <f t="shared" ref="N51:O51" si="52">C51+L51</f>
        <v>14</v>
      </c>
      <c r="O51" s="34">
        <f t="shared" si="52"/>
        <v>1</v>
      </c>
      <c r="P51" s="49" t="s">
        <v>58</v>
      </c>
      <c r="Q51" s="49" t="s">
        <v>58</v>
      </c>
      <c r="R51" s="49" t="s">
        <v>58</v>
      </c>
      <c r="S51" s="52">
        <f t="shared" si="3"/>
        <v>1</v>
      </c>
      <c r="T51" s="52">
        <f t="shared" si="4"/>
        <v>0</v>
      </c>
      <c r="U51" s="52"/>
      <c r="V51" s="52">
        <f t="shared" si="5"/>
        <v>0</v>
      </c>
      <c r="W51" s="52"/>
      <c r="X51" s="32">
        <f t="shared" si="8"/>
        <v>47</v>
      </c>
    </row>
    <row r="52">
      <c r="A52" s="32">
        <f t="shared" si="6"/>
        <v>48</v>
      </c>
      <c r="B52" s="33" t="s">
        <v>135</v>
      </c>
      <c r="C52" s="34"/>
      <c r="D52" s="34"/>
      <c r="E52" s="35"/>
      <c r="F52" s="95">
        <v>3.0</v>
      </c>
      <c r="G52" s="96">
        <v>0.0</v>
      </c>
      <c r="H52" s="97">
        <v>9.0</v>
      </c>
      <c r="I52" s="96">
        <v>0.0</v>
      </c>
      <c r="J52" s="96">
        <v>0.0</v>
      </c>
      <c r="K52" s="96">
        <v>0.0</v>
      </c>
      <c r="L52" s="98">
        <v>9.0</v>
      </c>
      <c r="M52" s="96">
        <v>0.0</v>
      </c>
      <c r="N52" s="34">
        <f t="shared" ref="N52:O52" si="53">C52+L52</f>
        <v>9</v>
      </c>
      <c r="O52" s="34">
        <f t="shared" si="53"/>
        <v>0</v>
      </c>
      <c r="P52" s="49" t="s">
        <v>58</v>
      </c>
      <c r="Q52" s="49" t="s">
        <v>58</v>
      </c>
      <c r="R52" s="49" t="s">
        <v>58</v>
      </c>
      <c r="S52" s="52">
        <f t="shared" si="3"/>
        <v>0</v>
      </c>
      <c r="T52" s="52">
        <f t="shared" si="4"/>
        <v>0</v>
      </c>
      <c r="U52" s="52"/>
      <c r="V52" s="52">
        <f t="shared" si="5"/>
        <v>1</v>
      </c>
      <c r="W52" s="52"/>
      <c r="X52" s="32">
        <f t="shared" si="8"/>
        <v>48</v>
      </c>
    </row>
    <row r="53">
      <c r="A53" s="32">
        <f t="shared" si="6"/>
        <v>49</v>
      </c>
      <c r="B53" s="33" t="s">
        <v>60</v>
      </c>
      <c r="C53" s="34"/>
      <c r="D53" s="34"/>
      <c r="E53" s="35"/>
      <c r="F53" s="95">
        <v>1.0</v>
      </c>
      <c r="G53" s="96">
        <v>8.0</v>
      </c>
      <c r="H53" s="97">
        <v>0.0</v>
      </c>
      <c r="I53" s="96">
        <v>6.0</v>
      </c>
      <c r="J53" s="96">
        <v>1.0</v>
      </c>
      <c r="K53" s="96">
        <v>4.0</v>
      </c>
      <c r="L53" s="98">
        <v>11.0</v>
      </c>
      <c r="M53" s="96">
        <v>1.0</v>
      </c>
      <c r="N53" s="34">
        <f t="shared" ref="N53:O53" si="54">C53+L53</f>
        <v>11</v>
      </c>
      <c r="O53" s="34">
        <f t="shared" si="54"/>
        <v>1</v>
      </c>
      <c r="P53" s="49" t="s">
        <v>58</v>
      </c>
      <c r="Q53" s="49" t="s">
        <v>58</v>
      </c>
      <c r="R53" s="49" t="s">
        <v>58</v>
      </c>
      <c r="S53" s="52">
        <f t="shared" si="3"/>
        <v>1</v>
      </c>
      <c r="T53" s="52">
        <f t="shared" si="4"/>
        <v>0</v>
      </c>
      <c r="U53" s="52"/>
      <c r="V53" s="52">
        <f t="shared" si="5"/>
        <v>0</v>
      </c>
      <c r="W53" s="52"/>
      <c r="X53" s="32">
        <f t="shared" si="8"/>
        <v>49</v>
      </c>
    </row>
    <row r="54">
      <c r="A54" s="32">
        <f t="shared" si="6"/>
        <v>50</v>
      </c>
      <c r="B54" s="33" t="s">
        <v>90</v>
      </c>
      <c r="C54" s="34"/>
      <c r="D54" s="34"/>
      <c r="E54" s="35"/>
      <c r="F54" s="95">
        <v>1.0</v>
      </c>
      <c r="G54" s="96">
        <v>6.0</v>
      </c>
      <c r="H54" s="97">
        <v>0.0</v>
      </c>
      <c r="I54" s="96">
        <v>6.0</v>
      </c>
      <c r="J54" s="96">
        <v>1.0</v>
      </c>
      <c r="K54" s="96">
        <v>6.0</v>
      </c>
      <c r="L54" s="98">
        <v>13.0</v>
      </c>
      <c r="M54" s="96">
        <v>2.0</v>
      </c>
      <c r="N54" s="34">
        <f t="shared" ref="N54:O54" si="55">C54+L54</f>
        <v>13</v>
      </c>
      <c r="O54" s="34">
        <f t="shared" si="55"/>
        <v>2</v>
      </c>
      <c r="P54" s="49" t="s">
        <v>58</v>
      </c>
      <c r="Q54" s="49" t="s">
        <v>58</v>
      </c>
      <c r="R54" s="49" t="s">
        <v>58</v>
      </c>
      <c r="S54" s="52">
        <f t="shared" si="3"/>
        <v>1</v>
      </c>
      <c r="T54" s="52">
        <f t="shared" si="4"/>
        <v>0</v>
      </c>
      <c r="U54" s="52"/>
      <c r="V54" s="52">
        <f t="shared" si="5"/>
        <v>0</v>
      </c>
      <c r="W54" s="52"/>
      <c r="X54" s="32">
        <f t="shared" si="8"/>
        <v>50</v>
      </c>
    </row>
    <row r="55">
      <c r="A55" s="32">
        <f t="shared" si="6"/>
        <v>51</v>
      </c>
      <c r="B55" s="33" t="s">
        <v>148</v>
      </c>
      <c r="C55" s="34"/>
      <c r="D55" s="34"/>
      <c r="E55" s="35"/>
      <c r="F55" s="95">
        <v>1.0</v>
      </c>
      <c r="G55" s="96">
        <v>1.0</v>
      </c>
      <c r="H55" s="97">
        <v>0.0</v>
      </c>
      <c r="I55" s="96">
        <v>3.0</v>
      </c>
      <c r="J55" s="96">
        <v>6.0</v>
      </c>
      <c r="K55" s="96">
        <v>2.0</v>
      </c>
      <c r="L55" s="98">
        <v>11.0</v>
      </c>
      <c r="M55" s="96">
        <v>0.0</v>
      </c>
      <c r="N55" s="34">
        <f t="shared" ref="N55:O55" si="56">C55+L55</f>
        <v>11</v>
      </c>
      <c r="O55" s="34">
        <f t="shared" si="56"/>
        <v>0</v>
      </c>
      <c r="P55" s="49" t="s">
        <v>58</v>
      </c>
      <c r="Q55" s="49" t="s">
        <v>58</v>
      </c>
      <c r="R55" s="49" t="s">
        <v>58</v>
      </c>
      <c r="S55" s="52">
        <f t="shared" si="3"/>
        <v>1</v>
      </c>
      <c r="T55" s="52">
        <f t="shared" si="4"/>
        <v>0</v>
      </c>
      <c r="U55" s="52"/>
      <c r="V55" s="52">
        <f t="shared" si="5"/>
        <v>0</v>
      </c>
      <c r="W55" s="52"/>
      <c r="X55" s="32">
        <f t="shared" si="8"/>
        <v>51</v>
      </c>
    </row>
    <row r="56">
      <c r="A56" s="32">
        <f t="shared" si="6"/>
        <v>52</v>
      </c>
      <c r="B56" s="33" t="s">
        <v>97</v>
      </c>
      <c r="C56" s="34"/>
      <c r="D56" s="34"/>
      <c r="E56" s="35"/>
      <c r="F56" s="95">
        <v>1.0</v>
      </c>
      <c r="G56" s="96">
        <v>6.0</v>
      </c>
      <c r="H56" s="97">
        <v>0.0</v>
      </c>
      <c r="I56" s="96">
        <v>3.0</v>
      </c>
      <c r="J56" s="96">
        <v>6.0</v>
      </c>
      <c r="K56" s="96">
        <v>6.0</v>
      </c>
      <c r="L56" s="98">
        <v>15.0</v>
      </c>
      <c r="M56" s="96">
        <v>2.0</v>
      </c>
      <c r="N56" s="34">
        <f t="shared" ref="N56:O56" si="57">C56+L56</f>
        <v>15</v>
      </c>
      <c r="O56" s="34">
        <f t="shared" si="57"/>
        <v>2</v>
      </c>
      <c r="P56" s="49" t="s">
        <v>58</v>
      </c>
      <c r="Q56" s="49" t="s">
        <v>58</v>
      </c>
      <c r="R56" s="49" t="s">
        <v>58</v>
      </c>
      <c r="S56" s="52">
        <f t="shared" si="3"/>
        <v>1</v>
      </c>
      <c r="T56" s="52">
        <f t="shared" si="4"/>
        <v>0</v>
      </c>
      <c r="U56" s="52"/>
      <c r="V56" s="52">
        <f t="shared" si="5"/>
        <v>0</v>
      </c>
      <c r="W56" s="52"/>
      <c r="X56" s="32">
        <f t="shared" si="8"/>
        <v>52</v>
      </c>
    </row>
    <row r="57">
      <c r="A57" s="32">
        <f t="shared" si="6"/>
        <v>53</v>
      </c>
      <c r="B57" s="33" t="s">
        <v>91</v>
      </c>
      <c r="C57" s="34"/>
      <c r="D57" s="34"/>
      <c r="E57" s="35"/>
      <c r="F57" s="95">
        <v>1.0</v>
      </c>
      <c r="G57" s="96">
        <v>7.0</v>
      </c>
      <c r="H57" s="97">
        <v>0.0</v>
      </c>
      <c r="I57" s="96">
        <v>7.0</v>
      </c>
      <c r="J57" s="96">
        <v>6.0</v>
      </c>
      <c r="K57" s="96">
        <v>2.0</v>
      </c>
      <c r="L57" s="98">
        <v>15.0</v>
      </c>
      <c r="M57" s="96">
        <v>2.0</v>
      </c>
      <c r="N57" s="34">
        <f t="shared" ref="N57:O57" si="58">C57+L57</f>
        <v>15</v>
      </c>
      <c r="O57" s="34">
        <f t="shared" si="58"/>
        <v>2</v>
      </c>
      <c r="P57" s="49" t="s">
        <v>58</v>
      </c>
      <c r="Q57" s="49" t="s">
        <v>58</v>
      </c>
      <c r="R57" s="49" t="s">
        <v>58</v>
      </c>
      <c r="S57" s="52">
        <f t="shared" si="3"/>
        <v>1</v>
      </c>
      <c r="T57" s="52">
        <f t="shared" si="4"/>
        <v>0</v>
      </c>
      <c r="U57" s="52"/>
      <c r="V57" s="52">
        <f t="shared" si="5"/>
        <v>0</v>
      </c>
      <c r="W57" s="52"/>
      <c r="X57" s="32">
        <f t="shared" si="8"/>
        <v>53</v>
      </c>
    </row>
    <row r="58">
      <c r="A58" s="32">
        <f t="shared" si="6"/>
        <v>54</v>
      </c>
      <c r="B58" s="33" t="s">
        <v>93</v>
      </c>
      <c r="C58" s="34"/>
      <c r="D58" s="34"/>
      <c r="E58" s="35"/>
      <c r="F58" s="95">
        <v>2.0</v>
      </c>
      <c r="G58" s="96">
        <v>9.0</v>
      </c>
      <c r="H58" s="97">
        <v>0.0</v>
      </c>
      <c r="I58" s="96">
        <v>3.0</v>
      </c>
      <c r="J58" s="96">
        <v>6.0</v>
      </c>
      <c r="K58" s="96">
        <v>6.0</v>
      </c>
      <c r="L58" s="98">
        <v>15.0</v>
      </c>
      <c r="M58" s="96">
        <v>2.0</v>
      </c>
      <c r="N58" s="34">
        <f t="shared" ref="N58:O58" si="59">C58+L58</f>
        <v>15</v>
      </c>
      <c r="O58" s="34">
        <f t="shared" si="59"/>
        <v>2</v>
      </c>
      <c r="P58" s="49" t="s">
        <v>58</v>
      </c>
      <c r="Q58" s="49" t="s">
        <v>58</v>
      </c>
      <c r="R58" s="49" t="s">
        <v>58</v>
      </c>
      <c r="S58" s="52">
        <f t="shared" si="3"/>
        <v>1</v>
      </c>
      <c r="T58" s="52">
        <f t="shared" si="4"/>
        <v>0</v>
      </c>
      <c r="U58" s="52"/>
      <c r="V58" s="52">
        <f t="shared" si="5"/>
        <v>0</v>
      </c>
      <c r="W58" s="52"/>
      <c r="X58" s="32">
        <f t="shared" si="8"/>
        <v>54</v>
      </c>
    </row>
    <row r="59">
      <c r="A59" s="32">
        <f t="shared" si="6"/>
        <v>55</v>
      </c>
      <c r="B59" s="33" t="s">
        <v>69</v>
      </c>
      <c r="C59" s="34"/>
      <c r="D59" s="34"/>
      <c r="E59" s="35"/>
      <c r="F59" s="95">
        <v>3.0</v>
      </c>
      <c r="G59" s="96">
        <v>0.0</v>
      </c>
      <c r="H59" s="97">
        <v>9.0</v>
      </c>
      <c r="I59" s="96">
        <v>0.0</v>
      </c>
      <c r="J59" s="96">
        <v>0.0</v>
      </c>
      <c r="K59" s="96">
        <v>0.0</v>
      </c>
      <c r="L59" s="98">
        <v>9.0</v>
      </c>
      <c r="M59" s="96">
        <v>0.0</v>
      </c>
      <c r="N59" s="34">
        <f t="shared" ref="N59:O59" si="60">C59+L59</f>
        <v>9</v>
      </c>
      <c r="O59" s="34">
        <f t="shared" si="60"/>
        <v>0</v>
      </c>
      <c r="P59" s="49" t="s">
        <v>58</v>
      </c>
      <c r="Q59" s="49" t="s">
        <v>58</v>
      </c>
      <c r="R59" s="49" t="s">
        <v>58</v>
      </c>
      <c r="S59" s="52">
        <f t="shared" si="3"/>
        <v>0</v>
      </c>
      <c r="T59" s="52">
        <f t="shared" si="4"/>
        <v>0</v>
      </c>
      <c r="U59" s="52"/>
      <c r="V59" s="52">
        <f t="shared" si="5"/>
        <v>1</v>
      </c>
      <c r="W59" s="52"/>
      <c r="X59" s="32">
        <f t="shared" si="8"/>
        <v>55</v>
      </c>
    </row>
    <row r="60">
      <c r="A60" s="32">
        <f t="shared" si="6"/>
        <v>56</v>
      </c>
      <c r="B60" s="33" t="s">
        <v>83</v>
      </c>
      <c r="C60" s="34"/>
      <c r="D60" s="34"/>
      <c r="E60" s="35"/>
      <c r="F60" s="95">
        <v>2.0</v>
      </c>
      <c r="G60" s="96">
        <v>7.0</v>
      </c>
      <c r="H60" s="97">
        <v>0.0</v>
      </c>
      <c r="I60" s="96">
        <v>7.0</v>
      </c>
      <c r="J60" s="96">
        <v>0.0</v>
      </c>
      <c r="K60" s="96">
        <v>6.0</v>
      </c>
      <c r="L60" s="98">
        <v>13.0</v>
      </c>
      <c r="M60" s="96">
        <v>2.0</v>
      </c>
      <c r="N60" s="34">
        <f t="shared" ref="N60:O60" si="61">C60+L60</f>
        <v>13</v>
      </c>
      <c r="O60" s="34">
        <f t="shared" si="61"/>
        <v>2</v>
      </c>
      <c r="P60" s="49" t="s">
        <v>58</v>
      </c>
      <c r="Q60" s="49" t="s">
        <v>58</v>
      </c>
      <c r="R60" s="49" t="s">
        <v>58</v>
      </c>
      <c r="S60" s="52">
        <f t="shared" si="3"/>
        <v>1</v>
      </c>
      <c r="T60" s="52">
        <f t="shared" si="4"/>
        <v>0</v>
      </c>
      <c r="U60" s="52"/>
      <c r="V60" s="52">
        <f t="shared" si="5"/>
        <v>0</v>
      </c>
      <c r="W60" s="52"/>
      <c r="X60" s="32">
        <f t="shared" si="8"/>
        <v>56</v>
      </c>
    </row>
    <row r="61">
      <c r="A61" s="32">
        <f t="shared" si="6"/>
        <v>57</v>
      </c>
      <c r="B61" s="33" t="s">
        <v>99</v>
      </c>
      <c r="C61" s="34"/>
      <c r="D61" s="34"/>
      <c r="E61" s="35"/>
      <c r="F61" s="95">
        <v>3.0</v>
      </c>
      <c r="G61" s="96">
        <v>0.0</v>
      </c>
      <c r="H61" s="97">
        <v>9.0</v>
      </c>
      <c r="I61" s="96">
        <v>0.0</v>
      </c>
      <c r="J61" s="96">
        <v>0.0</v>
      </c>
      <c r="K61" s="96">
        <v>0.0</v>
      </c>
      <c r="L61" s="98">
        <v>9.0</v>
      </c>
      <c r="M61" s="96">
        <v>0.0</v>
      </c>
      <c r="N61" s="34">
        <f t="shared" ref="N61:O61" si="62">C61+L61</f>
        <v>9</v>
      </c>
      <c r="O61" s="34">
        <f t="shared" si="62"/>
        <v>0</v>
      </c>
      <c r="P61" s="49" t="s">
        <v>58</v>
      </c>
      <c r="Q61" s="49" t="s">
        <v>58</v>
      </c>
      <c r="R61" s="49" t="s">
        <v>58</v>
      </c>
      <c r="S61" s="52">
        <f t="shared" si="3"/>
        <v>0</v>
      </c>
      <c r="T61" s="52">
        <f t="shared" si="4"/>
        <v>0</v>
      </c>
      <c r="U61" s="52"/>
      <c r="V61" s="52">
        <f t="shared" si="5"/>
        <v>1</v>
      </c>
      <c r="W61" s="52"/>
      <c r="X61" s="32">
        <f t="shared" si="8"/>
        <v>57</v>
      </c>
    </row>
    <row r="62">
      <c r="A62" s="32">
        <f t="shared" si="6"/>
        <v>58</v>
      </c>
      <c r="B62" s="33" t="s">
        <v>107</v>
      </c>
      <c r="C62" s="34"/>
      <c r="D62" s="34"/>
      <c r="E62" s="35"/>
      <c r="F62" s="95">
        <v>2.0</v>
      </c>
      <c r="G62" s="96">
        <v>4.0</v>
      </c>
      <c r="H62" s="97">
        <v>0.0</v>
      </c>
      <c r="I62" s="96">
        <v>6.0</v>
      </c>
      <c r="J62" s="96">
        <v>2.0</v>
      </c>
      <c r="K62" s="96">
        <v>5.0</v>
      </c>
      <c r="L62" s="98">
        <v>13.0</v>
      </c>
      <c r="M62" s="96">
        <v>1.0</v>
      </c>
      <c r="N62" s="34">
        <f t="shared" ref="N62:O62" si="63">C62+L62</f>
        <v>13</v>
      </c>
      <c r="O62" s="34">
        <f t="shared" si="63"/>
        <v>1</v>
      </c>
      <c r="P62" s="49" t="s">
        <v>58</v>
      </c>
      <c r="Q62" s="49" t="s">
        <v>58</v>
      </c>
      <c r="R62" s="49" t="s">
        <v>58</v>
      </c>
      <c r="S62" s="52">
        <f t="shared" si="3"/>
        <v>1</v>
      </c>
      <c r="T62" s="52">
        <f t="shared" si="4"/>
        <v>0</v>
      </c>
      <c r="U62" s="52"/>
      <c r="V62" s="52">
        <f t="shared" si="5"/>
        <v>0</v>
      </c>
      <c r="W62" s="52"/>
      <c r="X62" s="32">
        <f t="shared" si="8"/>
        <v>58</v>
      </c>
    </row>
    <row r="63">
      <c r="A63" s="32">
        <f t="shared" si="6"/>
        <v>59</v>
      </c>
      <c r="B63" s="33" t="s">
        <v>104</v>
      </c>
      <c r="C63" s="34"/>
      <c r="D63" s="34"/>
      <c r="E63" s="35"/>
      <c r="F63" s="95">
        <v>3.0</v>
      </c>
      <c r="G63" s="96">
        <v>0.0</v>
      </c>
      <c r="H63" s="97">
        <v>9.0</v>
      </c>
      <c r="I63" s="96">
        <v>0.0</v>
      </c>
      <c r="J63" s="96">
        <v>0.0</v>
      </c>
      <c r="K63" s="96">
        <v>0.0</v>
      </c>
      <c r="L63" s="98">
        <v>9.0</v>
      </c>
      <c r="M63" s="96">
        <v>0.0</v>
      </c>
      <c r="N63" s="34">
        <f t="shared" ref="N63:O63" si="64">C63+L63</f>
        <v>9</v>
      </c>
      <c r="O63" s="34">
        <f t="shared" si="64"/>
        <v>0</v>
      </c>
      <c r="P63" s="49" t="s">
        <v>58</v>
      </c>
      <c r="Q63" s="49" t="s">
        <v>58</v>
      </c>
      <c r="R63" s="49" t="s">
        <v>58</v>
      </c>
      <c r="S63" s="52">
        <f t="shared" si="3"/>
        <v>0</v>
      </c>
      <c r="T63" s="52">
        <f t="shared" si="4"/>
        <v>0</v>
      </c>
      <c r="U63" s="52"/>
      <c r="V63" s="52">
        <f t="shared" si="5"/>
        <v>1</v>
      </c>
      <c r="W63" s="52"/>
      <c r="X63" s="32">
        <f t="shared" si="8"/>
        <v>59</v>
      </c>
    </row>
    <row r="64">
      <c r="A64" s="32">
        <f t="shared" si="6"/>
        <v>60</v>
      </c>
      <c r="B64" s="33" t="s">
        <v>84</v>
      </c>
      <c r="C64" s="34"/>
      <c r="D64" s="34"/>
      <c r="E64" s="35"/>
      <c r="F64" s="95">
        <v>3.0</v>
      </c>
      <c r="G64" s="96">
        <v>0.0</v>
      </c>
      <c r="H64" s="97">
        <v>9.0</v>
      </c>
      <c r="I64" s="96">
        <v>0.0</v>
      </c>
      <c r="J64" s="96">
        <v>0.0</v>
      </c>
      <c r="K64" s="96">
        <v>0.0</v>
      </c>
      <c r="L64" s="98">
        <v>9.0</v>
      </c>
      <c r="M64" s="96">
        <v>0.0</v>
      </c>
      <c r="N64" s="34">
        <f t="shared" ref="N64:O64" si="65">C64+L64</f>
        <v>9</v>
      </c>
      <c r="O64" s="34">
        <f t="shared" si="65"/>
        <v>0</v>
      </c>
      <c r="P64" s="49" t="s">
        <v>58</v>
      </c>
      <c r="Q64" s="49" t="s">
        <v>58</v>
      </c>
      <c r="R64" s="49" t="s">
        <v>58</v>
      </c>
      <c r="S64" s="52">
        <f t="shared" si="3"/>
        <v>0</v>
      </c>
      <c r="T64" s="52">
        <f t="shared" si="4"/>
        <v>0</v>
      </c>
      <c r="U64" s="52"/>
      <c r="V64" s="52">
        <f t="shared" si="5"/>
        <v>1</v>
      </c>
      <c r="W64" s="52"/>
      <c r="X64" s="32">
        <f t="shared" si="8"/>
        <v>60</v>
      </c>
    </row>
    <row r="65">
      <c r="A65" s="32">
        <f t="shared" si="6"/>
        <v>61</v>
      </c>
      <c r="B65" s="33" t="s">
        <v>45</v>
      </c>
      <c r="C65" s="34"/>
      <c r="D65" s="34"/>
      <c r="E65" s="35"/>
      <c r="F65" s="95">
        <v>2.0</v>
      </c>
      <c r="G65" s="96">
        <v>7.0</v>
      </c>
      <c r="H65" s="97">
        <v>0.0</v>
      </c>
      <c r="I65" s="96">
        <v>5.0</v>
      </c>
      <c r="J65" s="96">
        <v>6.0</v>
      </c>
      <c r="K65" s="96">
        <v>6.0</v>
      </c>
      <c r="L65" s="98">
        <v>17.0</v>
      </c>
      <c r="M65" s="96">
        <v>2.0</v>
      </c>
      <c r="N65" s="34">
        <f t="shared" ref="N65:O65" si="66">C65+L65</f>
        <v>17</v>
      </c>
      <c r="O65" s="34">
        <f t="shared" si="66"/>
        <v>2</v>
      </c>
      <c r="P65" s="49" t="s">
        <v>58</v>
      </c>
      <c r="Q65" s="49" t="s">
        <v>58</v>
      </c>
      <c r="R65" s="49" t="s">
        <v>58</v>
      </c>
      <c r="S65" s="52">
        <f t="shared" si="3"/>
        <v>1</v>
      </c>
      <c r="T65" s="52">
        <f t="shared" si="4"/>
        <v>0</v>
      </c>
      <c r="U65" s="52"/>
      <c r="V65" s="52">
        <f t="shared" si="5"/>
        <v>0</v>
      </c>
      <c r="W65" s="52"/>
      <c r="X65" s="32">
        <f t="shared" si="8"/>
        <v>61</v>
      </c>
    </row>
    <row r="66">
      <c r="A66" s="32">
        <f t="shared" si="6"/>
        <v>62</v>
      </c>
      <c r="B66" s="33" t="s">
        <v>131</v>
      </c>
      <c r="C66" s="34"/>
      <c r="D66" s="34"/>
      <c r="E66" s="35"/>
      <c r="F66" s="95">
        <v>3.0</v>
      </c>
      <c r="G66" s="96">
        <v>0.0</v>
      </c>
      <c r="H66" s="97">
        <v>9.0</v>
      </c>
      <c r="I66" s="96">
        <v>0.0</v>
      </c>
      <c r="J66" s="96">
        <v>0.0</v>
      </c>
      <c r="K66" s="96">
        <v>0.0</v>
      </c>
      <c r="L66" s="98">
        <v>9.0</v>
      </c>
      <c r="M66" s="96">
        <v>0.0</v>
      </c>
      <c r="N66" s="34">
        <f t="shared" ref="N66:O66" si="67">C66+L66</f>
        <v>9</v>
      </c>
      <c r="O66" s="34">
        <f t="shared" si="67"/>
        <v>0</v>
      </c>
      <c r="P66" s="49" t="s">
        <v>58</v>
      </c>
      <c r="Q66" s="49" t="s">
        <v>58</v>
      </c>
      <c r="R66" s="49" t="s">
        <v>58</v>
      </c>
      <c r="S66" s="52">
        <f t="shared" si="3"/>
        <v>0</v>
      </c>
      <c r="T66" s="52">
        <f t="shared" si="4"/>
        <v>0</v>
      </c>
      <c r="U66" s="52"/>
      <c r="V66" s="52">
        <f t="shared" si="5"/>
        <v>1</v>
      </c>
      <c r="W66" s="52"/>
      <c r="X66" s="32">
        <f t="shared" si="8"/>
        <v>62</v>
      </c>
    </row>
    <row r="67">
      <c r="A67" s="32">
        <f t="shared" si="6"/>
        <v>63</v>
      </c>
      <c r="B67" s="33" t="s">
        <v>137</v>
      </c>
      <c r="C67" s="34"/>
      <c r="D67" s="34"/>
      <c r="E67" s="35"/>
      <c r="F67" s="95">
        <v>1.0</v>
      </c>
      <c r="G67" s="96">
        <v>1.0</v>
      </c>
      <c r="H67" s="97">
        <v>0.0</v>
      </c>
      <c r="I67" s="96">
        <v>6.0</v>
      </c>
      <c r="J67" s="96">
        <v>7.0</v>
      </c>
      <c r="K67" s="96">
        <v>2.0</v>
      </c>
      <c r="L67" s="98">
        <v>15.0</v>
      </c>
      <c r="M67" s="96">
        <v>2.0</v>
      </c>
      <c r="N67" s="34">
        <f t="shared" ref="N67:O67" si="68">C67+L67</f>
        <v>15</v>
      </c>
      <c r="O67" s="34">
        <f t="shared" si="68"/>
        <v>2</v>
      </c>
      <c r="P67" s="49" t="s">
        <v>58</v>
      </c>
      <c r="Q67" s="49" t="s">
        <v>58</v>
      </c>
      <c r="R67" s="49" t="s">
        <v>58</v>
      </c>
      <c r="S67" s="52">
        <f t="shared" si="3"/>
        <v>1</v>
      </c>
      <c r="T67" s="52">
        <f t="shared" si="4"/>
        <v>0</v>
      </c>
      <c r="U67" s="52"/>
      <c r="V67" s="52">
        <f t="shared" si="5"/>
        <v>0</v>
      </c>
      <c r="W67" s="52"/>
      <c r="X67" s="32">
        <f t="shared" si="8"/>
        <v>63</v>
      </c>
    </row>
    <row r="68">
      <c r="A68" s="32">
        <f t="shared" si="6"/>
        <v>64</v>
      </c>
      <c r="B68" s="33" t="s">
        <v>110</v>
      </c>
      <c r="C68" s="34"/>
      <c r="D68" s="34"/>
      <c r="E68" s="35"/>
      <c r="F68" s="95">
        <v>1.0</v>
      </c>
      <c r="G68" s="96">
        <v>5.0</v>
      </c>
      <c r="H68" s="97">
        <v>0.0</v>
      </c>
      <c r="I68" s="96">
        <v>1.0</v>
      </c>
      <c r="J68" s="96">
        <v>6.0</v>
      </c>
      <c r="K68" s="96">
        <v>7.0</v>
      </c>
      <c r="L68" s="98">
        <v>14.0</v>
      </c>
      <c r="M68" s="96">
        <v>2.0</v>
      </c>
      <c r="N68" s="34">
        <f t="shared" ref="N68:O68" si="69">C68+L68</f>
        <v>14</v>
      </c>
      <c r="O68" s="34">
        <f t="shared" si="69"/>
        <v>2</v>
      </c>
      <c r="P68" s="49" t="s">
        <v>58</v>
      </c>
      <c r="Q68" s="49" t="s">
        <v>58</v>
      </c>
      <c r="R68" s="49" t="s">
        <v>58</v>
      </c>
      <c r="S68" s="52">
        <f t="shared" si="3"/>
        <v>1</v>
      </c>
      <c r="T68" s="52">
        <f t="shared" si="4"/>
        <v>0</v>
      </c>
      <c r="U68" s="52"/>
      <c r="V68" s="52">
        <f t="shared" si="5"/>
        <v>0</v>
      </c>
      <c r="W68" s="52"/>
      <c r="X68" s="32">
        <f t="shared" si="8"/>
        <v>64</v>
      </c>
    </row>
    <row r="69">
      <c r="A69" s="32">
        <f t="shared" si="6"/>
        <v>65</v>
      </c>
      <c r="B69" s="33" t="s">
        <v>136</v>
      </c>
      <c r="C69" s="34"/>
      <c r="D69" s="34"/>
      <c r="E69" s="35"/>
      <c r="F69" s="95">
        <v>1.0</v>
      </c>
      <c r="G69" s="96">
        <v>7.0</v>
      </c>
      <c r="H69" s="97">
        <v>0.0</v>
      </c>
      <c r="I69" s="96">
        <v>5.0</v>
      </c>
      <c r="J69" s="96">
        <v>0.0</v>
      </c>
      <c r="K69" s="96">
        <v>2.0</v>
      </c>
      <c r="L69" s="98">
        <v>7.0</v>
      </c>
      <c r="M69" s="96">
        <v>0.0</v>
      </c>
      <c r="N69" s="34">
        <f t="shared" ref="N69:O69" si="70">C69+L69</f>
        <v>7</v>
      </c>
      <c r="O69" s="34">
        <f t="shared" si="70"/>
        <v>0</v>
      </c>
      <c r="P69" s="49" t="s">
        <v>58</v>
      </c>
      <c r="Q69" s="49" t="s">
        <v>58</v>
      </c>
      <c r="R69" s="49" t="s">
        <v>58</v>
      </c>
      <c r="S69" s="52">
        <f t="shared" si="3"/>
        <v>1</v>
      </c>
      <c r="T69" s="52">
        <f t="shared" si="4"/>
        <v>0</v>
      </c>
      <c r="U69" s="52"/>
      <c r="V69" s="52">
        <f t="shared" si="5"/>
        <v>0</v>
      </c>
      <c r="W69" s="52"/>
      <c r="X69" s="32">
        <f t="shared" si="8"/>
        <v>65</v>
      </c>
    </row>
    <row r="70">
      <c r="A70" s="1"/>
      <c r="C70" s="1"/>
      <c r="D70" s="1"/>
      <c r="E70" s="1"/>
      <c r="F70" s="1"/>
      <c r="P70" s="51"/>
    </row>
    <row r="71">
      <c r="A71" s="1"/>
      <c r="C71" s="1"/>
      <c r="D71" s="1"/>
      <c r="K71" s="82"/>
      <c r="L71" s="99"/>
      <c r="M71" s="100"/>
      <c r="P71" s="51"/>
      <c r="S71" s="145">
        <f>sum(S5:S69)</f>
        <v>36</v>
      </c>
      <c r="V71" s="145">
        <f>sum(V5:V69)</f>
        <v>29</v>
      </c>
    </row>
    <row r="72">
      <c r="A72" s="1"/>
      <c r="C72" s="1"/>
      <c r="D72" s="1"/>
      <c r="E72" s="51"/>
      <c r="F72" s="51" t="s">
        <v>150</v>
      </c>
      <c r="K72" s="82"/>
      <c r="L72" s="99"/>
      <c r="M72" s="100"/>
    </row>
    <row r="73">
      <c r="A73" s="1"/>
      <c r="C73" s="1"/>
      <c r="D73" s="1"/>
      <c r="K73" s="82"/>
      <c r="L73" s="99"/>
      <c r="M73" s="100"/>
    </row>
    <row r="74">
      <c r="A74" s="1"/>
      <c r="C74" s="1"/>
      <c r="D74" s="1"/>
      <c r="K74" s="82"/>
      <c r="L74" s="99"/>
      <c r="M74" s="100"/>
      <c r="P74" s="129" t="s">
        <v>152</v>
      </c>
      <c r="Q74" s="26"/>
      <c r="R74" s="16">
        <f>COUNTIF(R5:R69,"X")</f>
        <v>65</v>
      </c>
      <c r="S74" s="130"/>
      <c r="T74" s="130">
        <f>R74/R78</f>
        <v>1</v>
      </c>
    </row>
    <row r="75">
      <c r="A75" s="1"/>
      <c r="C75" s="1"/>
      <c r="D75" s="1"/>
      <c r="K75" s="82"/>
      <c r="L75" s="99"/>
      <c r="M75" s="100"/>
      <c r="P75" s="19" t="s">
        <v>154</v>
      </c>
      <c r="Q75" s="16"/>
      <c r="R75" s="16">
        <f>countif(R5:R69,"N")</f>
        <v>0</v>
      </c>
    </row>
    <row r="76">
      <c r="A76" s="1"/>
      <c r="B76" s="131" t="s">
        <v>179</v>
      </c>
      <c r="C76" s="112" t="s">
        <v>159</v>
      </c>
      <c r="D76" s="112" t="s">
        <v>160</v>
      </c>
      <c r="E76" s="112" t="s">
        <v>1</v>
      </c>
      <c r="F76" s="1"/>
      <c r="L76" s="99"/>
      <c r="M76" s="100"/>
      <c r="P76" s="129" t="s">
        <v>180</v>
      </c>
      <c r="Q76" s="26"/>
      <c r="R76" s="19">
        <v>1.0</v>
      </c>
    </row>
    <row r="77">
      <c r="A77" s="1"/>
      <c r="B77" s="33" t="str">
        <f>IFERROR(__xludf.DUMMYFUNCTION("QUERY(B5:M69,""Select B, L, M, G where L &gt;= 18 order by L desc,M desc"",0)"),"Sean Chang")</f>
        <v>Sean Chang</v>
      </c>
      <c r="C77" s="117">
        <f>IFERROR(__xludf.DUMMYFUNCTION("""COMPUTED_VALUE"""),19.0)</f>
        <v>19</v>
      </c>
      <c r="D77" s="117">
        <f>IFERROR(__xludf.DUMMYFUNCTION("""COMPUTED_VALUE"""),3.0)</f>
        <v>3</v>
      </c>
      <c r="E77" s="117">
        <f>IFERROR(__xludf.DUMMYFUNCTION("""COMPUTED_VALUE"""),2.0)</f>
        <v>2</v>
      </c>
      <c r="F77" s="1"/>
      <c r="L77" s="99"/>
      <c r="M77" s="100"/>
      <c r="P77" s="129" t="s">
        <v>155</v>
      </c>
      <c r="Q77" s="26"/>
      <c r="R77" s="16">
        <f>countif(R5:R69,"")</f>
        <v>0</v>
      </c>
    </row>
    <row r="78">
      <c r="A78" s="1"/>
      <c r="B78" s="33" t="str">
        <f>IFERROR(__xludf.DUMMYFUNCTION("""COMPUTED_VALUE"""),"Darren Wong")</f>
        <v>Darren Wong</v>
      </c>
      <c r="C78" s="117">
        <f>IFERROR(__xludf.DUMMYFUNCTION("""COMPUTED_VALUE"""),19.0)</f>
        <v>19</v>
      </c>
      <c r="D78" s="117">
        <f>IFERROR(__xludf.DUMMYFUNCTION("""COMPUTED_VALUE"""),3.0)</f>
        <v>3</v>
      </c>
      <c r="E78" s="117">
        <f>IFERROR(__xludf.DUMMYFUNCTION("""COMPUTED_VALUE"""),4.0)</f>
        <v>4</v>
      </c>
      <c r="F78" s="1"/>
      <c r="M78" s="132"/>
      <c r="P78" s="129" t="s">
        <v>61</v>
      </c>
      <c r="Q78" s="26"/>
      <c r="R78" s="16">
        <f>sum(R74:R77)-R76</f>
        <v>65</v>
      </c>
    </row>
    <row r="79">
      <c r="A79" s="1"/>
      <c r="B79" s="33" t="str">
        <f>IFERROR(__xludf.DUMMYFUNCTION("""COMPUTED_VALUE"""),"Matthew Huang")</f>
        <v>Matthew Huang</v>
      </c>
      <c r="C79" s="117">
        <f>IFERROR(__xludf.DUMMYFUNCTION("""COMPUTED_VALUE"""),18.0)</f>
        <v>18</v>
      </c>
      <c r="D79" s="117">
        <f>IFERROR(__xludf.DUMMYFUNCTION("""COMPUTED_VALUE"""),3.0)</f>
        <v>3</v>
      </c>
      <c r="E79" s="117">
        <f>IFERROR(__xludf.DUMMYFUNCTION("""COMPUTED_VALUE"""),8.0)</f>
        <v>8</v>
      </c>
      <c r="F79" s="1"/>
    </row>
    <row r="80">
      <c r="A80" s="1"/>
      <c r="B80" s="33" t="str">
        <f>IFERROR(__xludf.DUMMYFUNCTION("""COMPUTED_VALUE"""),"Robert Chang")</f>
        <v>Robert Chang</v>
      </c>
      <c r="C80" s="117">
        <f>IFERROR(__xludf.DUMMYFUNCTION("""COMPUTED_VALUE"""),18.0)</f>
        <v>18</v>
      </c>
      <c r="D80" s="117">
        <f>IFERROR(__xludf.DUMMYFUNCTION("""COMPUTED_VALUE"""),3.0)</f>
        <v>3</v>
      </c>
      <c r="E80" s="117">
        <f>IFERROR(__xludf.DUMMYFUNCTION("""COMPUTED_VALUE"""),3.0)</f>
        <v>3</v>
      </c>
      <c r="F80" s="1"/>
    </row>
    <row r="81">
      <c r="A81" s="1"/>
      <c r="B81" s="33" t="str">
        <f>IFERROR(__xludf.DUMMYFUNCTION("""COMPUTED_VALUE"""),"Pavan Akkimsetty")</f>
        <v>Pavan Akkimsetty</v>
      </c>
      <c r="C81" s="117">
        <f>IFERROR(__xludf.DUMMYFUNCTION("""COMPUTED_VALUE"""),18.0)</f>
        <v>18</v>
      </c>
      <c r="D81" s="117">
        <f>IFERROR(__xludf.DUMMYFUNCTION("""COMPUTED_VALUE"""),2.0)</f>
        <v>2</v>
      </c>
      <c r="E81" s="117">
        <f>IFERROR(__xludf.DUMMYFUNCTION("""COMPUTED_VALUE"""),1.0)</f>
        <v>1</v>
      </c>
      <c r="F81" s="1"/>
      <c r="L81" s="51"/>
    </row>
    <row r="82">
      <c r="A82" s="1"/>
      <c r="B82" s="33" t="str">
        <f>IFERROR(__xludf.DUMMYFUNCTION("""COMPUTED_VALUE"""),"Oscar Bonilla")</f>
        <v>Oscar Bonilla</v>
      </c>
      <c r="C82" s="117">
        <f>IFERROR(__xludf.DUMMYFUNCTION("""COMPUTED_VALUE"""),18.0)</f>
        <v>18</v>
      </c>
      <c r="D82" s="117">
        <f>IFERROR(__xludf.DUMMYFUNCTION("""COMPUTED_VALUE"""),2.0)</f>
        <v>2</v>
      </c>
      <c r="E82" s="117">
        <f>IFERROR(__xludf.DUMMYFUNCTION("""COMPUTED_VALUE"""),5.0)</f>
        <v>5</v>
      </c>
      <c r="F82" s="1"/>
      <c r="L82" s="51"/>
    </row>
    <row r="83">
      <c r="A83" s="1"/>
      <c r="B83" s="33"/>
      <c r="C83" s="117"/>
      <c r="D83" s="117"/>
      <c r="E83" s="117"/>
      <c r="F83" s="1"/>
      <c r="L83" s="51"/>
    </row>
    <row r="84">
      <c r="A84" s="1"/>
      <c r="B84" s="33"/>
      <c r="C84" s="117"/>
      <c r="D84" s="117"/>
      <c r="E84" s="117"/>
      <c r="F84" s="1"/>
      <c r="L84" s="51"/>
    </row>
    <row r="85">
      <c r="A85" s="1"/>
      <c r="B85" s="33"/>
      <c r="C85" s="117"/>
      <c r="D85" s="117"/>
      <c r="E85" s="117"/>
      <c r="F85" s="1"/>
    </row>
    <row r="86">
      <c r="A86" s="1"/>
      <c r="B86" s="33"/>
      <c r="C86" s="117"/>
      <c r="D86" s="117"/>
      <c r="E86" s="117"/>
      <c r="F86" s="1"/>
    </row>
    <row r="87">
      <c r="A87" s="1"/>
      <c r="C87" s="1"/>
      <c r="D87" s="1"/>
      <c r="E87" s="1"/>
      <c r="F87" s="1"/>
    </row>
    <row r="88">
      <c r="A88" s="1"/>
      <c r="B88" s="51"/>
      <c r="C88" s="1"/>
      <c r="D88" s="1"/>
      <c r="E88" s="1"/>
      <c r="F88" s="1"/>
      <c r="G88" s="1"/>
      <c r="H88" s="1"/>
    </row>
    <row r="89">
      <c r="A89" s="1"/>
      <c r="B89" s="51"/>
      <c r="C89" s="1"/>
      <c r="D89" s="1"/>
      <c r="E89" s="1"/>
      <c r="F89" s="1"/>
    </row>
    <row r="90" ht="37.5" customHeight="1">
      <c r="A90" s="1"/>
      <c r="B90" s="119" t="s">
        <v>167</v>
      </c>
      <c r="C90" s="119" t="s">
        <v>168</v>
      </c>
      <c r="D90" s="133" t="s">
        <v>169</v>
      </c>
      <c r="E90" s="134" t="s">
        <v>170</v>
      </c>
      <c r="F90" s="135" t="s">
        <v>171</v>
      </c>
      <c r="G90" s="119" t="s">
        <v>172</v>
      </c>
      <c r="L90" s="119" t="s">
        <v>173</v>
      </c>
    </row>
    <row r="91">
      <c r="A91" s="1"/>
      <c r="B91" s="33" t="str">
        <f>IFERROR(__xludf.DUMMYFUNCTION("query(B5:W69,""select B, V order by V Desc Limit 10"")"),"Tyler Leong")</f>
        <v>Tyler Leong</v>
      </c>
      <c r="C91" s="117">
        <f>IFERROR(__xludf.DUMMYFUNCTION("""COMPUTED_VALUE"""),1.0)</f>
        <v>1</v>
      </c>
      <c r="D91" s="117" t="str">
        <f t="shared" ref="D91:D100" si="71">VLOOKUP(B91,indirect($AC$2&amp;"!B$5:w$70"),22, false)</f>
        <v>#REF!</v>
      </c>
      <c r="E91" s="117" t="str">
        <f t="shared" ref="E91:E100" si="72">VLOOKUP(B91,B$5:X$69,22, false)</f>
        <v/>
      </c>
      <c r="F91" s="117" t="str">
        <f t="shared" ref="F91:F100" si="73">VLOOKUP(B91,indirect($AC$2&amp;"!B$5:U$70"),11, false)</f>
        <v>#REF!</v>
      </c>
      <c r="G91" s="117" t="str">
        <f t="shared" ref="G91:G100" si="74">VLOOKUP(B91,indirect($AC$2&amp;"!B$5:U$70"),6, false)</f>
        <v>#REF!</v>
      </c>
      <c r="L91" s="117" t="str">
        <f t="shared" ref="L91:L100" si="75">if(D91-E91=C91,"ok","Error")</f>
        <v>#REF!</v>
      </c>
    </row>
    <row r="92">
      <c r="A92" s="1"/>
      <c r="B92" s="33" t="str">
        <f>IFERROR(__xludf.DUMMYFUNCTION("""COMPUTED_VALUE"""),"Erik Hoeckmann")</f>
        <v>Erik Hoeckmann</v>
      </c>
      <c r="C92" s="117">
        <f>IFERROR(__xludf.DUMMYFUNCTION("""COMPUTED_VALUE"""),1.0)</f>
        <v>1</v>
      </c>
      <c r="D92" s="117" t="str">
        <f t="shared" si="71"/>
        <v>#REF!</v>
      </c>
      <c r="E92" s="117" t="str">
        <f t="shared" si="72"/>
        <v/>
      </c>
      <c r="F92" s="117" t="str">
        <f t="shared" si="73"/>
        <v>#REF!</v>
      </c>
      <c r="G92" s="117" t="str">
        <f t="shared" si="74"/>
        <v>#REF!</v>
      </c>
      <c r="L92" s="117" t="str">
        <f t="shared" si="75"/>
        <v>#REF!</v>
      </c>
    </row>
    <row r="93">
      <c r="A93" s="1"/>
      <c r="B93" s="33" t="str">
        <f>IFERROR(__xludf.DUMMYFUNCTION("""COMPUTED_VALUE"""),"Manish Anand")</f>
        <v>Manish Anand</v>
      </c>
      <c r="C93" s="117">
        <f>IFERROR(__xludf.DUMMYFUNCTION("""COMPUTED_VALUE"""),1.0)</f>
        <v>1</v>
      </c>
      <c r="D93" s="117" t="str">
        <f t="shared" si="71"/>
        <v>#REF!</v>
      </c>
      <c r="E93" s="117" t="str">
        <f t="shared" si="72"/>
        <v/>
      </c>
      <c r="F93" s="117" t="str">
        <f t="shared" si="73"/>
        <v>#REF!</v>
      </c>
      <c r="G93" s="117" t="str">
        <f t="shared" si="74"/>
        <v>#REF!</v>
      </c>
      <c r="L93" s="117" t="str">
        <f t="shared" si="75"/>
        <v>#REF!</v>
      </c>
      <c r="Q93" s="136"/>
    </row>
    <row r="94">
      <c r="A94" s="1"/>
      <c r="B94" s="33" t="str">
        <f>IFERROR(__xludf.DUMMYFUNCTION("""COMPUTED_VALUE"""),"Jim Miao")</f>
        <v>Jim Miao</v>
      </c>
      <c r="C94" s="117">
        <f>IFERROR(__xludf.DUMMYFUNCTION("""COMPUTED_VALUE"""),1.0)</f>
        <v>1</v>
      </c>
      <c r="D94" s="117" t="str">
        <f t="shared" si="71"/>
        <v>#REF!</v>
      </c>
      <c r="E94" s="117" t="str">
        <f t="shared" si="72"/>
        <v/>
      </c>
      <c r="F94" s="117" t="str">
        <f t="shared" si="73"/>
        <v>#REF!</v>
      </c>
      <c r="G94" s="117" t="str">
        <f t="shared" si="74"/>
        <v>#REF!</v>
      </c>
      <c r="L94" s="117" t="str">
        <f t="shared" si="75"/>
        <v>#REF!</v>
      </c>
    </row>
    <row r="95">
      <c r="A95" s="1"/>
      <c r="B95" s="33" t="str">
        <f>IFERROR(__xludf.DUMMYFUNCTION("""COMPUTED_VALUE"""),"Lloyd Sagar")</f>
        <v>Lloyd Sagar</v>
      </c>
      <c r="C95" s="117">
        <f>IFERROR(__xludf.DUMMYFUNCTION("""COMPUTED_VALUE"""),1.0)</f>
        <v>1</v>
      </c>
      <c r="D95" s="117" t="str">
        <f t="shared" si="71"/>
        <v>#REF!</v>
      </c>
      <c r="E95" s="117" t="str">
        <f t="shared" si="72"/>
        <v/>
      </c>
      <c r="F95" s="117" t="str">
        <f t="shared" si="73"/>
        <v>#REF!</v>
      </c>
      <c r="G95" s="117" t="str">
        <f t="shared" si="74"/>
        <v>#REF!</v>
      </c>
      <c r="L95" s="117" t="str">
        <f t="shared" si="75"/>
        <v>#REF!</v>
      </c>
    </row>
    <row r="96">
      <c r="A96" s="1"/>
      <c r="B96" s="33" t="str">
        <f>IFERROR(__xludf.DUMMYFUNCTION("""COMPUTED_VALUE"""),"Alejandro Mejia")</f>
        <v>Alejandro Mejia</v>
      </c>
      <c r="C96" s="117">
        <f>IFERROR(__xludf.DUMMYFUNCTION("""COMPUTED_VALUE"""),1.0)</f>
        <v>1</v>
      </c>
      <c r="D96" s="117" t="str">
        <f t="shared" si="71"/>
        <v>#REF!</v>
      </c>
      <c r="E96" s="117" t="str">
        <f t="shared" si="72"/>
        <v/>
      </c>
      <c r="F96" s="117" t="str">
        <f t="shared" si="73"/>
        <v>#REF!</v>
      </c>
      <c r="G96" s="117" t="str">
        <f t="shared" si="74"/>
        <v>#REF!</v>
      </c>
      <c r="L96" s="117" t="str">
        <f t="shared" si="75"/>
        <v>#REF!</v>
      </c>
    </row>
    <row r="97">
      <c r="A97" s="1"/>
      <c r="B97" s="33" t="str">
        <f>IFERROR(__xludf.DUMMYFUNCTION("""COMPUTED_VALUE"""),"Coco Yan")</f>
        <v>Coco Yan</v>
      </c>
      <c r="C97" s="117">
        <f>IFERROR(__xludf.DUMMYFUNCTION("""COMPUTED_VALUE"""),1.0)</f>
        <v>1</v>
      </c>
      <c r="D97" s="117" t="str">
        <f t="shared" si="71"/>
        <v>#REF!</v>
      </c>
      <c r="E97" s="117" t="str">
        <f t="shared" si="72"/>
        <v/>
      </c>
      <c r="F97" s="117" t="str">
        <f t="shared" si="73"/>
        <v>#REF!</v>
      </c>
      <c r="G97" s="117" t="str">
        <f t="shared" si="74"/>
        <v>#REF!</v>
      </c>
      <c r="L97" s="117" t="str">
        <f t="shared" si="75"/>
        <v>#REF!</v>
      </c>
    </row>
    <row r="98">
      <c r="A98" s="1"/>
      <c r="B98" s="33" t="str">
        <f>IFERROR(__xludf.DUMMYFUNCTION("""COMPUTED_VALUE"""),"Sanjaye Elayattu")</f>
        <v>Sanjaye Elayattu</v>
      </c>
      <c r="C98" s="117">
        <f>IFERROR(__xludf.DUMMYFUNCTION("""COMPUTED_VALUE"""),1.0)</f>
        <v>1</v>
      </c>
      <c r="D98" s="117" t="str">
        <f t="shared" si="71"/>
        <v>#REF!</v>
      </c>
      <c r="E98" s="117" t="str">
        <f t="shared" si="72"/>
        <v/>
      </c>
      <c r="F98" s="117" t="str">
        <f t="shared" si="73"/>
        <v>#REF!</v>
      </c>
      <c r="G98" s="117" t="str">
        <f t="shared" si="74"/>
        <v>#REF!</v>
      </c>
      <c r="L98" s="117" t="str">
        <f t="shared" si="75"/>
        <v>#REF!</v>
      </c>
    </row>
    <row r="99">
      <c r="A99" s="1"/>
      <c r="B99" s="33" t="str">
        <f>IFERROR(__xludf.DUMMYFUNCTION("""COMPUTED_VALUE"""),"Jimmy Awolesi")</f>
        <v>Jimmy Awolesi</v>
      </c>
      <c r="C99" s="117">
        <f>IFERROR(__xludf.DUMMYFUNCTION("""COMPUTED_VALUE"""),1.0)</f>
        <v>1</v>
      </c>
      <c r="D99" s="117" t="str">
        <f t="shared" si="71"/>
        <v>#REF!</v>
      </c>
      <c r="E99" s="117" t="str">
        <f t="shared" si="72"/>
        <v/>
      </c>
      <c r="F99" s="117" t="str">
        <f t="shared" si="73"/>
        <v>#REF!</v>
      </c>
      <c r="G99" s="117" t="str">
        <f t="shared" si="74"/>
        <v>#REF!</v>
      </c>
      <c r="L99" s="117" t="str">
        <f t="shared" si="75"/>
        <v>#REF!</v>
      </c>
    </row>
    <row r="100">
      <c r="A100" s="1"/>
      <c r="B100" s="33" t="str">
        <f>IFERROR(__xludf.DUMMYFUNCTION("""COMPUTED_VALUE"""),"Balaji Alahari")</f>
        <v>Balaji Alahari</v>
      </c>
      <c r="C100" s="117">
        <f>IFERROR(__xludf.DUMMYFUNCTION("""COMPUTED_VALUE"""),1.0)</f>
        <v>1</v>
      </c>
      <c r="D100" s="117" t="str">
        <f t="shared" si="71"/>
        <v>#REF!</v>
      </c>
      <c r="E100" s="117" t="str">
        <f t="shared" si="72"/>
        <v/>
      </c>
      <c r="F100" s="117" t="str">
        <f t="shared" si="73"/>
        <v>#REF!</v>
      </c>
      <c r="G100" s="117" t="str">
        <f t="shared" si="74"/>
        <v>#REF!</v>
      </c>
      <c r="L100" s="117" t="str">
        <f t="shared" si="75"/>
        <v>#REF!</v>
      </c>
    </row>
    <row r="101">
      <c r="A101" s="1"/>
      <c r="B101" s="51"/>
      <c r="C101" s="1"/>
      <c r="E101" s="1"/>
      <c r="F101" s="1"/>
    </row>
    <row r="102">
      <c r="A102" s="1"/>
      <c r="B102" s="51"/>
      <c r="C102" s="1"/>
      <c r="E102" s="1"/>
      <c r="F102" s="1"/>
    </row>
    <row r="103">
      <c r="A103" s="1"/>
      <c r="B103" s="131" t="s">
        <v>181</v>
      </c>
      <c r="C103" s="131" t="s">
        <v>182</v>
      </c>
      <c r="D103" s="133" t="s">
        <v>169</v>
      </c>
      <c r="E103" s="134" t="s">
        <v>170</v>
      </c>
      <c r="F103" s="135" t="s">
        <v>171</v>
      </c>
      <c r="G103" s="119" t="s">
        <v>172</v>
      </c>
      <c r="L103" s="119" t="s">
        <v>173</v>
      </c>
    </row>
    <row r="104">
      <c r="A104" s="1"/>
      <c r="B104" s="33" t="str">
        <f>IFERROR(__xludf.DUMMYFUNCTION("query(B5:W69,""select B, V order by V asc Limit 10"")"),"Allen Zhang")</f>
        <v>Allen Zhang</v>
      </c>
      <c r="C104" s="117">
        <f>IFERROR(__xludf.DUMMYFUNCTION("""COMPUTED_VALUE"""),0.0)</f>
        <v>0</v>
      </c>
      <c r="D104" s="117" t="str">
        <f t="shared" ref="D104:D113" si="76">VLOOKUP(B104,indirect($AC$2&amp;"!B$5:w$70"),22, false)</f>
        <v>#REF!</v>
      </c>
      <c r="E104" s="117" t="str">
        <f t="shared" ref="E104:E113" si="77">VLOOKUP(B104,B$5:X$69,22, false)</f>
        <v/>
      </c>
      <c r="F104" s="117" t="str">
        <f t="shared" ref="F104:F113" si="78">VLOOKUP(B104,indirect($AC$2&amp;"!B$5:U$70"),11, false)</f>
        <v>#REF!</v>
      </c>
      <c r="G104" s="117" t="str">
        <f t="shared" ref="G104:G113" si="79">VLOOKUP(B104,indirect($AC$2&amp;"!B$5:U$70"),6, false)</f>
        <v>#REF!</v>
      </c>
      <c r="L104" s="117" t="str">
        <f t="shared" ref="L104:L113" si="80">if(D104-E104=C104,"ok","Error")</f>
        <v>#REF!</v>
      </c>
    </row>
    <row r="105">
      <c r="A105" s="1"/>
      <c r="B105" s="33" t="str">
        <f>IFERROR(__xludf.DUMMYFUNCTION("""COMPUTED_VALUE"""),"Vinaya Kajla")</f>
        <v>Vinaya Kajla</v>
      </c>
      <c r="C105" s="117">
        <f>IFERROR(__xludf.DUMMYFUNCTION("""COMPUTED_VALUE"""),0.0)</f>
        <v>0</v>
      </c>
      <c r="D105" s="117" t="str">
        <f t="shared" si="76"/>
        <v>#REF!</v>
      </c>
      <c r="E105" s="117" t="str">
        <f t="shared" si="77"/>
        <v/>
      </c>
      <c r="F105" s="117" t="str">
        <f t="shared" si="78"/>
        <v>#REF!</v>
      </c>
      <c r="G105" s="117" t="str">
        <f t="shared" si="79"/>
        <v>#REF!</v>
      </c>
      <c r="L105" s="117" t="str">
        <f t="shared" si="80"/>
        <v>#REF!</v>
      </c>
    </row>
    <row r="106">
      <c r="A106" s="1"/>
      <c r="B106" s="33" t="str">
        <f>IFERROR(__xludf.DUMMYFUNCTION("""COMPUTED_VALUE"""),"Herman Au")</f>
        <v>Herman Au</v>
      </c>
      <c r="C106" s="117">
        <f>IFERROR(__xludf.DUMMYFUNCTION("""COMPUTED_VALUE"""),0.0)</f>
        <v>0</v>
      </c>
      <c r="D106" s="117" t="str">
        <f t="shared" si="76"/>
        <v>#REF!</v>
      </c>
      <c r="E106" s="117" t="str">
        <f t="shared" si="77"/>
        <v/>
      </c>
      <c r="F106" s="117" t="str">
        <f t="shared" si="78"/>
        <v>#REF!</v>
      </c>
      <c r="G106" s="117" t="str">
        <f t="shared" si="79"/>
        <v>#REF!</v>
      </c>
      <c r="L106" s="117" t="str">
        <f t="shared" si="80"/>
        <v>#REF!</v>
      </c>
    </row>
    <row r="107">
      <c r="A107" s="1"/>
      <c r="B107" s="33" t="str">
        <f>IFERROR(__xludf.DUMMYFUNCTION("""COMPUTED_VALUE"""),"Andrew Wen")</f>
        <v>Andrew Wen</v>
      </c>
      <c r="C107" s="117">
        <f>IFERROR(__xludf.DUMMYFUNCTION("""COMPUTED_VALUE"""),0.0)</f>
        <v>0</v>
      </c>
      <c r="D107" s="117" t="str">
        <f t="shared" si="76"/>
        <v>#REF!</v>
      </c>
      <c r="E107" s="117" t="str">
        <f t="shared" si="77"/>
        <v/>
      </c>
      <c r="F107" s="117" t="str">
        <f t="shared" si="78"/>
        <v>#REF!</v>
      </c>
      <c r="G107" s="117" t="str">
        <f t="shared" si="79"/>
        <v>#REF!</v>
      </c>
      <c r="L107" s="117" t="str">
        <f t="shared" si="80"/>
        <v>#REF!</v>
      </c>
    </row>
    <row r="108">
      <c r="A108" s="1"/>
      <c r="B108" s="33" t="str">
        <f>IFERROR(__xludf.DUMMYFUNCTION("""COMPUTED_VALUE"""),"Ramesh Bandaru")</f>
        <v>Ramesh Bandaru</v>
      </c>
      <c r="C108" s="117">
        <f>IFERROR(__xludf.DUMMYFUNCTION("""COMPUTED_VALUE"""),0.0)</f>
        <v>0</v>
      </c>
      <c r="D108" s="117" t="str">
        <f t="shared" si="76"/>
        <v>#REF!</v>
      </c>
      <c r="E108" s="117" t="str">
        <f t="shared" si="77"/>
        <v/>
      </c>
      <c r="F108" s="117" t="str">
        <f t="shared" si="78"/>
        <v>#REF!</v>
      </c>
      <c r="G108" s="117" t="str">
        <f t="shared" si="79"/>
        <v>#REF!</v>
      </c>
      <c r="L108" s="117" t="str">
        <f t="shared" si="80"/>
        <v>#REF!</v>
      </c>
    </row>
    <row r="109">
      <c r="A109" s="1"/>
      <c r="B109" s="33" t="str">
        <f>IFERROR(__xludf.DUMMYFUNCTION("""COMPUTED_VALUE"""),"Chinna Ponnaganti")</f>
        <v>Chinna Ponnaganti</v>
      </c>
      <c r="C109" s="117">
        <f>IFERROR(__xludf.DUMMYFUNCTION("""COMPUTED_VALUE"""),0.0)</f>
        <v>0</v>
      </c>
      <c r="D109" s="117" t="str">
        <f t="shared" si="76"/>
        <v>#REF!</v>
      </c>
      <c r="E109" s="117" t="str">
        <f t="shared" si="77"/>
        <v/>
      </c>
      <c r="F109" s="117" t="str">
        <f t="shared" si="78"/>
        <v>#REF!</v>
      </c>
      <c r="G109" s="117" t="str">
        <f t="shared" si="79"/>
        <v>#REF!</v>
      </c>
      <c r="L109" s="117" t="str">
        <f t="shared" si="80"/>
        <v>#REF!</v>
      </c>
    </row>
    <row r="110">
      <c r="A110" s="1"/>
      <c r="B110" s="33" t="str">
        <f>IFERROR(__xludf.DUMMYFUNCTION("""COMPUTED_VALUE"""),"Matthew Huang")</f>
        <v>Matthew Huang</v>
      </c>
      <c r="C110" s="117">
        <f>IFERROR(__xludf.DUMMYFUNCTION("""COMPUTED_VALUE"""),0.0)</f>
        <v>0</v>
      </c>
      <c r="D110" s="117" t="str">
        <f t="shared" si="76"/>
        <v>#REF!</v>
      </c>
      <c r="E110" s="117" t="str">
        <f t="shared" si="77"/>
        <v/>
      </c>
      <c r="F110" s="117" t="str">
        <f t="shared" si="78"/>
        <v>#REF!</v>
      </c>
      <c r="G110" s="117" t="str">
        <f t="shared" si="79"/>
        <v>#REF!</v>
      </c>
      <c r="L110" s="117" t="str">
        <f t="shared" si="80"/>
        <v>#REF!</v>
      </c>
    </row>
    <row r="111">
      <c r="A111" s="1"/>
      <c r="B111" s="33" t="str">
        <f>IFERROR(__xludf.DUMMYFUNCTION("""COMPUTED_VALUE"""),"Pavan Akkimsetty")</f>
        <v>Pavan Akkimsetty</v>
      </c>
      <c r="C111" s="117">
        <f>IFERROR(__xludf.DUMMYFUNCTION("""COMPUTED_VALUE"""),0.0)</f>
        <v>0</v>
      </c>
      <c r="D111" s="117" t="str">
        <f t="shared" si="76"/>
        <v>#REF!</v>
      </c>
      <c r="E111" s="117" t="str">
        <f t="shared" si="77"/>
        <v/>
      </c>
      <c r="F111" s="117" t="str">
        <f t="shared" si="78"/>
        <v>#REF!</v>
      </c>
      <c r="G111" s="117" t="str">
        <f t="shared" si="79"/>
        <v>#REF!</v>
      </c>
      <c r="L111" s="117" t="str">
        <f t="shared" si="80"/>
        <v>#REF!</v>
      </c>
    </row>
    <row r="112">
      <c r="A112" s="1"/>
      <c r="B112" s="33" t="str">
        <f>IFERROR(__xludf.DUMMYFUNCTION("""COMPUTED_VALUE"""),"Mauricio Palacios")</f>
        <v>Mauricio Palacios</v>
      </c>
      <c r="C112" s="117">
        <f>IFERROR(__xludf.DUMMYFUNCTION("""COMPUTED_VALUE"""),0.0)</f>
        <v>0</v>
      </c>
      <c r="D112" s="117" t="str">
        <f t="shared" si="76"/>
        <v>#REF!</v>
      </c>
      <c r="E112" s="117" t="str">
        <f t="shared" si="77"/>
        <v/>
      </c>
      <c r="F112" s="117" t="str">
        <f t="shared" si="78"/>
        <v>#REF!</v>
      </c>
      <c r="G112" s="117" t="str">
        <f t="shared" si="79"/>
        <v>#REF!</v>
      </c>
      <c r="L112" s="117" t="str">
        <f t="shared" si="80"/>
        <v>#REF!</v>
      </c>
    </row>
    <row r="113">
      <c r="A113" s="1"/>
      <c r="B113" s="33" t="str">
        <f>IFERROR(__xludf.DUMMYFUNCTION("""COMPUTED_VALUE"""),"David Shin")</f>
        <v>David Shin</v>
      </c>
      <c r="C113" s="117">
        <f>IFERROR(__xludf.DUMMYFUNCTION("""COMPUTED_VALUE"""),0.0)</f>
        <v>0</v>
      </c>
      <c r="D113" s="117" t="str">
        <f t="shared" si="76"/>
        <v>#REF!</v>
      </c>
      <c r="E113" s="117" t="str">
        <f t="shared" si="77"/>
        <v/>
      </c>
      <c r="F113" s="117" t="str">
        <f t="shared" si="78"/>
        <v>#REF!</v>
      </c>
      <c r="G113" s="117" t="str">
        <f t="shared" si="79"/>
        <v>#REF!</v>
      </c>
      <c r="L113" s="117" t="str">
        <f t="shared" si="80"/>
        <v>#REF!</v>
      </c>
    </row>
    <row r="114">
      <c r="A114" s="1"/>
      <c r="B114" s="51"/>
      <c r="C114" s="1"/>
      <c r="E114" s="1"/>
      <c r="F114" s="1"/>
    </row>
    <row r="115">
      <c r="A115" s="1"/>
      <c r="B115" s="51"/>
      <c r="C115" s="1"/>
      <c r="E115" s="1"/>
      <c r="F115" s="1"/>
    </row>
    <row r="116">
      <c r="A116" s="1"/>
      <c r="B116" s="51"/>
      <c r="C116" s="1"/>
      <c r="E116" s="1"/>
      <c r="F116" s="1"/>
    </row>
    <row r="117">
      <c r="A117" s="1"/>
      <c r="B117" s="51"/>
      <c r="C117" s="1"/>
      <c r="E117" s="1"/>
      <c r="F117" s="1"/>
    </row>
    <row r="118">
      <c r="A118" s="1"/>
      <c r="B118" s="51"/>
      <c r="C118" s="1"/>
      <c r="D118" s="1"/>
      <c r="E118" s="1"/>
      <c r="F118" s="1"/>
    </row>
    <row r="119">
      <c r="A119" s="137" t="s">
        <v>188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6"/>
    </row>
    <row r="120">
      <c r="A120" s="64"/>
      <c r="B120" s="131" t="s">
        <v>184</v>
      </c>
      <c r="C120" s="138" t="s">
        <v>185</v>
      </c>
      <c r="D120" s="25"/>
      <c r="E120" s="26"/>
      <c r="F120" s="138" t="s">
        <v>186</v>
      </c>
      <c r="G120" s="25"/>
      <c r="H120" s="26"/>
      <c r="I120" s="139" t="s">
        <v>187</v>
      </c>
      <c r="J120" s="25"/>
      <c r="K120" s="25"/>
      <c r="L120" s="25"/>
      <c r="M120" s="26"/>
    </row>
    <row r="121">
      <c r="A121" s="140">
        <v>1.0</v>
      </c>
      <c r="B121" s="33" t="str">
        <f>IFERROR(__xludf.DUMMYFUNCTION("query(B5:W69,""select B where R = 'X' order by B asc"")"),"Adrian Tay")</f>
        <v>Adrian Tay</v>
      </c>
      <c r="C121" s="141" t="str">
        <f>IFERROR(__xludf.DUMMYFUNCTION("query(B5:W69,""select B where R = '' order by B asc"")"),"#N/A")</f>
        <v>#N/A</v>
      </c>
      <c r="D121" s="25"/>
      <c r="E121" s="26"/>
      <c r="F121" s="141" t="str">
        <f>IFERROR(__xludf.DUMMYFUNCTION("query(B5:W69,""select B where R = 'N' order by B asc"")"),"#N/A")</f>
        <v>#N/A</v>
      </c>
      <c r="G121" s="25"/>
      <c r="H121" s="26"/>
      <c r="I121" s="141" t="s">
        <v>67</v>
      </c>
      <c r="J121" s="25"/>
      <c r="K121" s="25"/>
      <c r="L121" s="25"/>
      <c r="M121" s="26"/>
    </row>
    <row r="122">
      <c r="A122" s="140">
        <f t="shared" ref="A122:A185" si="81">A121+1</f>
        <v>2</v>
      </c>
      <c r="B122" s="33" t="str">
        <f>IFERROR(__xludf.DUMMYFUNCTION("""COMPUTED_VALUE"""),"Alejandro Mejia")</f>
        <v>Alejandro Mejia</v>
      </c>
      <c r="C122" s="141"/>
      <c r="D122" s="25"/>
      <c r="E122" s="26"/>
      <c r="F122" s="141"/>
      <c r="G122" s="25"/>
      <c r="H122" s="26"/>
      <c r="I122" s="141"/>
      <c r="J122" s="25"/>
      <c r="K122" s="25"/>
      <c r="L122" s="25"/>
      <c r="M122" s="26"/>
    </row>
    <row r="123">
      <c r="A123" s="140">
        <f t="shared" si="81"/>
        <v>3</v>
      </c>
      <c r="B123" s="33" t="str">
        <f>IFERROR(__xludf.DUMMYFUNCTION("""COMPUTED_VALUE"""),"Alex Hou")</f>
        <v>Alex Hou</v>
      </c>
      <c r="C123" s="141"/>
      <c r="D123" s="25"/>
      <c r="E123" s="26"/>
      <c r="F123" s="141"/>
      <c r="G123" s="25"/>
      <c r="H123" s="26"/>
      <c r="I123" s="141"/>
      <c r="J123" s="25"/>
      <c r="K123" s="25"/>
      <c r="L123" s="25"/>
      <c r="M123" s="26"/>
    </row>
    <row r="124">
      <c r="A124" s="140">
        <f t="shared" si="81"/>
        <v>4</v>
      </c>
      <c r="B124" s="33" t="str">
        <f>IFERROR(__xludf.DUMMYFUNCTION("""COMPUTED_VALUE"""),"Allen Zhang")</f>
        <v>Allen Zhang</v>
      </c>
      <c r="C124" s="141"/>
      <c r="D124" s="25"/>
      <c r="E124" s="26"/>
      <c r="F124" s="141"/>
      <c r="G124" s="25"/>
      <c r="H124" s="26"/>
      <c r="I124" s="141"/>
      <c r="J124" s="25"/>
      <c r="K124" s="25"/>
      <c r="L124" s="25"/>
      <c r="M124" s="26"/>
    </row>
    <row r="125">
      <c r="A125" s="140">
        <f t="shared" si="81"/>
        <v>5</v>
      </c>
      <c r="B125" s="33" t="str">
        <f>IFERROR(__xludf.DUMMYFUNCTION("""COMPUTED_VALUE"""),"Andrew Wen")</f>
        <v>Andrew Wen</v>
      </c>
      <c r="C125" s="141"/>
      <c r="D125" s="25"/>
      <c r="E125" s="26"/>
      <c r="F125" s="141"/>
      <c r="G125" s="25"/>
      <c r="H125" s="26"/>
      <c r="I125" s="141"/>
      <c r="J125" s="25"/>
      <c r="K125" s="25"/>
      <c r="L125" s="25"/>
      <c r="M125" s="26"/>
    </row>
    <row r="126">
      <c r="A126" s="140">
        <f t="shared" si="81"/>
        <v>6</v>
      </c>
      <c r="B126" s="33" t="str">
        <f>IFERROR(__xludf.DUMMYFUNCTION("""COMPUTED_VALUE"""),"Balaji Alahari")</f>
        <v>Balaji Alahari</v>
      </c>
      <c r="C126" s="141"/>
      <c r="D126" s="25"/>
      <c r="E126" s="26"/>
      <c r="F126" s="141"/>
      <c r="G126" s="25"/>
      <c r="H126" s="26"/>
      <c r="I126" s="141"/>
      <c r="J126" s="25"/>
      <c r="K126" s="25"/>
      <c r="L126" s="25"/>
      <c r="M126" s="26"/>
    </row>
    <row r="127">
      <c r="A127" s="140">
        <f t="shared" si="81"/>
        <v>7</v>
      </c>
      <c r="B127" s="33" t="str">
        <f>IFERROR(__xludf.DUMMYFUNCTION("""COMPUTED_VALUE"""),"Barathi Sundaram")</f>
        <v>Barathi Sundaram</v>
      </c>
      <c r="C127" s="141"/>
      <c r="D127" s="25"/>
      <c r="E127" s="26"/>
      <c r="F127" s="141"/>
      <c r="G127" s="25"/>
      <c r="H127" s="26"/>
      <c r="I127" s="141"/>
      <c r="J127" s="25"/>
      <c r="K127" s="25"/>
      <c r="L127" s="25"/>
      <c r="M127" s="26"/>
    </row>
    <row r="128">
      <c r="A128" s="140">
        <f t="shared" si="81"/>
        <v>8</v>
      </c>
      <c r="B128" s="33" t="str">
        <f>IFERROR(__xludf.DUMMYFUNCTION("""COMPUTED_VALUE"""),"Basudev Thoppai Vidyasankar")</f>
        <v>Basudev Thoppai Vidyasankar</v>
      </c>
      <c r="C128" s="141"/>
      <c r="D128" s="25"/>
      <c r="E128" s="26"/>
      <c r="F128" s="141"/>
      <c r="G128" s="25"/>
      <c r="H128" s="26"/>
      <c r="I128" s="141"/>
      <c r="J128" s="25"/>
      <c r="K128" s="25"/>
      <c r="L128" s="25"/>
      <c r="M128" s="26"/>
    </row>
    <row r="129">
      <c r="A129" s="140">
        <f t="shared" si="81"/>
        <v>9</v>
      </c>
      <c r="B129" s="33" t="str">
        <f>IFERROR(__xludf.DUMMYFUNCTION("""COMPUTED_VALUE"""),"Chinna Ponnaganti")</f>
        <v>Chinna Ponnaganti</v>
      </c>
      <c r="C129" s="141"/>
      <c r="D129" s="25"/>
      <c r="E129" s="26"/>
      <c r="F129" s="141"/>
      <c r="G129" s="25"/>
      <c r="H129" s="26"/>
      <c r="I129" s="141"/>
      <c r="J129" s="25"/>
      <c r="K129" s="25"/>
      <c r="L129" s="25"/>
      <c r="M129" s="26"/>
    </row>
    <row r="130">
      <c r="A130" s="140">
        <f t="shared" si="81"/>
        <v>10</v>
      </c>
      <c r="B130" s="33" t="str">
        <f>IFERROR(__xludf.DUMMYFUNCTION("""COMPUTED_VALUE"""),"Cid Macaraeg")</f>
        <v>Cid Macaraeg</v>
      </c>
      <c r="C130" s="141"/>
      <c r="D130" s="25"/>
      <c r="E130" s="26"/>
      <c r="F130" s="141"/>
      <c r="G130" s="25"/>
      <c r="H130" s="26"/>
      <c r="I130" s="141"/>
      <c r="J130" s="25"/>
      <c r="K130" s="25"/>
      <c r="L130" s="25"/>
      <c r="M130" s="26"/>
    </row>
    <row r="131">
      <c r="A131" s="140">
        <f t="shared" si="81"/>
        <v>11</v>
      </c>
      <c r="B131" s="33" t="str">
        <f>IFERROR(__xludf.DUMMYFUNCTION("""COMPUTED_VALUE"""),"Coco Yan")</f>
        <v>Coco Yan</v>
      </c>
      <c r="C131" s="141"/>
      <c r="D131" s="25"/>
      <c r="E131" s="26"/>
      <c r="F131" s="141"/>
      <c r="G131" s="25"/>
      <c r="H131" s="26"/>
      <c r="I131" s="141"/>
      <c r="J131" s="25"/>
      <c r="K131" s="25"/>
      <c r="L131" s="25"/>
      <c r="M131" s="26"/>
    </row>
    <row r="132">
      <c r="A132" s="140">
        <f t="shared" si="81"/>
        <v>12</v>
      </c>
      <c r="B132" s="33" t="str">
        <f>IFERROR(__xludf.DUMMYFUNCTION("""COMPUTED_VALUE"""),"Darren Wong")</f>
        <v>Darren Wong</v>
      </c>
      <c r="C132" s="141"/>
      <c r="D132" s="25"/>
      <c r="E132" s="26"/>
      <c r="F132" s="141"/>
      <c r="G132" s="25"/>
      <c r="H132" s="26"/>
      <c r="I132" s="141"/>
      <c r="J132" s="25"/>
      <c r="K132" s="25"/>
      <c r="L132" s="25"/>
      <c r="M132" s="26"/>
    </row>
    <row r="133">
      <c r="A133" s="140">
        <f t="shared" si="81"/>
        <v>13</v>
      </c>
      <c r="B133" s="33" t="str">
        <f>IFERROR(__xludf.DUMMYFUNCTION("""COMPUTED_VALUE"""),"David Shin")</f>
        <v>David Shin</v>
      </c>
      <c r="C133" s="141"/>
      <c r="D133" s="25"/>
      <c r="E133" s="26"/>
      <c r="F133" s="141"/>
      <c r="G133" s="25"/>
      <c r="H133" s="26"/>
      <c r="I133" s="141"/>
      <c r="J133" s="25"/>
      <c r="K133" s="25"/>
      <c r="L133" s="25"/>
      <c r="M133" s="26"/>
    </row>
    <row r="134">
      <c r="A134" s="140">
        <f t="shared" si="81"/>
        <v>14</v>
      </c>
      <c r="B134" s="33" t="str">
        <f>IFERROR(__xludf.DUMMYFUNCTION("""COMPUTED_VALUE"""),"Elayaraja Thangaraj")</f>
        <v>Elayaraja Thangaraj</v>
      </c>
      <c r="C134" s="141"/>
      <c r="D134" s="25"/>
      <c r="E134" s="26"/>
      <c r="F134" s="141"/>
      <c r="G134" s="25"/>
      <c r="H134" s="26"/>
      <c r="I134" s="141"/>
      <c r="J134" s="25"/>
      <c r="K134" s="25"/>
      <c r="L134" s="25"/>
      <c r="M134" s="26"/>
    </row>
    <row r="135">
      <c r="A135" s="140">
        <f t="shared" si="81"/>
        <v>15</v>
      </c>
      <c r="B135" s="33" t="str">
        <f>IFERROR(__xludf.DUMMYFUNCTION("""COMPUTED_VALUE"""),"Eric Pan")</f>
        <v>Eric Pan</v>
      </c>
      <c r="C135" s="141"/>
      <c r="D135" s="25"/>
      <c r="E135" s="26"/>
      <c r="F135" s="141"/>
      <c r="G135" s="25"/>
      <c r="H135" s="26"/>
      <c r="I135" s="141"/>
      <c r="J135" s="25"/>
      <c r="K135" s="25"/>
      <c r="L135" s="25"/>
      <c r="M135" s="26"/>
    </row>
    <row r="136">
      <c r="A136" s="140">
        <f t="shared" si="81"/>
        <v>16</v>
      </c>
      <c r="B136" s="33" t="str">
        <f>IFERROR(__xludf.DUMMYFUNCTION("""COMPUTED_VALUE"""),"Eric Tan")</f>
        <v>Eric Tan</v>
      </c>
      <c r="C136" s="141"/>
      <c r="D136" s="25"/>
      <c r="E136" s="26"/>
      <c r="F136" s="141"/>
      <c r="G136" s="25"/>
      <c r="H136" s="26"/>
    </row>
    <row r="137">
      <c r="A137" s="140">
        <f t="shared" si="81"/>
        <v>17</v>
      </c>
      <c r="B137" s="33" t="str">
        <f>IFERROR(__xludf.DUMMYFUNCTION("""COMPUTED_VALUE"""),"Erik Hoeckmann")</f>
        <v>Erik Hoeckmann</v>
      </c>
      <c r="C137" s="141"/>
      <c r="D137" s="25"/>
      <c r="E137" s="26"/>
      <c r="F137" s="141"/>
      <c r="G137" s="25"/>
      <c r="H137" s="26"/>
    </row>
    <row r="138">
      <c r="A138" s="140">
        <f t="shared" si="81"/>
        <v>18</v>
      </c>
      <c r="B138" s="33" t="str">
        <f>IFERROR(__xludf.DUMMYFUNCTION("""COMPUTED_VALUE"""),"Ethan Gu")</f>
        <v>Ethan Gu</v>
      </c>
      <c r="C138" s="141"/>
      <c r="D138" s="25"/>
      <c r="E138" s="26"/>
      <c r="F138" s="141"/>
      <c r="G138" s="25"/>
      <c r="H138" s="26"/>
    </row>
    <row r="139">
      <c r="A139" s="140">
        <f t="shared" si="81"/>
        <v>19</v>
      </c>
      <c r="B139" s="33" t="str">
        <f>IFERROR(__xludf.DUMMYFUNCTION("""COMPUTED_VALUE"""),"Frank Moon")</f>
        <v>Frank Moon</v>
      </c>
      <c r="C139" s="141"/>
      <c r="D139" s="25"/>
      <c r="E139" s="26"/>
      <c r="F139" s="141"/>
      <c r="G139" s="25"/>
      <c r="H139" s="26"/>
    </row>
    <row r="140">
      <c r="A140" s="140">
        <f t="shared" si="81"/>
        <v>20</v>
      </c>
      <c r="B140" s="33" t="str">
        <f>IFERROR(__xludf.DUMMYFUNCTION("""COMPUTED_VALUE"""),"Herman Au")</f>
        <v>Herman Au</v>
      </c>
      <c r="C140" s="141"/>
      <c r="D140" s="25"/>
      <c r="E140" s="26"/>
      <c r="F140" s="141"/>
      <c r="G140" s="25"/>
      <c r="H140" s="26"/>
    </row>
    <row r="141">
      <c r="A141" s="140">
        <f t="shared" si="81"/>
        <v>21</v>
      </c>
      <c r="B141" s="33" t="str">
        <f>IFERROR(__xludf.DUMMYFUNCTION("""COMPUTED_VALUE"""),"Hongyuan Wen")</f>
        <v>Hongyuan Wen</v>
      </c>
      <c r="C141" s="141"/>
      <c r="D141" s="25"/>
      <c r="E141" s="26"/>
      <c r="F141" s="141"/>
      <c r="G141" s="25"/>
      <c r="H141" s="26"/>
    </row>
    <row r="142">
      <c r="A142" s="140">
        <f t="shared" si="81"/>
        <v>22</v>
      </c>
      <c r="B142" s="33" t="str">
        <f>IFERROR(__xludf.DUMMYFUNCTION("""COMPUTED_VALUE"""),"Hubert J Sung")</f>
        <v>Hubert J Sung</v>
      </c>
      <c r="C142" s="141"/>
      <c r="D142" s="25"/>
      <c r="E142" s="26"/>
      <c r="F142" s="141"/>
      <c r="G142" s="25"/>
      <c r="H142" s="26"/>
    </row>
    <row r="143">
      <c r="A143" s="140">
        <f t="shared" si="81"/>
        <v>23</v>
      </c>
      <c r="B143" s="33" t="str">
        <f>IFERROR(__xludf.DUMMYFUNCTION("""COMPUTED_VALUE"""),"James Phan")</f>
        <v>James Phan</v>
      </c>
      <c r="C143" s="141"/>
      <c r="D143" s="25"/>
      <c r="E143" s="26"/>
      <c r="F143" s="141"/>
      <c r="G143" s="25"/>
      <c r="H143" s="26"/>
    </row>
    <row r="144">
      <c r="A144" s="140">
        <f t="shared" si="81"/>
        <v>24</v>
      </c>
      <c r="B144" s="33" t="str">
        <f>IFERROR(__xludf.DUMMYFUNCTION("""COMPUTED_VALUE"""),"Jim Miao")</f>
        <v>Jim Miao</v>
      </c>
      <c r="C144" s="141"/>
      <c r="D144" s="25"/>
      <c r="E144" s="26"/>
      <c r="F144" s="141"/>
      <c r="G144" s="25"/>
      <c r="H144" s="26"/>
    </row>
    <row r="145">
      <c r="A145" s="140">
        <f t="shared" si="81"/>
        <v>25</v>
      </c>
      <c r="B145" s="33" t="str">
        <f>IFERROR(__xludf.DUMMYFUNCTION("""COMPUTED_VALUE"""),"Jimmy Awolesi")</f>
        <v>Jimmy Awolesi</v>
      </c>
      <c r="C145" s="141"/>
      <c r="D145" s="25"/>
      <c r="E145" s="26"/>
      <c r="F145" s="141"/>
      <c r="G145" s="25"/>
      <c r="H145" s="26"/>
    </row>
    <row r="146">
      <c r="A146" s="140">
        <f t="shared" si="81"/>
        <v>26</v>
      </c>
      <c r="B146" s="33" t="str">
        <f>IFERROR(__xludf.DUMMYFUNCTION("""COMPUTED_VALUE"""),"Joe Luzzi")</f>
        <v>Joe Luzzi</v>
      </c>
      <c r="C146" s="141"/>
      <c r="D146" s="25"/>
      <c r="E146" s="26"/>
      <c r="F146" s="141"/>
      <c r="G146" s="25"/>
      <c r="H146" s="26"/>
    </row>
    <row r="147">
      <c r="A147" s="140">
        <f t="shared" si="81"/>
        <v>27</v>
      </c>
      <c r="B147" s="33" t="str">
        <f>IFERROR(__xludf.DUMMYFUNCTION("""COMPUTED_VALUE"""),"Jonathan Phan")</f>
        <v>Jonathan Phan</v>
      </c>
      <c r="C147" s="141"/>
      <c r="D147" s="25"/>
      <c r="E147" s="26"/>
      <c r="F147" s="141"/>
      <c r="G147" s="25"/>
      <c r="H147" s="26"/>
    </row>
    <row r="148">
      <c r="A148" s="140">
        <f t="shared" si="81"/>
        <v>28</v>
      </c>
      <c r="B148" s="33" t="str">
        <f>IFERROR(__xludf.DUMMYFUNCTION("""COMPUTED_VALUE"""),"Joyce Zhu")</f>
        <v>Joyce Zhu</v>
      </c>
      <c r="C148" s="141"/>
      <c r="D148" s="25"/>
      <c r="E148" s="26"/>
      <c r="F148" s="141"/>
      <c r="G148" s="25"/>
      <c r="H148" s="26"/>
    </row>
    <row r="149">
      <c r="A149" s="140">
        <f t="shared" si="81"/>
        <v>29</v>
      </c>
      <c r="B149" s="33" t="str">
        <f>IFERROR(__xludf.DUMMYFUNCTION("""COMPUTED_VALUE"""),"Kumar Palakeel")</f>
        <v>Kumar Palakeel</v>
      </c>
      <c r="C149" s="141"/>
      <c r="D149" s="25"/>
      <c r="E149" s="26"/>
      <c r="F149" s="141"/>
      <c r="G149" s="25"/>
      <c r="H149" s="26"/>
    </row>
    <row r="150">
      <c r="A150" s="140">
        <f t="shared" si="81"/>
        <v>30</v>
      </c>
      <c r="B150" s="33" t="str">
        <f>IFERROR(__xludf.DUMMYFUNCTION("""COMPUTED_VALUE"""),"Lam Bui")</f>
        <v>Lam Bui</v>
      </c>
      <c r="C150" s="141"/>
      <c r="D150" s="25"/>
      <c r="E150" s="26"/>
      <c r="F150" s="141"/>
      <c r="G150" s="25"/>
      <c r="H150" s="26"/>
    </row>
    <row r="151">
      <c r="A151" s="140">
        <f t="shared" si="81"/>
        <v>31</v>
      </c>
      <c r="B151" s="33" t="str">
        <f>IFERROR(__xludf.DUMMYFUNCTION("""COMPUTED_VALUE"""),"Leigh-Anh Nguyen")</f>
        <v>Leigh-Anh Nguyen</v>
      </c>
      <c r="C151" s="141"/>
      <c r="D151" s="25"/>
      <c r="E151" s="26"/>
      <c r="F151" s="141"/>
      <c r="G151" s="25"/>
      <c r="H151" s="26"/>
    </row>
    <row r="152">
      <c r="A152" s="140">
        <f t="shared" si="81"/>
        <v>32</v>
      </c>
      <c r="B152" s="33" t="str">
        <f>IFERROR(__xludf.DUMMYFUNCTION("""COMPUTED_VALUE"""),"Lloyd Sagar")</f>
        <v>Lloyd Sagar</v>
      </c>
      <c r="C152" s="141"/>
      <c r="D152" s="25"/>
      <c r="E152" s="26"/>
      <c r="F152" s="141"/>
      <c r="G152" s="25"/>
      <c r="H152" s="26"/>
    </row>
    <row r="153">
      <c r="A153" s="140">
        <f t="shared" si="81"/>
        <v>33</v>
      </c>
      <c r="B153" s="33" t="str">
        <f>IFERROR(__xludf.DUMMYFUNCTION("""COMPUTED_VALUE"""),"Luis Hsu")</f>
        <v>Luis Hsu</v>
      </c>
      <c r="C153" s="141"/>
      <c r="D153" s="25"/>
      <c r="E153" s="26"/>
      <c r="F153" s="141"/>
      <c r="G153" s="25"/>
      <c r="H153" s="26"/>
    </row>
    <row r="154">
      <c r="A154" s="140">
        <f t="shared" si="81"/>
        <v>34</v>
      </c>
      <c r="B154" s="33" t="str">
        <f>IFERROR(__xludf.DUMMYFUNCTION("""COMPUTED_VALUE"""),"Manish Anand")</f>
        <v>Manish Anand</v>
      </c>
      <c r="C154" s="141"/>
      <c r="D154" s="25"/>
      <c r="E154" s="26"/>
      <c r="F154" s="141"/>
      <c r="G154" s="25"/>
      <c r="H154" s="26"/>
    </row>
    <row r="155">
      <c r="A155" s="140">
        <f t="shared" si="81"/>
        <v>35</v>
      </c>
      <c r="B155" s="33" t="str">
        <f>IFERROR(__xludf.DUMMYFUNCTION("""COMPUTED_VALUE"""),"Manuel Rivera")</f>
        <v>Manuel Rivera</v>
      </c>
      <c r="C155" s="141"/>
      <c r="D155" s="25"/>
      <c r="E155" s="26"/>
      <c r="F155" s="141"/>
      <c r="G155" s="25"/>
      <c r="H155" s="26"/>
    </row>
    <row r="156">
      <c r="A156" s="140">
        <f t="shared" si="81"/>
        <v>36</v>
      </c>
      <c r="B156" s="33" t="str">
        <f>IFERROR(__xludf.DUMMYFUNCTION("""COMPUTED_VALUE"""),"Matthew Huang")</f>
        <v>Matthew Huang</v>
      </c>
      <c r="C156" s="141"/>
      <c r="D156" s="25"/>
      <c r="E156" s="26"/>
      <c r="F156" s="141"/>
      <c r="G156" s="25"/>
      <c r="H156" s="26"/>
    </row>
    <row r="157">
      <c r="A157" s="140">
        <f t="shared" si="81"/>
        <v>37</v>
      </c>
      <c r="B157" s="33" t="str">
        <f>IFERROR(__xludf.DUMMYFUNCTION("""COMPUTED_VALUE"""),"Mauricio Palacios")</f>
        <v>Mauricio Palacios</v>
      </c>
      <c r="C157" s="141"/>
      <c r="D157" s="25"/>
      <c r="E157" s="26"/>
      <c r="F157" s="141"/>
      <c r="G157" s="25"/>
      <c r="H157" s="26"/>
    </row>
    <row r="158">
      <c r="A158" s="140">
        <f t="shared" si="81"/>
        <v>38</v>
      </c>
      <c r="B158" s="33" t="str">
        <f>IFERROR(__xludf.DUMMYFUNCTION("""COMPUTED_VALUE"""),"Naveen Raj")</f>
        <v>Naveen Raj</v>
      </c>
      <c r="C158" s="141"/>
      <c r="D158" s="25"/>
      <c r="E158" s="26"/>
      <c r="F158" s="141"/>
      <c r="G158" s="25"/>
      <c r="H158" s="26"/>
    </row>
    <row r="159">
      <c r="A159" s="140">
        <f t="shared" si="81"/>
        <v>39</v>
      </c>
      <c r="B159" s="33" t="str">
        <f>IFERROR(__xludf.DUMMYFUNCTION("""COMPUTED_VALUE"""),"Nicole Ni")</f>
        <v>Nicole Ni</v>
      </c>
      <c r="C159" s="141"/>
      <c r="D159" s="25"/>
      <c r="E159" s="26"/>
      <c r="F159" s="141"/>
      <c r="G159" s="25"/>
      <c r="H159" s="26"/>
    </row>
    <row r="160">
      <c r="A160" s="140">
        <f t="shared" si="81"/>
        <v>40</v>
      </c>
      <c r="B160" s="33" t="str">
        <f>IFERROR(__xludf.DUMMYFUNCTION("""COMPUTED_VALUE"""),"Oscar Bonilla")</f>
        <v>Oscar Bonilla</v>
      </c>
      <c r="C160" s="141"/>
      <c r="D160" s="25"/>
      <c r="E160" s="26"/>
      <c r="F160" s="141"/>
      <c r="G160" s="25"/>
      <c r="H160" s="26"/>
    </row>
    <row r="161">
      <c r="A161" s="140">
        <f t="shared" si="81"/>
        <v>41</v>
      </c>
      <c r="B161" s="33" t="str">
        <f>IFERROR(__xludf.DUMMYFUNCTION("""COMPUTED_VALUE"""),"Pavan Akkimsetty")</f>
        <v>Pavan Akkimsetty</v>
      </c>
      <c r="C161" s="141"/>
      <c r="D161" s="25"/>
      <c r="E161" s="26"/>
      <c r="F161" s="141"/>
      <c r="G161" s="25"/>
      <c r="H161" s="26"/>
    </row>
    <row r="162">
      <c r="A162" s="140">
        <f t="shared" si="81"/>
        <v>42</v>
      </c>
      <c r="B162" s="33" t="str">
        <f>IFERROR(__xludf.DUMMYFUNCTION("""COMPUTED_VALUE"""),"Pulkit Mathur")</f>
        <v>Pulkit Mathur</v>
      </c>
      <c r="C162" s="141"/>
      <c r="D162" s="25"/>
      <c r="E162" s="26"/>
      <c r="F162" s="141"/>
      <c r="G162" s="25"/>
      <c r="H162" s="26"/>
    </row>
    <row r="163">
      <c r="A163" s="140">
        <f t="shared" si="81"/>
        <v>43</v>
      </c>
      <c r="B163" s="33" t="str">
        <f>IFERROR(__xludf.DUMMYFUNCTION("""COMPUTED_VALUE"""),"Rajasekar Ramasamy")</f>
        <v>Rajasekar Ramasamy</v>
      </c>
      <c r="C163" s="141"/>
      <c r="D163" s="25"/>
      <c r="E163" s="26"/>
      <c r="F163" s="141"/>
      <c r="G163" s="25"/>
      <c r="H163" s="26"/>
    </row>
    <row r="164">
      <c r="A164" s="140">
        <f t="shared" si="81"/>
        <v>44</v>
      </c>
      <c r="B164" s="33" t="str">
        <f>IFERROR(__xludf.DUMMYFUNCTION("""COMPUTED_VALUE"""),"Rajesh Dorairaj")</f>
        <v>Rajesh Dorairaj</v>
      </c>
      <c r="C164" s="141"/>
      <c r="D164" s="25"/>
      <c r="E164" s="26"/>
      <c r="F164" s="141"/>
      <c r="G164" s="25"/>
      <c r="H164" s="26"/>
    </row>
    <row r="165">
      <c r="A165" s="140">
        <f t="shared" si="81"/>
        <v>45</v>
      </c>
      <c r="B165" s="33" t="str">
        <f>IFERROR(__xludf.DUMMYFUNCTION("""COMPUTED_VALUE"""),"Ramesh Bandaru")</f>
        <v>Ramesh Bandaru</v>
      </c>
      <c r="C165" s="141"/>
      <c r="D165" s="25"/>
      <c r="E165" s="26"/>
      <c r="F165" s="141"/>
      <c r="G165" s="25"/>
      <c r="H165" s="26"/>
    </row>
    <row r="166">
      <c r="A166" s="140">
        <f t="shared" si="81"/>
        <v>46</v>
      </c>
      <c r="B166" s="33" t="str">
        <f>IFERROR(__xludf.DUMMYFUNCTION("""COMPUTED_VALUE"""),"Robert Chang")</f>
        <v>Robert Chang</v>
      </c>
      <c r="C166" s="141"/>
      <c r="D166" s="25"/>
      <c r="E166" s="26"/>
      <c r="F166" s="141"/>
      <c r="G166" s="25"/>
      <c r="H166" s="26"/>
    </row>
    <row r="167">
      <c r="A167" s="140">
        <f t="shared" si="81"/>
        <v>47</v>
      </c>
      <c r="B167" s="33" t="str">
        <f>IFERROR(__xludf.DUMMYFUNCTION("""COMPUTED_VALUE"""),"Sandeep Kamalon")</f>
        <v>Sandeep Kamalon</v>
      </c>
      <c r="C167" s="141"/>
      <c r="D167" s="25"/>
      <c r="E167" s="26"/>
      <c r="F167" s="141"/>
      <c r="G167" s="25"/>
      <c r="H167" s="26"/>
    </row>
    <row r="168">
      <c r="A168" s="140">
        <f t="shared" si="81"/>
        <v>48</v>
      </c>
      <c r="B168" s="33" t="str">
        <f>IFERROR(__xludf.DUMMYFUNCTION("""COMPUTED_VALUE"""),"Sandy Weyant")</f>
        <v>Sandy Weyant</v>
      </c>
      <c r="C168" s="141"/>
      <c r="D168" s="25"/>
      <c r="E168" s="26"/>
      <c r="F168" s="141"/>
      <c r="G168" s="25"/>
      <c r="H168" s="26"/>
    </row>
    <row r="169">
      <c r="A169" s="140">
        <f t="shared" si="81"/>
        <v>49</v>
      </c>
      <c r="B169" s="33" t="str">
        <f>IFERROR(__xludf.DUMMYFUNCTION("""COMPUTED_VALUE"""),"Sanjaye Elayattu")</f>
        <v>Sanjaye Elayattu</v>
      </c>
      <c r="C169" s="141"/>
      <c r="D169" s="25"/>
      <c r="E169" s="26"/>
      <c r="F169" s="141"/>
      <c r="G169" s="25"/>
      <c r="H169" s="26"/>
    </row>
    <row r="170">
      <c r="A170" s="140">
        <f t="shared" si="81"/>
        <v>50</v>
      </c>
      <c r="B170" s="33" t="str">
        <f>IFERROR(__xludf.DUMMYFUNCTION("""COMPUTED_VALUE"""),"Santosh Sundaresan")</f>
        <v>Santosh Sundaresan</v>
      </c>
      <c r="C170" s="141"/>
      <c r="D170" s="25"/>
      <c r="E170" s="26"/>
      <c r="F170" s="141"/>
      <c r="G170" s="25"/>
      <c r="H170" s="26"/>
    </row>
    <row r="171">
      <c r="A171" s="140">
        <f t="shared" si="81"/>
        <v>51</v>
      </c>
      <c r="B171" s="33" t="str">
        <f>IFERROR(__xludf.DUMMYFUNCTION("""COMPUTED_VALUE"""),"Saravanan Veerapandian")</f>
        <v>Saravanan Veerapandian</v>
      </c>
      <c r="C171" s="141"/>
      <c r="D171" s="25"/>
      <c r="E171" s="26"/>
      <c r="F171" s="141"/>
      <c r="G171" s="25"/>
      <c r="H171" s="26"/>
    </row>
    <row r="172">
      <c r="A172" s="140">
        <f t="shared" si="81"/>
        <v>52</v>
      </c>
      <c r="B172" s="33" t="str">
        <f>IFERROR(__xludf.DUMMYFUNCTION("""COMPUTED_VALUE"""),"Scott Li")</f>
        <v>Scott Li</v>
      </c>
      <c r="C172" s="141"/>
      <c r="D172" s="25"/>
      <c r="E172" s="26"/>
      <c r="F172" s="141"/>
      <c r="G172" s="25"/>
      <c r="H172" s="26"/>
    </row>
    <row r="173">
      <c r="A173" s="140">
        <f t="shared" si="81"/>
        <v>53</v>
      </c>
      <c r="B173" s="33" t="str">
        <f>IFERROR(__xludf.DUMMYFUNCTION("""COMPUTED_VALUE"""),"Sean Chang")</f>
        <v>Sean Chang</v>
      </c>
      <c r="C173" s="141"/>
      <c r="D173" s="25"/>
      <c r="E173" s="26"/>
      <c r="F173" s="141"/>
      <c r="G173" s="25"/>
      <c r="H173" s="26"/>
    </row>
    <row r="174">
      <c r="A174" s="140">
        <f t="shared" si="81"/>
        <v>54</v>
      </c>
      <c r="B174" s="33" t="str">
        <f>IFERROR(__xludf.DUMMYFUNCTION("""COMPUTED_VALUE"""),"Suleman Alidina")</f>
        <v>Suleman Alidina</v>
      </c>
      <c r="C174" s="141"/>
      <c r="D174" s="25"/>
      <c r="E174" s="26"/>
      <c r="F174" s="141"/>
      <c r="G174" s="25"/>
      <c r="H174" s="26"/>
    </row>
    <row r="175">
      <c r="A175" s="140">
        <f t="shared" si="81"/>
        <v>55</v>
      </c>
      <c r="B175" s="33" t="str">
        <f>IFERROR(__xludf.DUMMYFUNCTION("""COMPUTED_VALUE"""),"Susanta Mishra")</f>
        <v>Susanta Mishra</v>
      </c>
      <c r="C175" s="141"/>
      <c r="D175" s="25"/>
      <c r="E175" s="26"/>
      <c r="F175" s="141"/>
      <c r="G175" s="25"/>
      <c r="H175" s="26"/>
    </row>
    <row r="176">
      <c r="A176" s="140">
        <f t="shared" si="81"/>
        <v>56</v>
      </c>
      <c r="B176" s="33" t="str">
        <f>IFERROR(__xludf.DUMMYFUNCTION("""COMPUTED_VALUE"""),"Ted Shen")</f>
        <v>Ted Shen</v>
      </c>
      <c r="C176" s="141"/>
      <c r="D176" s="25"/>
      <c r="E176" s="26"/>
      <c r="F176" s="141"/>
      <c r="G176" s="25"/>
      <c r="H176" s="26"/>
    </row>
    <row r="177">
      <c r="A177" s="140">
        <f t="shared" si="81"/>
        <v>57</v>
      </c>
      <c r="B177" s="33" t="str">
        <f>IFERROR(__xludf.DUMMYFUNCTION("""COMPUTED_VALUE"""),"Tina Hanson")</f>
        <v>Tina Hanson</v>
      </c>
      <c r="C177" s="141"/>
      <c r="D177" s="25"/>
      <c r="E177" s="26"/>
      <c r="F177" s="141"/>
      <c r="G177" s="25"/>
      <c r="H177" s="26"/>
    </row>
    <row r="178">
      <c r="A178" s="140">
        <f t="shared" si="81"/>
        <v>58</v>
      </c>
      <c r="B178" s="33" t="str">
        <f>IFERROR(__xludf.DUMMYFUNCTION("""COMPUTED_VALUE"""),"Tom Le")</f>
        <v>Tom Le</v>
      </c>
      <c r="C178" s="141"/>
      <c r="D178" s="25"/>
      <c r="E178" s="26"/>
      <c r="F178" s="141"/>
      <c r="G178" s="25"/>
      <c r="H178" s="26"/>
    </row>
    <row r="179">
      <c r="A179" s="140">
        <f t="shared" si="81"/>
        <v>59</v>
      </c>
      <c r="B179" s="33" t="str">
        <f>IFERROR(__xludf.DUMMYFUNCTION("""COMPUTED_VALUE"""),"Trish Newlin")</f>
        <v>Trish Newlin</v>
      </c>
      <c r="C179" s="141"/>
      <c r="D179" s="25"/>
      <c r="E179" s="26"/>
      <c r="F179" s="141"/>
      <c r="G179" s="25"/>
      <c r="H179" s="26"/>
    </row>
    <row r="180">
      <c r="A180" s="140">
        <f t="shared" si="81"/>
        <v>60</v>
      </c>
      <c r="B180" s="33" t="str">
        <f>IFERROR(__xludf.DUMMYFUNCTION("""COMPUTED_VALUE"""),"Troy Wong")</f>
        <v>Troy Wong</v>
      </c>
      <c r="C180" s="141"/>
      <c r="D180" s="25"/>
      <c r="E180" s="26"/>
      <c r="F180" s="141"/>
      <c r="G180" s="25"/>
      <c r="H180" s="26"/>
    </row>
    <row r="181">
      <c r="A181" s="140">
        <f t="shared" si="81"/>
        <v>61</v>
      </c>
      <c r="B181" s="33" t="str">
        <f>IFERROR(__xludf.DUMMYFUNCTION("""COMPUTED_VALUE"""),"Tyler Leong")</f>
        <v>Tyler Leong</v>
      </c>
      <c r="C181" s="141"/>
      <c r="D181" s="25"/>
      <c r="E181" s="26"/>
      <c r="F181" s="141"/>
      <c r="G181" s="25"/>
      <c r="H181" s="26"/>
    </row>
    <row r="182">
      <c r="A182" s="140">
        <f t="shared" si="81"/>
        <v>62</v>
      </c>
      <c r="B182" s="33" t="str">
        <f>IFERROR(__xludf.DUMMYFUNCTION("""COMPUTED_VALUE"""),"Vicki Martinet")</f>
        <v>Vicki Martinet</v>
      </c>
      <c r="C182" s="141"/>
      <c r="D182" s="25"/>
      <c r="E182" s="26"/>
      <c r="F182" s="141"/>
      <c r="G182" s="25"/>
      <c r="H182" s="26"/>
    </row>
    <row r="183">
      <c r="A183" s="140">
        <f t="shared" si="81"/>
        <v>63</v>
      </c>
      <c r="B183" s="33" t="str">
        <f>IFERROR(__xludf.DUMMYFUNCTION("""COMPUTED_VALUE"""),"Vinaya Kajla")</f>
        <v>Vinaya Kajla</v>
      </c>
      <c r="C183" s="141"/>
      <c r="D183" s="25"/>
      <c r="E183" s="26"/>
      <c r="F183" s="141"/>
      <c r="G183" s="25"/>
      <c r="H183" s="26"/>
    </row>
    <row r="184">
      <c r="A184" s="140">
        <f t="shared" si="81"/>
        <v>64</v>
      </c>
      <c r="B184" s="33" t="str">
        <f>IFERROR(__xludf.DUMMYFUNCTION("""COMPUTED_VALUE"""),"Vishnu Amarnath")</f>
        <v>Vishnu Amarnath</v>
      </c>
      <c r="C184" s="141"/>
      <c r="D184" s="25"/>
      <c r="E184" s="26"/>
      <c r="F184" s="141"/>
      <c r="G184" s="25"/>
      <c r="H184" s="26"/>
    </row>
    <row r="185">
      <c r="A185" s="140">
        <f t="shared" si="81"/>
        <v>65</v>
      </c>
      <c r="B185" s="33" t="str">
        <f>IFERROR(__xludf.DUMMYFUNCTION("""COMPUTED_VALUE"""),"Wayne Liu")</f>
        <v>Wayne Liu</v>
      </c>
      <c r="C185" s="141"/>
      <c r="D185" s="25"/>
      <c r="E185" s="26"/>
      <c r="F185" s="141"/>
      <c r="G185" s="25"/>
      <c r="H185" s="26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 ht="24.75" customHeight="1">
      <c r="A197" s="3" t="s">
        <v>1</v>
      </c>
      <c r="B197" s="5" t="s">
        <v>0</v>
      </c>
      <c r="C197" s="7" t="s">
        <v>5</v>
      </c>
      <c r="D197" s="7" t="s">
        <v>7</v>
      </c>
      <c r="E197" s="7" t="s">
        <v>10</v>
      </c>
      <c r="F197" s="7" t="s">
        <v>12</v>
      </c>
      <c r="G197" s="7" t="s">
        <v>14</v>
      </c>
      <c r="H197" s="7" t="s">
        <v>16</v>
      </c>
      <c r="I197" s="7" t="s">
        <v>18</v>
      </c>
      <c r="J197" s="7" t="s">
        <v>7</v>
      </c>
      <c r="K197" s="5" t="s">
        <v>1</v>
      </c>
      <c r="L197" s="7" t="s">
        <v>20</v>
      </c>
      <c r="M197" s="12" t="s">
        <v>21</v>
      </c>
    </row>
    <row r="198">
      <c r="A198" s="19">
        <v>1.0</v>
      </c>
      <c r="B198" s="16" t="s">
        <v>138</v>
      </c>
      <c r="C198" s="16"/>
      <c r="D198" s="16"/>
      <c r="E198" s="16"/>
      <c r="F198" s="19">
        <v>3.0</v>
      </c>
      <c r="G198" s="19">
        <v>7.0</v>
      </c>
      <c r="H198" s="19">
        <v>6.0</v>
      </c>
      <c r="I198" s="19">
        <f t="shared" ref="I198:I241" si="82">sum(F198:H198)</f>
        <v>16</v>
      </c>
      <c r="J198" s="19">
        <v>2.0</v>
      </c>
      <c r="K198" s="19">
        <f t="shared" ref="K198:K241" si="83">A198</f>
        <v>1</v>
      </c>
      <c r="L198" s="16"/>
      <c r="M198" s="16"/>
    </row>
    <row r="199">
      <c r="A199" s="19">
        <v>1.0</v>
      </c>
      <c r="B199" s="16" t="s">
        <v>113</v>
      </c>
      <c r="C199" s="16"/>
      <c r="D199" s="16"/>
      <c r="E199" s="16"/>
      <c r="F199" s="19">
        <v>6.0</v>
      </c>
      <c r="G199" s="19">
        <v>6.0</v>
      </c>
      <c r="H199" s="19">
        <v>6.0</v>
      </c>
      <c r="I199" s="19">
        <f t="shared" si="82"/>
        <v>18</v>
      </c>
      <c r="J199" s="19">
        <v>2.0</v>
      </c>
      <c r="K199" s="19">
        <f t="shared" si="83"/>
        <v>1</v>
      </c>
      <c r="L199" s="16"/>
      <c r="M199" s="16"/>
    </row>
    <row r="200">
      <c r="A200" s="19">
        <v>1.0</v>
      </c>
      <c r="B200" s="16" t="s">
        <v>148</v>
      </c>
      <c r="C200" s="16"/>
      <c r="D200" s="16"/>
      <c r="E200" s="16"/>
      <c r="F200" s="19">
        <v>3.0</v>
      </c>
      <c r="G200" s="19">
        <v>6.0</v>
      </c>
      <c r="H200" s="19">
        <v>2.0</v>
      </c>
      <c r="I200" s="19">
        <f t="shared" si="82"/>
        <v>11</v>
      </c>
      <c r="J200" s="19">
        <v>0.0</v>
      </c>
      <c r="K200" s="19">
        <f t="shared" si="83"/>
        <v>1</v>
      </c>
      <c r="L200" s="16"/>
      <c r="M200" s="16"/>
    </row>
    <row r="201">
      <c r="A201" s="19">
        <v>1.0</v>
      </c>
      <c r="B201" s="16" t="s">
        <v>137</v>
      </c>
      <c r="C201" s="16"/>
      <c r="D201" s="16"/>
      <c r="E201" s="16"/>
      <c r="F201" s="19">
        <v>6.0</v>
      </c>
      <c r="G201" s="19">
        <v>7.0</v>
      </c>
      <c r="H201" s="19">
        <v>2.0</v>
      </c>
      <c r="I201" s="19">
        <f t="shared" si="82"/>
        <v>15</v>
      </c>
      <c r="J201" s="19">
        <v>2.0</v>
      </c>
      <c r="K201" s="19">
        <f t="shared" si="83"/>
        <v>1</v>
      </c>
      <c r="L201" s="16"/>
      <c r="M201" s="16"/>
    </row>
    <row r="202">
      <c r="A202" s="43">
        <v>2.0</v>
      </c>
      <c r="B202" s="44" t="s">
        <v>54</v>
      </c>
      <c r="C202" s="44"/>
      <c r="D202" s="44"/>
      <c r="E202" s="44"/>
      <c r="F202" s="43">
        <v>5.0</v>
      </c>
      <c r="G202" s="43">
        <v>2.0</v>
      </c>
      <c r="H202" s="43">
        <v>6.0</v>
      </c>
      <c r="I202" s="43">
        <f t="shared" si="82"/>
        <v>13</v>
      </c>
      <c r="J202" s="43">
        <v>1.0</v>
      </c>
      <c r="K202" s="43">
        <f t="shared" si="83"/>
        <v>2</v>
      </c>
      <c r="L202" s="44"/>
      <c r="M202" s="44"/>
    </row>
    <row r="203">
      <c r="A203" s="43">
        <v>2.0</v>
      </c>
      <c r="B203" s="44" t="s">
        <v>94</v>
      </c>
      <c r="C203" s="44"/>
      <c r="D203" s="44"/>
      <c r="E203" s="44"/>
      <c r="F203" s="43">
        <v>5.0</v>
      </c>
      <c r="G203" s="43">
        <v>6.0</v>
      </c>
      <c r="H203" s="43">
        <v>4.0</v>
      </c>
      <c r="I203" s="43">
        <f t="shared" si="82"/>
        <v>15</v>
      </c>
      <c r="J203" s="43">
        <v>1.0</v>
      </c>
      <c r="K203" s="43">
        <f t="shared" si="83"/>
        <v>2</v>
      </c>
      <c r="L203" s="44"/>
      <c r="M203" s="44"/>
    </row>
    <row r="204">
      <c r="A204" s="43">
        <v>2.0</v>
      </c>
      <c r="B204" s="47" t="s">
        <v>106</v>
      </c>
      <c r="C204" s="44"/>
      <c r="D204" s="44"/>
      <c r="E204" s="44"/>
      <c r="F204" s="43">
        <v>7.0</v>
      </c>
      <c r="G204" s="43">
        <v>6.0</v>
      </c>
      <c r="H204" s="43">
        <v>6.0</v>
      </c>
      <c r="I204" s="43">
        <f t="shared" si="82"/>
        <v>19</v>
      </c>
      <c r="J204" s="43">
        <v>3.0</v>
      </c>
      <c r="K204" s="43">
        <f t="shared" si="83"/>
        <v>2</v>
      </c>
      <c r="L204" s="44"/>
      <c r="M204" s="44"/>
    </row>
    <row r="205">
      <c r="A205" s="43">
        <v>2.0</v>
      </c>
      <c r="B205" s="44" t="s">
        <v>133</v>
      </c>
      <c r="C205" s="44"/>
      <c r="D205" s="44"/>
      <c r="E205" s="44"/>
      <c r="F205" s="43">
        <v>7.0</v>
      </c>
      <c r="G205" s="43">
        <v>2.0</v>
      </c>
      <c r="H205" s="43">
        <v>4.0</v>
      </c>
      <c r="I205" s="43">
        <f t="shared" si="82"/>
        <v>13</v>
      </c>
      <c r="J205" s="43">
        <v>1.0</v>
      </c>
      <c r="K205" s="43">
        <f t="shared" si="83"/>
        <v>2</v>
      </c>
      <c r="L205" s="44"/>
      <c r="M205" s="44"/>
    </row>
    <row r="206">
      <c r="A206" s="19">
        <v>3.0</v>
      </c>
      <c r="B206" s="16" t="s">
        <v>111</v>
      </c>
      <c r="C206" s="16"/>
      <c r="D206" s="16"/>
      <c r="E206" s="16"/>
      <c r="F206" s="19">
        <v>4.0</v>
      </c>
      <c r="G206" s="19">
        <v>6.0</v>
      </c>
      <c r="H206" s="19">
        <v>3.0</v>
      </c>
      <c r="I206" s="19">
        <f t="shared" si="82"/>
        <v>13</v>
      </c>
      <c r="J206" s="19">
        <v>1.0</v>
      </c>
      <c r="K206" s="19">
        <f t="shared" si="83"/>
        <v>3</v>
      </c>
      <c r="L206" s="16"/>
      <c r="M206" s="16"/>
    </row>
    <row r="207">
      <c r="A207" s="19">
        <v>3.0</v>
      </c>
      <c r="B207" s="16" t="s">
        <v>50</v>
      </c>
      <c r="C207" s="16"/>
      <c r="D207" s="16"/>
      <c r="E207" s="16"/>
      <c r="F207" s="19">
        <v>6.0</v>
      </c>
      <c r="G207" s="19">
        <v>4.0</v>
      </c>
      <c r="H207" s="19">
        <v>3.0</v>
      </c>
      <c r="I207" s="19">
        <f t="shared" si="82"/>
        <v>13</v>
      </c>
      <c r="J207" s="19">
        <v>1.0</v>
      </c>
      <c r="K207" s="19">
        <f t="shared" si="83"/>
        <v>3</v>
      </c>
      <c r="L207" s="16"/>
      <c r="M207" s="16"/>
    </row>
    <row r="208">
      <c r="A208" s="19">
        <v>3.0</v>
      </c>
      <c r="B208" s="16" t="s">
        <v>145</v>
      </c>
      <c r="C208" s="16"/>
      <c r="D208" s="16"/>
      <c r="E208" s="16"/>
      <c r="F208" s="19">
        <v>4.0</v>
      </c>
      <c r="G208" s="19">
        <v>4.0</v>
      </c>
      <c r="H208" s="19">
        <v>6.0</v>
      </c>
      <c r="I208" s="19">
        <f t="shared" si="82"/>
        <v>14</v>
      </c>
      <c r="J208" s="19">
        <v>1.0</v>
      </c>
      <c r="K208" s="19">
        <f t="shared" si="83"/>
        <v>3</v>
      </c>
      <c r="L208" s="16"/>
      <c r="M208" s="16"/>
    </row>
    <row r="209">
      <c r="A209" s="19">
        <v>3.0</v>
      </c>
      <c r="B209" s="16" t="s">
        <v>105</v>
      </c>
      <c r="C209" s="16"/>
      <c r="D209" s="16"/>
      <c r="E209" s="16"/>
      <c r="F209" s="19">
        <v>6.0</v>
      </c>
      <c r="G209" s="19">
        <v>6.0</v>
      </c>
      <c r="H209" s="19">
        <v>6.0</v>
      </c>
      <c r="I209" s="19">
        <f t="shared" si="82"/>
        <v>18</v>
      </c>
      <c r="J209" s="19">
        <v>3.0</v>
      </c>
      <c r="K209" s="19">
        <f t="shared" si="83"/>
        <v>3</v>
      </c>
      <c r="L209" s="16"/>
      <c r="M209" s="16"/>
    </row>
    <row r="210">
      <c r="A210" s="43">
        <v>4.0</v>
      </c>
      <c r="B210" s="44" t="s">
        <v>67</v>
      </c>
      <c r="C210" s="44"/>
      <c r="D210" s="44"/>
      <c r="E210" s="44"/>
      <c r="F210" s="43">
        <v>6.0</v>
      </c>
      <c r="G210" s="43">
        <v>6.0</v>
      </c>
      <c r="H210" s="43">
        <v>7.0</v>
      </c>
      <c r="I210" s="43">
        <f t="shared" si="82"/>
        <v>19</v>
      </c>
      <c r="J210" s="43">
        <v>3.0</v>
      </c>
      <c r="K210" s="43">
        <f t="shared" si="83"/>
        <v>4</v>
      </c>
      <c r="L210" s="44"/>
      <c r="M210" s="44"/>
    </row>
    <row r="211">
      <c r="A211" s="43">
        <v>4.0</v>
      </c>
      <c r="B211" s="44" t="s">
        <v>89</v>
      </c>
      <c r="C211" s="44"/>
      <c r="D211" s="44"/>
      <c r="E211" s="44"/>
      <c r="F211" s="43">
        <v>3.0</v>
      </c>
      <c r="G211" s="43">
        <v>2.0</v>
      </c>
      <c r="H211" s="43">
        <v>7.0</v>
      </c>
      <c r="I211" s="43">
        <f t="shared" si="82"/>
        <v>12</v>
      </c>
      <c r="J211" s="43">
        <v>1.0</v>
      </c>
      <c r="K211" s="43">
        <f t="shared" si="83"/>
        <v>4</v>
      </c>
      <c r="L211" s="44"/>
      <c r="M211" s="44"/>
    </row>
    <row r="212">
      <c r="A212" s="43">
        <v>4.0</v>
      </c>
      <c r="B212" s="44" t="s">
        <v>143</v>
      </c>
      <c r="C212" s="44"/>
      <c r="D212" s="44"/>
      <c r="E212" s="44"/>
      <c r="F212" s="43">
        <v>3.0</v>
      </c>
      <c r="G212" s="43">
        <v>6.0</v>
      </c>
      <c r="H212" s="43">
        <v>5.0</v>
      </c>
      <c r="I212" s="43">
        <f t="shared" si="82"/>
        <v>14</v>
      </c>
      <c r="J212" s="43">
        <v>1.0</v>
      </c>
      <c r="K212" s="43">
        <f t="shared" si="83"/>
        <v>4</v>
      </c>
      <c r="L212" s="44"/>
      <c r="M212" s="44"/>
    </row>
    <row r="213">
      <c r="A213" s="43">
        <v>4.0</v>
      </c>
      <c r="B213" s="44" t="s">
        <v>107</v>
      </c>
      <c r="C213" s="44"/>
      <c r="D213" s="44"/>
      <c r="E213" s="44"/>
      <c r="F213" s="43">
        <v>6.0</v>
      </c>
      <c r="G213" s="43">
        <v>2.0</v>
      </c>
      <c r="H213" s="43">
        <v>5.0</v>
      </c>
      <c r="I213" s="43">
        <f t="shared" si="82"/>
        <v>13</v>
      </c>
      <c r="J213" s="43">
        <v>1.0</v>
      </c>
      <c r="K213" s="43">
        <f t="shared" si="83"/>
        <v>4</v>
      </c>
      <c r="L213" s="44"/>
      <c r="M213" s="44"/>
    </row>
    <row r="214">
      <c r="A214" s="19">
        <v>5.0</v>
      </c>
      <c r="B214" s="16" t="s">
        <v>125</v>
      </c>
      <c r="C214" s="16"/>
      <c r="D214" s="16"/>
      <c r="E214" s="16"/>
      <c r="F214" s="19">
        <v>6.0</v>
      </c>
      <c r="G214" s="19">
        <v>6.0</v>
      </c>
      <c r="H214" s="19">
        <v>6.0</v>
      </c>
      <c r="I214" s="19">
        <f t="shared" si="82"/>
        <v>18</v>
      </c>
      <c r="J214" s="19">
        <v>2.0</v>
      </c>
      <c r="K214" s="19">
        <f t="shared" si="83"/>
        <v>5</v>
      </c>
      <c r="L214" s="16"/>
      <c r="M214" s="16"/>
    </row>
    <row r="215">
      <c r="A215" s="19">
        <v>5.0</v>
      </c>
      <c r="B215" s="16" t="s">
        <v>103</v>
      </c>
      <c r="C215" s="16"/>
      <c r="D215" s="16"/>
      <c r="E215" s="16"/>
      <c r="F215" s="19">
        <v>6.0</v>
      </c>
      <c r="G215" s="19">
        <v>2.0</v>
      </c>
      <c r="H215" s="19">
        <v>7.0</v>
      </c>
      <c r="I215" s="19">
        <f t="shared" si="82"/>
        <v>15</v>
      </c>
      <c r="J215" s="19">
        <v>2.0</v>
      </c>
      <c r="K215" s="19">
        <f t="shared" si="83"/>
        <v>5</v>
      </c>
      <c r="L215" s="16"/>
      <c r="M215" s="16"/>
    </row>
    <row r="216">
      <c r="A216" s="19">
        <v>5.0</v>
      </c>
      <c r="B216" s="16" t="s">
        <v>110</v>
      </c>
      <c r="C216" s="16"/>
      <c r="D216" s="16"/>
      <c r="E216" s="16"/>
      <c r="F216" s="19">
        <v>1.0</v>
      </c>
      <c r="G216" s="19">
        <v>6.0</v>
      </c>
      <c r="H216" s="19">
        <v>7.0</v>
      </c>
      <c r="I216" s="19">
        <f t="shared" si="82"/>
        <v>14</v>
      </c>
      <c r="J216" s="19">
        <v>2.0</v>
      </c>
      <c r="K216" s="19">
        <f t="shared" si="83"/>
        <v>5</v>
      </c>
      <c r="L216" s="16"/>
      <c r="M216" s="16"/>
    </row>
    <row r="217">
      <c r="A217" s="19">
        <v>5.0</v>
      </c>
      <c r="B217" s="16" t="s">
        <v>66</v>
      </c>
      <c r="C217" s="16"/>
      <c r="D217" s="16"/>
      <c r="E217" s="16"/>
      <c r="F217" s="19">
        <v>1.0</v>
      </c>
      <c r="G217" s="19">
        <v>2.0</v>
      </c>
      <c r="H217" s="19">
        <v>6.0</v>
      </c>
      <c r="I217" s="19">
        <f t="shared" si="82"/>
        <v>9</v>
      </c>
      <c r="J217" s="19">
        <v>0.0</v>
      </c>
      <c r="K217" s="19">
        <f t="shared" si="83"/>
        <v>5</v>
      </c>
      <c r="L217" s="16"/>
      <c r="M217" s="16"/>
    </row>
    <row r="218">
      <c r="A218" s="43">
        <v>6.0</v>
      </c>
      <c r="B218" s="44" t="s">
        <v>98</v>
      </c>
      <c r="C218" s="44"/>
      <c r="D218" s="44"/>
      <c r="E218" s="44"/>
      <c r="F218" s="43">
        <v>6.0</v>
      </c>
      <c r="G218" s="43">
        <v>6.0</v>
      </c>
      <c r="H218" s="43">
        <v>3.0</v>
      </c>
      <c r="I218" s="43">
        <f t="shared" si="82"/>
        <v>15</v>
      </c>
      <c r="J218" s="43">
        <v>2.0</v>
      </c>
      <c r="K218" s="43">
        <f t="shared" si="83"/>
        <v>6</v>
      </c>
      <c r="L218" s="44"/>
      <c r="M218" s="44"/>
    </row>
    <row r="219">
      <c r="A219" s="43">
        <v>6.0</v>
      </c>
      <c r="B219" s="44" t="s">
        <v>72</v>
      </c>
      <c r="C219" s="44"/>
      <c r="D219" s="44"/>
      <c r="E219" s="44"/>
      <c r="F219" s="43">
        <v>3.0</v>
      </c>
      <c r="G219" s="43">
        <v>1.0</v>
      </c>
      <c r="H219" s="43">
        <v>3.0</v>
      </c>
      <c r="I219" s="43">
        <f t="shared" si="82"/>
        <v>7</v>
      </c>
      <c r="J219" s="43">
        <v>0.0</v>
      </c>
      <c r="K219" s="43">
        <f t="shared" si="83"/>
        <v>6</v>
      </c>
      <c r="L219" s="44"/>
      <c r="M219" s="44"/>
    </row>
    <row r="220">
      <c r="A220" s="43">
        <v>6.0</v>
      </c>
      <c r="B220" s="44" t="s">
        <v>90</v>
      </c>
      <c r="C220" s="44"/>
      <c r="D220" s="44"/>
      <c r="E220" s="44"/>
      <c r="F220" s="43">
        <v>6.0</v>
      </c>
      <c r="G220" s="43">
        <v>1.0</v>
      </c>
      <c r="H220" s="43">
        <v>6.0</v>
      </c>
      <c r="I220" s="43">
        <f t="shared" si="82"/>
        <v>13</v>
      </c>
      <c r="J220" s="43">
        <v>2.0</v>
      </c>
      <c r="K220" s="43">
        <f t="shared" si="83"/>
        <v>6</v>
      </c>
      <c r="L220" s="44"/>
      <c r="M220" s="44"/>
    </row>
    <row r="221">
      <c r="A221" s="43">
        <v>6.0</v>
      </c>
      <c r="B221" s="44" t="s">
        <v>97</v>
      </c>
      <c r="C221" s="44"/>
      <c r="D221" s="44"/>
      <c r="E221" s="44"/>
      <c r="F221" s="43">
        <v>3.0</v>
      </c>
      <c r="G221" s="43">
        <v>6.0</v>
      </c>
      <c r="H221" s="43">
        <v>6.0</v>
      </c>
      <c r="I221" s="43">
        <f t="shared" si="82"/>
        <v>15</v>
      </c>
      <c r="J221" s="43">
        <v>2.0</v>
      </c>
      <c r="K221" s="43">
        <f t="shared" si="83"/>
        <v>6</v>
      </c>
      <c r="L221" s="44"/>
      <c r="M221" s="44"/>
    </row>
    <row r="222">
      <c r="A222" s="19">
        <v>7.0</v>
      </c>
      <c r="B222" s="16" t="s">
        <v>91</v>
      </c>
      <c r="C222" s="16"/>
      <c r="D222" s="16"/>
      <c r="E222" s="16"/>
      <c r="F222" s="19">
        <v>7.0</v>
      </c>
      <c r="G222" s="19">
        <v>6.0</v>
      </c>
      <c r="H222" s="19">
        <v>2.0</v>
      </c>
      <c r="I222" s="19">
        <f t="shared" si="82"/>
        <v>15</v>
      </c>
      <c r="J222" s="19">
        <v>2.0</v>
      </c>
      <c r="K222" s="19">
        <f t="shared" si="83"/>
        <v>7</v>
      </c>
      <c r="L222" s="16"/>
      <c r="M222" s="16"/>
    </row>
    <row r="223">
      <c r="A223" s="19">
        <v>7.0</v>
      </c>
      <c r="B223" s="16" t="s">
        <v>45</v>
      </c>
      <c r="C223" s="16"/>
      <c r="D223" s="16"/>
      <c r="E223" s="16"/>
      <c r="F223" s="19">
        <v>5.0</v>
      </c>
      <c r="G223" s="19">
        <v>6.0</v>
      </c>
      <c r="H223" s="19">
        <v>6.0</v>
      </c>
      <c r="I223" s="19">
        <f t="shared" si="82"/>
        <v>17</v>
      </c>
      <c r="J223" s="19">
        <v>2.0</v>
      </c>
      <c r="K223" s="19">
        <f t="shared" si="83"/>
        <v>7</v>
      </c>
      <c r="L223" s="16"/>
      <c r="M223" s="16"/>
    </row>
    <row r="224">
      <c r="A224" s="19">
        <v>7.0</v>
      </c>
      <c r="B224" s="16" t="s">
        <v>83</v>
      </c>
      <c r="C224" s="16"/>
      <c r="D224" s="16"/>
      <c r="E224" s="16"/>
      <c r="F224" s="19">
        <v>7.0</v>
      </c>
      <c r="G224" s="19">
        <v>0.0</v>
      </c>
      <c r="H224" s="19">
        <v>6.0</v>
      </c>
      <c r="I224" s="19">
        <f t="shared" si="82"/>
        <v>13</v>
      </c>
      <c r="J224" s="19">
        <v>2.0</v>
      </c>
      <c r="K224" s="19">
        <f t="shared" si="83"/>
        <v>7</v>
      </c>
      <c r="L224" s="16"/>
      <c r="M224" s="16"/>
    </row>
    <row r="225">
      <c r="A225" s="19">
        <v>7.0</v>
      </c>
      <c r="B225" s="16" t="s">
        <v>136</v>
      </c>
      <c r="C225" s="16"/>
      <c r="D225" s="16"/>
      <c r="E225" s="16"/>
      <c r="F225" s="19">
        <v>5.0</v>
      </c>
      <c r="G225" s="19">
        <v>0.0</v>
      </c>
      <c r="H225" s="19">
        <v>2.0</v>
      </c>
      <c r="I225" s="19">
        <f t="shared" si="82"/>
        <v>7</v>
      </c>
      <c r="J225" s="19">
        <v>0.0</v>
      </c>
      <c r="K225" s="19">
        <f t="shared" si="83"/>
        <v>7</v>
      </c>
      <c r="L225" s="16"/>
      <c r="M225" s="16"/>
    </row>
    <row r="226">
      <c r="A226" s="43">
        <v>8.0</v>
      </c>
      <c r="B226" s="44" t="s">
        <v>60</v>
      </c>
      <c r="C226" s="44"/>
      <c r="D226" s="44"/>
      <c r="E226" s="44"/>
      <c r="F226" s="43">
        <v>6.0</v>
      </c>
      <c r="G226" s="43">
        <v>1.0</v>
      </c>
      <c r="H226" s="43">
        <v>4.0</v>
      </c>
      <c r="I226" s="43">
        <f t="shared" si="82"/>
        <v>11</v>
      </c>
      <c r="J226" s="43">
        <v>1.0</v>
      </c>
      <c r="K226" s="43">
        <f t="shared" si="83"/>
        <v>8</v>
      </c>
      <c r="L226" s="44"/>
      <c r="M226" s="44"/>
    </row>
    <row r="227">
      <c r="A227" s="43">
        <v>8.0</v>
      </c>
      <c r="B227" s="44" t="s">
        <v>144</v>
      </c>
      <c r="C227" s="44"/>
      <c r="D227" s="44"/>
      <c r="E227" s="44"/>
      <c r="F227" s="43">
        <v>0.0</v>
      </c>
      <c r="G227" s="43">
        <v>6.0</v>
      </c>
      <c r="H227" s="43">
        <v>4.0</v>
      </c>
      <c r="I227" s="43">
        <f t="shared" si="82"/>
        <v>10</v>
      </c>
      <c r="J227" s="43">
        <v>1.0</v>
      </c>
      <c r="K227" s="43">
        <f t="shared" si="83"/>
        <v>8</v>
      </c>
      <c r="L227" s="44"/>
      <c r="M227" s="44"/>
    </row>
    <row r="228">
      <c r="A228" s="43">
        <v>8.0</v>
      </c>
      <c r="B228" s="44" t="s">
        <v>118</v>
      </c>
      <c r="C228" s="44"/>
      <c r="D228" s="44"/>
      <c r="E228" s="44"/>
      <c r="F228" s="43">
        <v>0.0</v>
      </c>
      <c r="G228" s="43">
        <v>1.0</v>
      </c>
      <c r="H228" s="43">
        <v>6.0</v>
      </c>
      <c r="I228" s="43">
        <f t="shared" si="82"/>
        <v>7</v>
      </c>
      <c r="J228" s="43">
        <v>1.0</v>
      </c>
      <c r="K228" s="43">
        <f t="shared" si="83"/>
        <v>8</v>
      </c>
      <c r="L228" s="44"/>
      <c r="M228" s="44"/>
    </row>
    <row r="229">
      <c r="A229" s="43">
        <v>8.0</v>
      </c>
      <c r="B229" s="44" t="s">
        <v>134</v>
      </c>
      <c r="C229" s="44"/>
      <c r="D229" s="44"/>
      <c r="E229" s="44"/>
      <c r="F229" s="43">
        <v>6.0</v>
      </c>
      <c r="G229" s="43">
        <v>6.0</v>
      </c>
      <c r="H229" s="43">
        <v>6.0</v>
      </c>
      <c r="I229" s="43">
        <f t="shared" si="82"/>
        <v>18</v>
      </c>
      <c r="J229" s="43">
        <v>3.0</v>
      </c>
      <c r="K229" s="43">
        <f t="shared" si="83"/>
        <v>8</v>
      </c>
      <c r="L229" s="44"/>
      <c r="M229" s="44"/>
    </row>
    <row r="230">
      <c r="A230" s="19">
        <v>9.0</v>
      </c>
      <c r="B230" s="16" t="s">
        <v>129</v>
      </c>
      <c r="C230" s="16"/>
      <c r="D230" s="16"/>
      <c r="E230" s="16"/>
      <c r="F230" s="19">
        <v>3.0</v>
      </c>
      <c r="G230" s="19">
        <v>2.0</v>
      </c>
      <c r="H230" s="19">
        <v>0.0</v>
      </c>
      <c r="I230" s="19">
        <f t="shared" si="82"/>
        <v>5</v>
      </c>
      <c r="J230" s="19">
        <v>0.0</v>
      </c>
      <c r="K230" s="19">
        <f t="shared" si="83"/>
        <v>9</v>
      </c>
      <c r="L230" s="16"/>
      <c r="M230" s="16"/>
    </row>
    <row r="231">
      <c r="A231" s="19">
        <v>9.0</v>
      </c>
      <c r="B231" s="16" t="s">
        <v>93</v>
      </c>
      <c r="C231" s="16"/>
      <c r="D231" s="16"/>
      <c r="E231" s="16"/>
      <c r="F231" s="19">
        <v>3.0</v>
      </c>
      <c r="G231" s="19">
        <v>6.0</v>
      </c>
      <c r="H231" s="19">
        <v>6.0</v>
      </c>
      <c r="I231" s="19">
        <f t="shared" si="82"/>
        <v>15</v>
      </c>
      <c r="J231" s="19">
        <v>2.0</v>
      </c>
      <c r="K231" s="19">
        <f t="shared" si="83"/>
        <v>9</v>
      </c>
      <c r="L231" s="16"/>
      <c r="M231" s="16"/>
    </row>
    <row r="232">
      <c r="A232" s="19">
        <v>9.0</v>
      </c>
      <c r="B232" s="16" t="s">
        <v>100</v>
      </c>
      <c r="C232" s="16"/>
      <c r="D232" s="16"/>
      <c r="E232" s="16"/>
      <c r="F232" s="19">
        <v>6.0</v>
      </c>
      <c r="G232" s="19">
        <v>2.0</v>
      </c>
      <c r="H232" s="19">
        <v>6.0</v>
      </c>
      <c r="I232" s="19">
        <f t="shared" si="82"/>
        <v>14</v>
      </c>
      <c r="J232" s="19">
        <v>2.0</v>
      </c>
      <c r="K232" s="19">
        <f t="shared" si="83"/>
        <v>9</v>
      </c>
      <c r="L232" s="16"/>
      <c r="M232" s="16"/>
    </row>
    <row r="233">
      <c r="A233" s="19">
        <v>9.0</v>
      </c>
      <c r="B233" s="16" t="s">
        <v>142</v>
      </c>
      <c r="C233" s="16"/>
      <c r="D233" s="16"/>
      <c r="E233" s="16"/>
      <c r="F233" s="19">
        <v>6.0</v>
      </c>
      <c r="G233" s="19">
        <v>6.0</v>
      </c>
      <c r="H233" s="19">
        <v>0.0</v>
      </c>
      <c r="I233" s="19">
        <f t="shared" si="82"/>
        <v>12</v>
      </c>
      <c r="J233" s="19">
        <v>2.0</v>
      </c>
      <c r="K233" s="19">
        <f t="shared" si="83"/>
        <v>9</v>
      </c>
      <c r="L233" s="16"/>
      <c r="M233" s="16"/>
    </row>
    <row r="234">
      <c r="A234" s="43">
        <v>10.0</v>
      </c>
      <c r="B234" s="44"/>
      <c r="C234" s="45"/>
      <c r="D234" s="45"/>
      <c r="E234" s="46"/>
      <c r="F234" s="43"/>
      <c r="G234" s="43"/>
      <c r="H234" s="43"/>
      <c r="I234" s="43">
        <f t="shared" si="82"/>
        <v>0</v>
      </c>
      <c r="J234" s="43"/>
      <c r="K234" s="43">
        <f t="shared" si="83"/>
        <v>10</v>
      </c>
      <c r="L234" s="44"/>
      <c r="M234" s="44"/>
    </row>
    <row r="235">
      <c r="A235" s="43">
        <v>10.0</v>
      </c>
      <c r="B235" s="44"/>
      <c r="C235" s="45"/>
      <c r="D235" s="45"/>
      <c r="E235" s="46"/>
      <c r="F235" s="43"/>
      <c r="G235" s="43"/>
      <c r="H235" s="43"/>
      <c r="I235" s="43">
        <f t="shared" si="82"/>
        <v>0</v>
      </c>
      <c r="J235" s="43"/>
      <c r="K235" s="43">
        <f t="shared" si="83"/>
        <v>10</v>
      </c>
      <c r="L235" s="44"/>
      <c r="M235" s="44"/>
    </row>
    <row r="236">
      <c r="A236" s="43">
        <v>10.0</v>
      </c>
      <c r="B236" s="44"/>
      <c r="C236" s="45"/>
      <c r="D236" s="45"/>
      <c r="E236" s="46"/>
      <c r="F236" s="43"/>
      <c r="G236" s="43"/>
      <c r="H236" s="43"/>
      <c r="I236" s="43">
        <f t="shared" si="82"/>
        <v>0</v>
      </c>
      <c r="J236" s="43"/>
      <c r="K236" s="43">
        <f t="shared" si="83"/>
        <v>10</v>
      </c>
      <c r="L236" s="44"/>
      <c r="M236" s="44"/>
    </row>
    <row r="237">
      <c r="A237" s="43">
        <v>10.0</v>
      </c>
      <c r="B237" s="44"/>
      <c r="C237" s="45"/>
      <c r="D237" s="45"/>
      <c r="E237" s="46"/>
      <c r="F237" s="43"/>
      <c r="G237" s="43"/>
      <c r="H237" s="43"/>
      <c r="I237" s="43">
        <f t="shared" si="82"/>
        <v>0</v>
      </c>
      <c r="J237" s="43"/>
      <c r="K237" s="43">
        <f t="shared" si="83"/>
        <v>10</v>
      </c>
      <c r="L237" s="43"/>
      <c r="M237" s="43"/>
    </row>
    <row r="238">
      <c r="A238" s="19">
        <v>11.0</v>
      </c>
      <c r="B238" s="16"/>
      <c r="C238" s="16"/>
      <c r="D238" s="16"/>
      <c r="E238" s="16"/>
      <c r="F238" s="19"/>
      <c r="G238" s="19"/>
      <c r="H238" s="19"/>
      <c r="I238" s="19">
        <f t="shared" si="82"/>
        <v>0</v>
      </c>
      <c r="J238" s="19"/>
      <c r="K238" s="19">
        <f t="shared" si="83"/>
        <v>11</v>
      </c>
      <c r="L238" s="16"/>
      <c r="M238" s="16"/>
    </row>
    <row r="239">
      <c r="A239" s="19">
        <v>11.0</v>
      </c>
      <c r="B239" s="16"/>
      <c r="C239" s="16"/>
      <c r="D239" s="16"/>
      <c r="E239" s="16"/>
      <c r="F239" s="19"/>
      <c r="G239" s="19"/>
      <c r="H239" s="19"/>
      <c r="I239" s="19">
        <f t="shared" si="82"/>
        <v>0</v>
      </c>
      <c r="J239" s="19"/>
      <c r="K239" s="19">
        <f t="shared" si="83"/>
        <v>11</v>
      </c>
      <c r="L239" s="16"/>
      <c r="M239" s="16"/>
    </row>
    <row r="240">
      <c r="A240" s="19">
        <v>11.0</v>
      </c>
      <c r="B240" s="16"/>
      <c r="C240" s="16"/>
      <c r="D240" s="16"/>
      <c r="E240" s="16"/>
      <c r="F240" s="19"/>
      <c r="G240" s="19"/>
      <c r="H240" s="19"/>
      <c r="I240" s="19">
        <f t="shared" si="82"/>
        <v>0</v>
      </c>
      <c r="J240" s="19"/>
      <c r="K240" s="19">
        <f t="shared" si="83"/>
        <v>11</v>
      </c>
      <c r="L240" s="16"/>
      <c r="M240" s="16"/>
    </row>
    <row r="241">
      <c r="A241" s="19">
        <v>11.0</v>
      </c>
      <c r="B241" s="16"/>
      <c r="C241" s="16"/>
      <c r="D241" s="16"/>
      <c r="E241" s="16"/>
      <c r="F241" s="19"/>
      <c r="G241" s="19"/>
      <c r="H241" s="19"/>
      <c r="I241" s="19">
        <f t="shared" si="82"/>
        <v>0</v>
      </c>
      <c r="J241" s="19"/>
      <c r="K241" s="19">
        <f t="shared" si="83"/>
        <v>11</v>
      </c>
      <c r="L241" s="19"/>
      <c r="M241" s="16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4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